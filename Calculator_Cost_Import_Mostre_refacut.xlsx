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eurocasaprod-my.sharepoint.com/personal/iulian_petcu_toneli_ro1/Documents/Desktop/MINE/emag/"/>
    </mc:Choice>
  </mc:AlternateContent>
  <xr:revisionPtr revIDLastSave="43" documentId="11_FD814FB6F40599E3297293F1AD99A6F7CB906B84" xr6:coauthVersionLast="47" xr6:coauthVersionMax="47" xr10:uidLastSave="{BA8CB224-C5B4-4C81-BBE7-9CC148D37FB1}"/>
  <bookViews>
    <workbookView xWindow="-108" yWindow="-108" windowWidth="23256" windowHeight="12456" tabRatio="500" activeTab="3" xr2:uid="{00000000-000D-0000-FFFF-FFFF00000000}"/>
  </bookViews>
  <sheets>
    <sheet name="PI Furnizor" sheetId="1" r:id="rId1"/>
    <sheet name="Comenzi" sheetId="2" r:id="rId2"/>
    <sheet name="Calculator Cost per Bucata" sheetId="3" r:id="rId3"/>
    <sheet name="Comparatie Piata RO" sheetId="4" r:id="rId4"/>
  </sheets>
  <definedNames>
    <definedName name="_xlnm._FilterDatabase" localSheetId="2" hidden="1">'Calculator Cost per Bucata'!$A$9:$Z$509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509" i="3" l="1"/>
  <c r="A505" i="4" s="1"/>
  <c r="A508" i="3"/>
  <c r="A504" i="4" s="1"/>
  <c r="A507" i="3"/>
  <c r="A506" i="3"/>
  <c r="A505" i="3"/>
  <c r="A504" i="3"/>
  <c r="Z504" i="3" s="1"/>
  <c r="A503" i="3"/>
  <c r="A502" i="3"/>
  <c r="A501" i="3"/>
  <c r="X501" i="3" s="1"/>
  <c r="A500" i="3"/>
  <c r="A499" i="3"/>
  <c r="X499" i="3" s="1"/>
  <c r="A498" i="3"/>
  <c r="A494" i="4" s="1"/>
  <c r="A497" i="3"/>
  <c r="A496" i="3"/>
  <c r="A492" i="4" s="1"/>
  <c r="A495" i="3"/>
  <c r="G495" i="3" s="1"/>
  <c r="A494" i="3"/>
  <c r="X494" i="3" s="1"/>
  <c r="B494" i="3" s="1"/>
  <c r="A493" i="3"/>
  <c r="A489" i="4" s="1"/>
  <c r="A492" i="3"/>
  <c r="A491" i="3"/>
  <c r="A490" i="3"/>
  <c r="C490" i="3" s="1"/>
  <c r="A489" i="3"/>
  <c r="G488" i="3"/>
  <c r="E488" i="3"/>
  <c r="A488" i="3"/>
  <c r="Z487" i="3"/>
  <c r="A487" i="3"/>
  <c r="C487" i="3" s="1"/>
  <c r="A486" i="3"/>
  <c r="D486" i="3" s="1"/>
  <c r="A485" i="3"/>
  <c r="A481" i="4" s="1"/>
  <c r="A484" i="3"/>
  <c r="C484" i="3" s="1"/>
  <c r="A483" i="3"/>
  <c r="A482" i="3"/>
  <c r="A481" i="3"/>
  <c r="A480" i="3"/>
  <c r="Y480" i="3" s="1"/>
  <c r="AE480" i="3" s="1"/>
  <c r="A479" i="3"/>
  <c r="A478" i="3"/>
  <c r="C478" i="3" s="1"/>
  <c r="A477" i="3"/>
  <c r="A476" i="3"/>
  <c r="A472" i="4" s="1"/>
  <c r="A475" i="3"/>
  <c r="G475" i="3" s="1"/>
  <c r="A474" i="3"/>
  <c r="A473" i="3"/>
  <c r="Y473" i="3" s="1"/>
  <c r="N473" i="3" s="1"/>
  <c r="A472" i="3"/>
  <c r="A471" i="3"/>
  <c r="Z471" i="3" s="1"/>
  <c r="A470" i="3"/>
  <c r="X470" i="3" s="1"/>
  <c r="AC470" i="3" s="1"/>
  <c r="A469" i="3"/>
  <c r="A468" i="3"/>
  <c r="D468" i="3" s="1"/>
  <c r="A467" i="3"/>
  <c r="G467" i="3" s="1"/>
  <c r="A466" i="3"/>
  <c r="A465" i="3"/>
  <c r="A464" i="3"/>
  <c r="A463" i="3"/>
  <c r="A462" i="3"/>
  <c r="Y462" i="3" s="1"/>
  <c r="A461" i="3"/>
  <c r="X461" i="3" s="1"/>
  <c r="A460" i="3"/>
  <c r="D460" i="3" s="1"/>
  <c r="A459" i="3"/>
  <c r="A458" i="3"/>
  <c r="A454" i="4" s="1"/>
  <c r="A457" i="3"/>
  <c r="D457" i="3" s="1"/>
  <c r="A456" i="3"/>
  <c r="C456" i="3" s="1"/>
  <c r="A455" i="3"/>
  <c r="Z455" i="3" s="1"/>
  <c r="A454" i="3"/>
  <c r="D453" i="3"/>
  <c r="A453" i="3"/>
  <c r="A452" i="3"/>
  <c r="C452" i="3" s="1"/>
  <c r="A451" i="3"/>
  <c r="Z451" i="3" s="1"/>
  <c r="A450" i="3"/>
  <c r="Z450" i="3" s="1"/>
  <c r="A449" i="3"/>
  <c r="A448" i="3"/>
  <c r="A444" i="4" s="1"/>
  <c r="A447" i="3"/>
  <c r="A446" i="3"/>
  <c r="Z445" i="3"/>
  <c r="A445" i="3"/>
  <c r="E445" i="3" s="1"/>
  <c r="A444" i="3"/>
  <c r="A443" i="3"/>
  <c r="A439" i="4" s="1"/>
  <c r="A442" i="3"/>
  <c r="D442" i="3" s="1"/>
  <c r="A441" i="3"/>
  <c r="A440" i="3"/>
  <c r="C440" i="3" s="1"/>
  <c r="A439" i="3"/>
  <c r="A435" i="4" s="1"/>
  <c r="A438" i="3"/>
  <c r="C438" i="3" s="1"/>
  <c r="A437" i="3"/>
  <c r="Z437" i="3" s="1"/>
  <c r="A436" i="3"/>
  <c r="A435" i="3"/>
  <c r="A431" i="4" s="1"/>
  <c r="A434" i="3"/>
  <c r="A430" i="4" s="1"/>
  <c r="A433" i="3"/>
  <c r="Z432" i="3"/>
  <c r="A432" i="3"/>
  <c r="A428" i="4" s="1"/>
  <c r="A431" i="3"/>
  <c r="A430" i="3"/>
  <c r="A429" i="3"/>
  <c r="A428" i="3"/>
  <c r="A424" i="4" s="1"/>
  <c r="A427" i="3"/>
  <c r="A426" i="3"/>
  <c r="A422" i="4" s="1"/>
  <c r="A425" i="3"/>
  <c r="A421" i="4" s="1"/>
  <c r="A424" i="3"/>
  <c r="Z424" i="3" s="1"/>
  <c r="A423" i="3"/>
  <c r="A419" i="4" s="1"/>
  <c r="A422" i="3"/>
  <c r="A418" i="4" s="1"/>
  <c r="A421" i="3"/>
  <c r="A420" i="3"/>
  <c r="A419" i="3"/>
  <c r="D419" i="3" s="1"/>
  <c r="Z418" i="3"/>
  <c r="A418" i="3"/>
  <c r="A414" i="4" s="1"/>
  <c r="A417" i="3"/>
  <c r="C417" i="3" s="1"/>
  <c r="A416" i="3"/>
  <c r="A415" i="3"/>
  <c r="D415" i="3" s="1"/>
  <c r="A414" i="3"/>
  <c r="A413" i="3"/>
  <c r="C413" i="3" s="1"/>
  <c r="A412" i="3"/>
  <c r="G411" i="3"/>
  <c r="D411" i="3"/>
  <c r="A411" i="3"/>
  <c r="E411" i="3" s="1"/>
  <c r="A410" i="3"/>
  <c r="A409" i="3"/>
  <c r="A408" i="3"/>
  <c r="A407" i="3"/>
  <c r="A406" i="3"/>
  <c r="A402" i="4" s="1"/>
  <c r="A405" i="3"/>
  <c r="A404" i="3"/>
  <c r="A403" i="3"/>
  <c r="X403" i="3" s="1"/>
  <c r="A402" i="3"/>
  <c r="Z402" i="3" s="1"/>
  <c r="Z401" i="3"/>
  <c r="Y401" i="3"/>
  <c r="U401" i="3" s="1"/>
  <c r="A401" i="3"/>
  <c r="C401" i="3" s="1"/>
  <c r="A400" i="3"/>
  <c r="E400" i="3" s="1"/>
  <c r="A399" i="3"/>
  <c r="D399" i="3" s="1"/>
  <c r="A398" i="3"/>
  <c r="A397" i="3"/>
  <c r="G397" i="3" s="1"/>
  <c r="A396" i="3"/>
  <c r="A395" i="3"/>
  <c r="A394" i="3"/>
  <c r="A393" i="3"/>
  <c r="G393" i="3" s="1"/>
  <c r="A392" i="3"/>
  <c r="Z392" i="3" s="1"/>
  <c r="A391" i="3"/>
  <c r="A387" i="4" s="1"/>
  <c r="A390" i="3"/>
  <c r="E390" i="3" s="1"/>
  <c r="A389" i="3"/>
  <c r="Y389" i="3" s="1"/>
  <c r="A388" i="3"/>
  <c r="E388" i="3" s="1"/>
  <c r="A387" i="3"/>
  <c r="A386" i="3"/>
  <c r="G386" i="3" s="1"/>
  <c r="A385" i="3"/>
  <c r="E385" i="3" s="1"/>
  <c r="A384" i="3"/>
  <c r="A380" i="4" s="1"/>
  <c r="A383" i="3"/>
  <c r="A382" i="3"/>
  <c r="D382" i="3" s="1"/>
  <c r="A381" i="3"/>
  <c r="Y380" i="3"/>
  <c r="H380" i="3" s="1"/>
  <c r="A380" i="3"/>
  <c r="D380" i="3" s="1"/>
  <c r="A379" i="3"/>
  <c r="D379" i="3" s="1"/>
  <c r="A378" i="3"/>
  <c r="D378" i="3" s="1"/>
  <c r="A377" i="3"/>
  <c r="A376" i="3"/>
  <c r="A375" i="3"/>
  <c r="A374" i="3"/>
  <c r="A370" i="4" s="1"/>
  <c r="A373" i="3"/>
  <c r="Z373" i="3" s="1"/>
  <c r="A372" i="3"/>
  <c r="A371" i="3"/>
  <c r="A370" i="3"/>
  <c r="A369" i="3"/>
  <c r="A368" i="3"/>
  <c r="A367" i="3"/>
  <c r="C367" i="3" s="1"/>
  <c r="G366" i="3"/>
  <c r="A366" i="3"/>
  <c r="E366" i="3" s="1"/>
  <c r="A365" i="3"/>
  <c r="A364" i="3"/>
  <c r="Z364" i="3" s="1"/>
  <c r="A363" i="3"/>
  <c r="A359" i="4" s="1"/>
  <c r="A362" i="3"/>
  <c r="A361" i="3"/>
  <c r="A360" i="3"/>
  <c r="E359" i="3"/>
  <c r="A359" i="3"/>
  <c r="A358" i="3"/>
  <c r="A357" i="3"/>
  <c r="Z357" i="3" s="1"/>
  <c r="A356" i="3"/>
  <c r="A355" i="3"/>
  <c r="D355" i="3" s="1"/>
  <c r="A354" i="3"/>
  <c r="Y354" i="3" s="1"/>
  <c r="A353" i="3"/>
  <c r="A352" i="3"/>
  <c r="A348" i="4" s="1"/>
  <c r="A351" i="3"/>
  <c r="A347" i="4" s="1"/>
  <c r="A350" i="3"/>
  <c r="A349" i="3"/>
  <c r="Z349" i="3" s="1"/>
  <c r="E348" i="3"/>
  <c r="A348" i="3"/>
  <c r="A347" i="3"/>
  <c r="A343" i="4" s="1"/>
  <c r="A346" i="3"/>
  <c r="D346" i="3" s="1"/>
  <c r="A345" i="3"/>
  <c r="A344" i="3"/>
  <c r="G344" i="3" s="1"/>
  <c r="A343" i="3"/>
  <c r="A342" i="3"/>
  <c r="A338" i="4" s="1"/>
  <c r="A341" i="3"/>
  <c r="A340" i="3"/>
  <c r="A339" i="3"/>
  <c r="A338" i="3"/>
  <c r="A337" i="3"/>
  <c r="D337" i="3" s="1"/>
  <c r="A336" i="3"/>
  <c r="G336" i="3" s="1"/>
  <c r="A335" i="3"/>
  <c r="A334" i="3"/>
  <c r="A333" i="3"/>
  <c r="X333" i="3" s="1"/>
  <c r="AB333" i="3" s="1"/>
  <c r="A332" i="3"/>
  <c r="A328" i="4" s="1"/>
  <c r="A331" i="3"/>
  <c r="C331" i="3" s="1"/>
  <c r="A330" i="3"/>
  <c r="A329" i="3"/>
  <c r="Y329" i="3" s="1"/>
  <c r="H329" i="3" s="1"/>
  <c r="A328" i="3"/>
  <c r="A327" i="3"/>
  <c r="A326" i="3"/>
  <c r="X326" i="3" s="1"/>
  <c r="A325" i="3"/>
  <c r="E325" i="3" s="1"/>
  <c r="A324" i="3"/>
  <c r="C324" i="3" s="1"/>
  <c r="A323" i="3"/>
  <c r="A319" i="4" s="1"/>
  <c r="A322" i="3"/>
  <c r="A321" i="3"/>
  <c r="A320" i="3"/>
  <c r="D320" i="3" s="1"/>
  <c r="A319" i="3"/>
  <c r="C319" i="3" s="1"/>
  <c r="A318" i="3"/>
  <c r="Y318" i="3" s="1"/>
  <c r="A317" i="3"/>
  <c r="A316" i="3"/>
  <c r="Z316" i="3" s="1"/>
  <c r="A315" i="3"/>
  <c r="E315" i="3" s="1"/>
  <c r="A314" i="3"/>
  <c r="Z314" i="3" s="1"/>
  <c r="A313" i="3"/>
  <c r="A309" i="4" s="1"/>
  <c r="Z312" i="3"/>
  <c r="A312" i="3"/>
  <c r="A308" i="4" s="1"/>
  <c r="A311" i="3"/>
  <c r="A310" i="3"/>
  <c r="E310" i="3" s="1"/>
  <c r="A309" i="3"/>
  <c r="Z309" i="3" s="1"/>
  <c r="A308" i="3"/>
  <c r="A307" i="3"/>
  <c r="Z307" i="3" s="1"/>
  <c r="A306" i="3"/>
  <c r="Y306" i="3" s="1"/>
  <c r="Q306" i="3" s="1"/>
  <c r="A305" i="3"/>
  <c r="Y305" i="3" s="1"/>
  <c r="P305" i="3" s="1"/>
  <c r="A304" i="3"/>
  <c r="A300" i="4" s="1"/>
  <c r="X303" i="3"/>
  <c r="A303" i="3"/>
  <c r="G303" i="3" s="1"/>
  <c r="A302" i="3"/>
  <c r="D302" i="3" s="1"/>
  <c r="A301" i="3"/>
  <c r="D300" i="3"/>
  <c r="C300" i="3"/>
  <c r="A300" i="3"/>
  <c r="A296" i="4" s="1"/>
  <c r="A299" i="3"/>
  <c r="A295" i="4" s="1"/>
  <c r="A298" i="3"/>
  <c r="A297" i="3"/>
  <c r="C297" i="3" s="1"/>
  <c r="X296" i="3"/>
  <c r="A296" i="3"/>
  <c r="A292" i="4" s="1"/>
  <c r="A295" i="3"/>
  <c r="A294" i="3"/>
  <c r="Z294" i="3" s="1"/>
  <c r="A293" i="3"/>
  <c r="A292" i="3"/>
  <c r="G292" i="3" s="1"/>
  <c r="A291" i="3"/>
  <c r="A290" i="3"/>
  <c r="A286" i="4" s="1"/>
  <c r="A289" i="3"/>
  <c r="A285" i="4" s="1"/>
  <c r="A288" i="3"/>
  <c r="A287" i="3"/>
  <c r="G287" i="3" s="1"/>
  <c r="A286" i="3"/>
  <c r="Z286" i="3" s="1"/>
  <c r="E285" i="3"/>
  <c r="A285" i="3"/>
  <c r="A284" i="3"/>
  <c r="X284" i="3" s="1"/>
  <c r="A283" i="3"/>
  <c r="A282" i="3"/>
  <c r="A281" i="3"/>
  <c r="Z281" i="3" s="1"/>
  <c r="A280" i="3"/>
  <c r="A276" i="4" s="1"/>
  <c r="A279" i="3"/>
  <c r="Y279" i="3" s="1"/>
  <c r="A278" i="3"/>
  <c r="A274" i="4" s="1"/>
  <c r="A277" i="3"/>
  <c r="A276" i="3"/>
  <c r="Y276" i="3" s="1"/>
  <c r="A275" i="3"/>
  <c r="A274" i="3"/>
  <c r="Z274" i="3" s="1"/>
  <c r="A273" i="3"/>
  <c r="E272" i="3"/>
  <c r="D272" i="3"/>
  <c r="A272" i="3"/>
  <c r="C272" i="3" s="1"/>
  <c r="A271" i="3"/>
  <c r="A270" i="3"/>
  <c r="A269" i="3"/>
  <c r="A268" i="3"/>
  <c r="Z267" i="3"/>
  <c r="A267" i="3"/>
  <c r="A266" i="3"/>
  <c r="A265" i="3"/>
  <c r="A264" i="3"/>
  <c r="Z264" i="3" s="1"/>
  <c r="A263" i="3"/>
  <c r="Z263" i="3" s="1"/>
  <c r="A262" i="3"/>
  <c r="Z261" i="3"/>
  <c r="E261" i="3"/>
  <c r="A261" i="3"/>
  <c r="E260" i="3"/>
  <c r="A260" i="3"/>
  <c r="Z260" i="3" s="1"/>
  <c r="A259" i="3"/>
  <c r="A258" i="3"/>
  <c r="E258" i="3" s="1"/>
  <c r="A257" i="3"/>
  <c r="A256" i="3"/>
  <c r="G256" i="3" s="1"/>
  <c r="Y255" i="3"/>
  <c r="A255" i="3"/>
  <c r="D255" i="3" s="1"/>
  <c r="A254" i="3"/>
  <c r="A253" i="3"/>
  <c r="A252" i="3"/>
  <c r="C252" i="3" s="1"/>
  <c r="A251" i="3"/>
  <c r="Z251" i="3" s="1"/>
  <c r="A250" i="3"/>
  <c r="Y250" i="3" s="1"/>
  <c r="A249" i="3"/>
  <c r="D249" i="3" s="1"/>
  <c r="Z248" i="3"/>
  <c r="A248" i="3"/>
  <c r="A244" i="4" s="1"/>
  <c r="A247" i="3"/>
  <c r="A246" i="3"/>
  <c r="A245" i="3"/>
  <c r="Z245" i="3" s="1"/>
  <c r="A244" i="3"/>
  <c r="A240" i="4" s="1"/>
  <c r="A243" i="3"/>
  <c r="A242" i="3"/>
  <c r="X242" i="3" s="1"/>
  <c r="A241" i="3"/>
  <c r="A237" i="4" s="1"/>
  <c r="A240" i="3"/>
  <c r="A239" i="3"/>
  <c r="X239" i="3" s="1"/>
  <c r="A238" i="3"/>
  <c r="Z238" i="3" s="1"/>
  <c r="A237" i="3"/>
  <c r="E237" i="3" s="1"/>
  <c r="A236" i="3"/>
  <c r="X235" i="3"/>
  <c r="B235" i="3" s="1"/>
  <c r="A235" i="3"/>
  <c r="Z235" i="3" s="1"/>
  <c r="A234" i="3"/>
  <c r="A233" i="3"/>
  <c r="A232" i="3"/>
  <c r="A228" i="4" s="1"/>
  <c r="A231" i="3"/>
  <c r="X231" i="3" s="1"/>
  <c r="A230" i="3"/>
  <c r="A229" i="3"/>
  <c r="G229" i="3" s="1"/>
  <c r="A228" i="3"/>
  <c r="C228" i="3" s="1"/>
  <c r="A227" i="3"/>
  <c r="A226" i="3"/>
  <c r="Y226" i="3" s="1"/>
  <c r="A225" i="3"/>
  <c r="G225" i="3" s="1"/>
  <c r="A224" i="3"/>
  <c r="Z224" i="3" s="1"/>
  <c r="A223" i="3"/>
  <c r="A222" i="3"/>
  <c r="A221" i="3"/>
  <c r="A220" i="3"/>
  <c r="A216" i="4" s="1"/>
  <c r="A219" i="3"/>
  <c r="Z219" i="3" s="1"/>
  <c r="A218" i="3"/>
  <c r="C218" i="3" s="1"/>
  <c r="A217" i="3"/>
  <c r="A216" i="3"/>
  <c r="C216" i="3" s="1"/>
  <c r="A215" i="3"/>
  <c r="A214" i="3"/>
  <c r="A210" i="4" s="1"/>
  <c r="A213" i="3"/>
  <c r="A212" i="3"/>
  <c r="Y212" i="3" s="1"/>
  <c r="W212" i="3" s="1"/>
  <c r="A211" i="3"/>
  <c r="A210" i="3"/>
  <c r="Y210" i="3" s="1"/>
  <c r="A209" i="3"/>
  <c r="A208" i="3"/>
  <c r="A207" i="3"/>
  <c r="A206" i="3"/>
  <c r="C206" i="3" s="1"/>
  <c r="A205" i="3"/>
  <c r="A201" i="4" s="1"/>
  <c r="A204" i="3"/>
  <c r="A200" i="4" s="1"/>
  <c r="A203" i="3"/>
  <c r="A199" i="4" s="1"/>
  <c r="A202" i="3"/>
  <c r="E201" i="3"/>
  <c r="D201" i="3"/>
  <c r="A201" i="3"/>
  <c r="C201" i="3" s="1"/>
  <c r="A200" i="3"/>
  <c r="C200" i="3" s="1"/>
  <c r="A199" i="3"/>
  <c r="D199" i="3" s="1"/>
  <c r="A198" i="3"/>
  <c r="D198" i="3" s="1"/>
  <c r="A197" i="3"/>
  <c r="A193" i="4" s="1"/>
  <c r="A196" i="3"/>
  <c r="G196" i="3" s="1"/>
  <c r="A195" i="3"/>
  <c r="Z195" i="3" s="1"/>
  <c r="X194" i="3"/>
  <c r="B194" i="3" s="1"/>
  <c r="A194" i="3"/>
  <c r="C194" i="3" s="1"/>
  <c r="A193" i="3"/>
  <c r="A189" i="4" s="1"/>
  <c r="A192" i="3"/>
  <c r="A188" i="4" s="1"/>
  <c r="A191" i="3"/>
  <c r="C191" i="3" s="1"/>
  <c r="A190" i="3"/>
  <c r="A189" i="3"/>
  <c r="E189" i="3" s="1"/>
  <c r="A188" i="3"/>
  <c r="A187" i="3"/>
  <c r="A186" i="3"/>
  <c r="X186" i="3" s="1"/>
  <c r="A185" i="3"/>
  <c r="A181" i="4" s="1"/>
  <c r="A184" i="3"/>
  <c r="C184" i="3" s="1"/>
  <c r="A183" i="3"/>
  <c r="A182" i="3"/>
  <c r="C182" i="3" s="1"/>
  <c r="A181" i="3"/>
  <c r="Z181" i="3" s="1"/>
  <c r="A180" i="3"/>
  <c r="A179" i="3"/>
  <c r="Z179" i="3" s="1"/>
  <c r="A178" i="3"/>
  <c r="A177" i="3"/>
  <c r="G177" i="3" s="1"/>
  <c r="A176" i="3"/>
  <c r="C176" i="3" s="1"/>
  <c r="A175" i="3"/>
  <c r="A171" i="4" s="1"/>
  <c r="A174" i="3"/>
  <c r="G174" i="3" s="1"/>
  <c r="A173" i="3"/>
  <c r="G173" i="3" s="1"/>
  <c r="Z172" i="3"/>
  <c r="E172" i="3"/>
  <c r="D172" i="3"/>
  <c r="A172" i="3"/>
  <c r="A168" i="4" s="1"/>
  <c r="A171" i="3"/>
  <c r="Y171" i="3" s="1"/>
  <c r="V171" i="3" s="1"/>
  <c r="A170" i="3"/>
  <c r="A169" i="3"/>
  <c r="A168" i="3"/>
  <c r="D168" i="3" s="1"/>
  <c r="A167" i="3"/>
  <c r="A166" i="3"/>
  <c r="Z166" i="3" s="1"/>
  <c r="A165" i="3"/>
  <c r="A164" i="3"/>
  <c r="A163" i="3"/>
  <c r="A162" i="3"/>
  <c r="A161" i="3"/>
  <c r="A157" i="4" s="1"/>
  <c r="A160" i="3"/>
  <c r="A159" i="3"/>
  <c r="A155" i="4" s="1"/>
  <c r="A158" i="3"/>
  <c r="A157" i="3"/>
  <c r="Y157" i="3" s="1"/>
  <c r="L157" i="3" s="1"/>
  <c r="A156" i="3"/>
  <c r="D156" i="3" s="1"/>
  <c r="A155" i="3"/>
  <c r="A154" i="3"/>
  <c r="X154" i="3" s="1"/>
  <c r="A153" i="3"/>
  <c r="Y153" i="3" s="1"/>
  <c r="Q153" i="3" s="1"/>
  <c r="A152" i="3"/>
  <c r="A151" i="3"/>
  <c r="A150" i="3"/>
  <c r="Z150" i="3" s="1"/>
  <c r="A149" i="3"/>
  <c r="G149" i="3" s="1"/>
  <c r="A148" i="3"/>
  <c r="A147" i="3"/>
  <c r="A143" i="4" s="1"/>
  <c r="A146" i="3"/>
  <c r="C146" i="3" s="1"/>
  <c r="A145" i="3"/>
  <c r="Y145" i="3" s="1"/>
  <c r="A144" i="3"/>
  <c r="A140" i="4" s="1"/>
  <c r="A143" i="3"/>
  <c r="Y143" i="3" s="1"/>
  <c r="A142" i="3"/>
  <c r="A141" i="3"/>
  <c r="C141" i="3" s="1"/>
  <c r="Z140" i="3"/>
  <c r="X140" i="3"/>
  <c r="F140" i="3" s="1"/>
  <c r="E140" i="3"/>
  <c r="D140" i="3"/>
  <c r="A140" i="3"/>
  <c r="A136" i="4" s="1"/>
  <c r="A139" i="3"/>
  <c r="G139" i="3" s="1"/>
  <c r="A138" i="3"/>
  <c r="X138" i="3" s="1"/>
  <c r="A137" i="3"/>
  <c r="A136" i="3"/>
  <c r="Z136" i="3" s="1"/>
  <c r="A135" i="3"/>
  <c r="Z134" i="3"/>
  <c r="A134" i="3"/>
  <c r="A130" i="4" s="1"/>
  <c r="A133" i="3"/>
  <c r="Y133" i="3" s="1"/>
  <c r="H133" i="3" s="1"/>
  <c r="A132" i="3"/>
  <c r="A128" i="4" s="1"/>
  <c r="A131" i="3"/>
  <c r="A130" i="3"/>
  <c r="A129" i="3"/>
  <c r="E129" i="3" s="1"/>
  <c r="A128" i="3"/>
  <c r="A127" i="3"/>
  <c r="E127" i="3" s="1"/>
  <c r="A126" i="3"/>
  <c r="A125" i="3"/>
  <c r="A124" i="3"/>
  <c r="C124" i="3" s="1"/>
  <c r="A123" i="3"/>
  <c r="A119" i="4" s="1"/>
  <c r="A122" i="3"/>
  <c r="Z122" i="3" s="1"/>
  <c r="A121" i="3"/>
  <c r="A120" i="3"/>
  <c r="D120" i="3" s="1"/>
  <c r="A119" i="3"/>
  <c r="C119" i="3" s="1"/>
  <c r="A118" i="3"/>
  <c r="E118" i="3" s="1"/>
  <c r="A117" i="3"/>
  <c r="A116" i="3"/>
  <c r="X116" i="3" s="1"/>
  <c r="A115" i="3"/>
  <c r="A114" i="3"/>
  <c r="Z114" i="3" s="1"/>
  <c r="A113" i="3"/>
  <c r="Y113" i="3" s="1"/>
  <c r="K113" i="3" s="1"/>
  <c r="A112" i="3"/>
  <c r="X112" i="3" s="1"/>
  <c r="A111" i="3"/>
  <c r="A110" i="3"/>
  <c r="X110" i="3" s="1"/>
  <c r="A109" i="3"/>
  <c r="D109" i="3" s="1"/>
  <c r="X108" i="3"/>
  <c r="F108" i="3" s="1"/>
  <c r="A108" i="3"/>
  <c r="Z108" i="3" s="1"/>
  <c r="A107" i="3"/>
  <c r="Z107" i="3" s="1"/>
  <c r="A106" i="3"/>
  <c r="A105" i="3"/>
  <c r="A104" i="3"/>
  <c r="A103" i="3"/>
  <c r="Z103" i="3" s="1"/>
  <c r="A102" i="3"/>
  <c r="X102" i="3" s="1"/>
  <c r="A101" i="3"/>
  <c r="C101" i="3" s="1"/>
  <c r="A100" i="3"/>
  <c r="Z100" i="3" s="1"/>
  <c r="A99" i="3"/>
  <c r="Z99" i="3" s="1"/>
  <c r="A98" i="3"/>
  <c r="C98" i="3" s="1"/>
  <c r="A97" i="3"/>
  <c r="A96" i="3"/>
  <c r="A95" i="3"/>
  <c r="A94" i="3"/>
  <c r="A93" i="3"/>
  <c r="A89" i="4" s="1"/>
  <c r="A92" i="3"/>
  <c r="A91" i="3"/>
  <c r="Y91" i="3" s="1"/>
  <c r="A90" i="3"/>
  <c r="A89" i="3"/>
  <c r="A88" i="3"/>
  <c r="A87" i="3"/>
  <c r="A83" i="4" s="1"/>
  <c r="A86" i="3"/>
  <c r="E86" i="3" s="1"/>
  <c r="A85" i="3"/>
  <c r="Z85" i="3" s="1"/>
  <c r="A84" i="3"/>
  <c r="A80" i="4" s="1"/>
  <c r="A83" i="3"/>
  <c r="D83" i="3" s="1"/>
  <c r="A82" i="3"/>
  <c r="A81" i="3"/>
  <c r="A77" i="4" s="1"/>
  <c r="A80" i="3"/>
  <c r="X80" i="3" s="1"/>
  <c r="A79" i="3"/>
  <c r="X79" i="3" s="1"/>
  <c r="A78" i="3"/>
  <c r="A77" i="3"/>
  <c r="A73" i="4" s="1"/>
  <c r="A76" i="3"/>
  <c r="A75" i="3"/>
  <c r="D75" i="3" s="1"/>
  <c r="A74" i="3"/>
  <c r="D74" i="3" s="1"/>
  <c r="A73" i="3"/>
  <c r="A72" i="3"/>
  <c r="A71" i="3"/>
  <c r="A67" i="4" s="1"/>
  <c r="A70" i="3"/>
  <c r="G70" i="3" s="1"/>
  <c r="A69" i="3"/>
  <c r="A65" i="4" s="1"/>
  <c r="A68" i="3"/>
  <c r="D68" i="3" s="1"/>
  <c r="A67" i="3"/>
  <c r="G67" i="3" s="1"/>
  <c r="A66" i="3"/>
  <c r="A65" i="3"/>
  <c r="Z65" i="3" s="1"/>
  <c r="A64" i="3"/>
  <c r="E64" i="3" s="1"/>
  <c r="Z63" i="3"/>
  <c r="A63" i="3"/>
  <c r="A59" i="4" s="1"/>
  <c r="A62" i="3"/>
  <c r="A61" i="3"/>
  <c r="A60" i="3"/>
  <c r="Z60" i="3" s="1"/>
  <c r="A59" i="3"/>
  <c r="D59" i="3" s="1"/>
  <c r="A58" i="3"/>
  <c r="Y58" i="3" s="1"/>
  <c r="K58" i="3" s="1"/>
  <c r="A57" i="3"/>
  <c r="E57" i="3" s="1"/>
  <c r="A56" i="3"/>
  <c r="A55" i="3"/>
  <c r="D54" i="3"/>
  <c r="A54" i="3"/>
  <c r="E54" i="3" s="1"/>
  <c r="A53" i="3"/>
  <c r="Z53" i="3" s="1"/>
  <c r="A52" i="3"/>
  <c r="D52" i="3" s="1"/>
  <c r="A51" i="3"/>
  <c r="Y51" i="3" s="1"/>
  <c r="A50" i="3"/>
  <c r="A46" i="4" s="1"/>
  <c r="A49" i="3"/>
  <c r="A48" i="3"/>
  <c r="Z48" i="3" s="1"/>
  <c r="A47" i="3"/>
  <c r="A46" i="3"/>
  <c r="G46" i="3" s="1"/>
  <c r="A45" i="3"/>
  <c r="G45" i="3" s="1"/>
  <c r="A44" i="3"/>
  <c r="Z44" i="3" s="1"/>
  <c r="A43" i="3"/>
  <c r="Y43" i="3" s="1"/>
  <c r="K43" i="3" s="1"/>
  <c r="A42" i="3"/>
  <c r="A38" i="4" s="1"/>
  <c r="X41" i="3"/>
  <c r="F41" i="3" s="1"/>
  <c r="E41" i="3"/>
  <c r="A41" i="3"/>
  <c r="A37" i="4" s="1"/>
  <c r="A40" i="3"/>
  <c r="G40" i="3" s="1"/>
  <c r="A39" i="3"/>
  <c r="A35" i="4" s="1"/>
  <c r="A38" i="3"/>
  <c r="A34" i="4" s="1"/>
  <c r="A37" i="3"/>
  <c r="A33" i="4" s="1"/>
  <c r="A36" i="3"/>
  <c r="A32" i="4" s="1"/>
  <c r="A35" i="3"/>
  <c r="A31" i="4" s="1"/>
  <c r="A34" i="3"/>
  <c r="A33" i="3"/>
  <c r="A32" i="3"/>
  <c r="A31" i="3"/>
  <c r="Z31" i="3" s="1"/>
  <c r="A30" i="3"/>
  <c r="Z30" i="3" s="1"/>
  <c r="A29" i="3"/>
  <c r="A28" i="3"/>
  <c r="A24" i="4" s="1"/>
  <c r="A27" i="3"/>
  <c r="A26" i="3"/>
  <c r="A22" i="4" s="1"/>
  <c r="A25" i="3"/>
  <c r="A21" i="4" s="1"/>
  <c r="A24" i="3"/>
  <c r="X24" i="3" s="1"/>
  <c r="A23" i="3"/>
  <c r="A19" i="4" s="1"/>
  <c r="A22" i="3"/>
  <c r="A18" i="4" s="1"/>
  <c r="A21" i="3"/>
  <c r="A17" i="4" s="1"/>
  <c r="A20" i="3"/>
  <c r="A16" i="4" s="1"/>
  <c r="A19" i="3"/>
  <c r="Z19" i="3" s="1"/>
  <c r="A18" i="3"/>
  <c r="D18" i="3" s="1"/>
  <c r="A17" i="3"/>
  <c r="A16" i="3"/>
  <c r="A12" i="4" s="1"/>
  <c r="A15" i="3"/>
  <c r="A11" i="4" s="1"/>
  <c r="A14" i="3"/>
  <c r="A13" i="3"/>
  <c r="A9" i="4" s="1"/>
  <c r="A12" i="3"/>
  <c r="X12" i="3" s="1"/>
  <c r="A11" i="3"/>
  <c r="D11" i="3" s="1"/>
  <c r="A10" i="3"/>
  <c r="A6" i="4" s="1"/>
  <c r="AT108" i="2"/>
  <c r="AS108" i="2"/>
  <c r="AR108" i="2"/>
  <c r="AQ108" i="2"/>
  <c r="AP108" i="2"/>
  <c r="AO108" i="2"/>
  <c r="AN108" i="2"/>
  <c r="AM108" i="2"/>
  <c r="AL108" i="2"/>
  <c r="AK108" i="2"/>
  <c r="AJ108" i="2"/>
  <c r="AI108" i="2"/>
  <c r="AH108" i="2"/>
  <c r="AG108" i="2"/>
  <c r="AF108" i="2"/>
  <c r="AE108" i="2"/>
  <c r="AD108" i="2"/>
  <c r="AC108" i="2"/>
  <c r="AB108" i="2"/>
  <c r="AA108" i="2"/>
  <c r="Z108" i="2"/>
  <c r="Y108" i="2"/>
  <c r="X108" i="2"/>
  <c r="AT107" i="2"/>
  <c r="AS107" i="2"/>
  <c r="AR107" i="2"/>
  <c r="AQ107" i="2"/>
  <c r="AP107" i="2"/>
  <c r="AO107" i="2"/>
  <c r="AN107" i="2"/>
  <c r="AM107" i="2"/>
  <c r="AL107" i="2"/>
  <c r="AK107" i="2"/>
  <c r="AJ107" i="2"/>
  <c r="AI107" i="2"/>
  <c r="AH107" i="2"/>
  <c r="AG107" i="2"/>
  <c r="AF107" i="2"/>
  <c r="AE107" i="2"/>
  <c r="AD107" i="2"/>
  <c r="AC107" i="2"/>
  <c r="AB107" i="2"/>
  <c r="AA107" i="2"/>
  <c r="Z107" i="2"/>
  <c r="Y107" i="2"/>
  <c r="X107" i="2"/>
  <c r="AT106" i="2"/>
  <c r="AS106" i="2"/>
  <c r="AR106" i="2"/>
  <c r="AQ106" i="2"/>
  <c r="AP106" i="2"/>
  <c r="AO106" i="2"/>
  <c r="AN106" i="2"/>
  <c r="AM106" i="2"/>
  <c r="AL106" i="2"/>
  <c r="AK106" i="2"/>
  <c r="AJ106" i="2"/>
  <c r="AI106" i="2"/>
  <c r="AH106" i="2"/>
  <c r="AG106" i="2"/>
  <c r="AF106" i="2"/>
  <c r="AE106" i="2"/>
  <c r="AD106" i="2"/>
  <c r="AC106" i="2"/>
  <c r="AB106" i="2"/>
  <c r="AA106" i="2"/>
  <c r="Z106" i="2"/>
  <c r="Y106" i="2"/>
  <c r="X106" i="2"/>
  <c r="AT105" i="2"/>
  <c r="AS105" i="2"/>
  <c r="AR105" i="2"/>
  <c r="AQ105" i="2"/>
  <c r="AP105" i="2"/>
  <c r="AO105" i="2"/>
  <c r="AN105" i="2"/>
  <c r="AM105" i="2"/>
  <c r="AL105" i="2"/>
  <c r="AK105" i="2"/>
  <c r="AJ105" i="2"/>
  <c r="AI105" i="2"/>
  <c r="AH105" i="2"/>
  <c r="AG105" i="2"/>
  <c r="AF105" i="2"/>
  <c r="AE105" i="2"/>
  <c r="AD105" i="2"/>
  <c r="AC105" i="2"/>
  <c r="AB105" i="2"/>
  <c r="AA105" i="2"/>
  <c r="Z105" i="2"/>
  <c r="Y105" i="2"/>
  <c r="X105" i="2"/>
  <c r="AT104" i="2"/>
  <c r="AS104" i="2"/>
  <c r="AR104" i="2"/>
  <c r="AQ104" i="2"/>
  <c r="AP104" i="2"/>
  <c r="AO104" i="2"/>
  <c r="AN104" i="2"/>
  <c r="AM104" i="2"/>
  <c r="AL104" i="2"/>
  <c r="AK104" i="2"/>
  <c r="AJ104" i="2"/>
  <c r="AI104" i="2"/>
  <c r="AH104" i="2"/>
  <c r="AG104" i="2"/>
  <c r="AF104" i="2"/>
  <c r="AE104" i="2"/>
  <c r="AD104" i="2"/>
  <c r="AC104" i="2"/>
  <c r="AB104" i="2"/>
  <c r="AA104" i="2"/>
  <c r="Z104" i="2"/>
  <c r="Y104" i="2"/>
  <c r="X104" i="2"/>
  <c r="AT103" i="2"/>
  <c r="AS103" i="2"/>
  <c r="AR103" i="2"/>
  <c r="AQ103" i="2"/>
  <c r="AP103" i="2"/>
  <c r="AO103" i="2"/>
  <c r="AN103" i="2"/>
  <c r="AM103" i="2"/>
  <c r="AL103" i="2"/>
  <c r="AK103" i="2"/>
  <c r="AJ103" i="2"/>
  <c r="AI103" i="2"/>
  <c r="AH103" i="2"/>
  <c r="AG103" i="2"/>
  <c r="AF103" i="2"/>
  <c r="AE103" i="2"/>
  <c r="AD103" i="2"/>
  <c r="AC103" i="2"/>
  <c r="AB103" i="2"/>
  <c r="AA103" i="2"/>
  <c r="Z103" i="2"/>
  <c r="Y103" i="2"/>
  <c r="X103" i="2"/>
  <c r="AT102" i="2"/>
  <c r="AS102" i="2"/>
  <c r="AR102" i="2"/>
  <c r="AQ102" i="2"/>
  <c r="AP102" i="2"/>
  <c r="AO102" i="2"/>
  <c r="AN102" i="2"/>
  <c r="AM102" i="2"/>
  <c r="AL102" i="2"/>
  <c r="AK102" i="2"/>
  <c r="AJ102" i="2"/>
  <c r="AI102" i="2"/>
  <c r="AH102" i="2"/>
  <c r="AG102" i="2"/>
  <c r="AF102" i="2"/>
  <c r="AE102" i="2"/>
  <c r="AD102" i="2"/>
  <c r="AC102" i="2"/>
  <c r="AB102" i="2"/>
  <c r="AA102" i="2"/>
  <c r="Z102" i="2"/>
  <c r="Y102" i="2"/>
  <c r="X102" i="2"/>
  <c r="AT101" i="2"/>
  <c r="AS101" i="2"/>
  <c r="AR101" i="2"/>
  <c r="AQ101" i="2"/>
  <c r="AP101" i="2"/>
  <c r="AO101" i="2"/>
  <c r="AN101" i="2"/>
  <c r="AM101" i="2"/>
  <c r="AL101" i="2"/>
  <c r="AK101" i="2"/>
  <c r="AJ101" i="2"/>
  <c r="AI101" i="2"/>
  <c r="AH101" i="2"/>
  <c r="AG101" i="2"/>
  <c r="AF101" i="2"/>
  <c r="AE101" i="2"/>
  <c r="AD101" i="2"/>
  <c r="AC101" i="2"/>
  <c r="AB101" i="2"/>
  <c r="AA101" i="2"/>
  <c r="Z101" i="2"/>
  <c r="Y101" i="2"/>
  <c r="X101" i="2"/>
  <c r="AT100" i="2"/>
  <c r="AS100" i="2"/>
  <c r="AR100" i="2"/>
  <c r="AQ100" i="2"/>
  <c r="AP100" i="2"/>
  <c r="AO100" i="2"/>
  <c r="AN100" i="2"/>
  <c r="AM100" i="2"/>
  <c r="AL100" i="2"/>
  <c r="AK100" i="2"/>
  <c r="AJ100" i="2"/>
  <c r="AI100" i="2"/>
  <c r="AH100" i="2"/>
  <c r="AG100" i="2"/>
  <c r="AF100" i="2"/>
  <c r="AE100" i="2"/>
  <c r="AD100" i="2"/>
  <c r="AC100" i="2"/>
  <c r="AB100" i="2"/>
  <c r="AA100" i="2"/>
  <c r="Z100" i="2"/>
  <c r="Y100" i="2"/>
  <c r="X100" i="2"/>
  <c r="AT99" i="2"/>
  <c r="AS99" i="2"/>
  <c r="AR99" i="2"/>
  <c r="AQ99" i="2"/>
  <c r="AP99" i="2"/>
  <c r="AO99" i="2"/>
  <c r="AN99" i="2"/>
  <c r="AM99" i="2"/>
  <c r="AL99" i="2"/>
  <c r="AK99" i="2"/>
  <c r="AJ99" i="2"/>
  <c r="AI99" i="2"/>
  <c r="AH99" i="2"/>
  <c r="AG99" i="2"/>
  <c r="AF99" i="2"/>
  <c r="AE99" i="2"/>
  <c r="AD99" i="2"/>
  <c r="AC99" i="2"/>
  <c r="AB99" i="2"/>
  <c r="AA99" i="2"/>
  <c r="Z99" i="2"/>
  <c r="Y99" i="2"/>
  <c r="X99" i="2"/>
  <c r="AT98" i="2"/>
  <c r="AS98" i="2"/>
  <c r="AR98" i="2"/>
  <c r="AQ98" i="2"/>
  <c r="AP98" i="2"/>
  <c r="AO98" i="2"/>
  <c r="AN98" i="2"/>
  <c r="AM98" i="2"/>
  <c r="AL98" i="2"/>
  <c r="AK98" i="2"/>
  <c r="AJ98" i="2"/>
  <c r="AI98" i="2"/>
  <c r="AH98" i="2"/>
  <c r="AG98" i="2"/>
  <c r="AF98" i="2"/>
  <c r="AE98" i="2"/>
  <c r="AD98" i="2"/>
  <c r="AC98" i="2"/>
  <c r="AB98" i="2"/>
  <c r="AA98" i="2"/>
  <c r="Z98" i="2"/>
  <c r="Y98" i="2"/>
  <c r="X98" i="2"/>
  <c r="AT97" i="2"/>
  <c r="AS97" i="2"/>
  <c r="AR97" i="2"/>
  <c r="AQ97" i="2"/>
  <c r="AP97" i="2"/>
  <c r="AO97" i="2"/>
  <c r="AN97" i="2"/>
  <c r="AM97" i="2"/>
  <c r="AL97" i="2"/>
  <c r="AK97" i="2"/>
  <c r="AJ97" i="2"/>
  <c r="AI97" i="2"/>
  <c r="AH97" i="2"/>
  <c r="AG97" i="2"/>
  <c r="AF97" i="2"/>
  <c r="AE97" i="2"/>
  <c r="AD97" i="2"/>
  <c r="AC97" i="2"/>
  <c r="AB97" i="2"/>
  <c r="AA97" i="2"/>
  <c r="Z97" i="2"/>
  <c r="Y97" i="2"/>
  <c r="X97" i="2"/>
  <c r="AT96" i="2"/>
  <c r="AS96" i="2"/>
  <c r="AR96" i="2"/>
  <c r="AQ96" i="2"/>
  <c r="AP96" i="2"/>
  <c r="AO96" i="2"/>
  <c r="AN96" i="2"/>
  <c r="AM96" i="2"/>
  <c r="AL96" i="2"/>
  <c r="AK96" i="2"/>
  <c r="AJ96" i="2"/>
  <c r="AI96" i="2"/>
  <c r="AH96" i="2"/>
  <c r="AG96" i="2"/>
  <c r="AF96" i="2"/>
  <c r="AE96" i="2"/>
  <c r="AD96" i="2"/>
  <c r="AC96" i="2"/>
  <c r="AB96" i="2"/>
  <c r="AA96" i="2"/>
  <c r="Z96" i="2"/>
  <c r="Y96" i="2"/>
  <c r="X96" i="2"/>
  <c r="AT95" i="2"/>
  <c r="AS95" i="2"/>
  <c r="AR95" i="2"/>
  <c r="AQ95" i="2"/>
  <c r="AP95" i="2"/>
  <c r="AO95" i="2"/>
  <c r="AN95" i="2"/>
  <c r="AM95" i="2"/>
  <c r="AL95" i="2"/>
  <c r="AK95" i="2"/>
  <c r="AJ95" i="2"/>
  <c r="AI95" i="2"/>
  <c r="AH95" i="2"/>
  <c r="AG95" i="2"/>
  <c r="AF95" i="2"/>
  <c r="AE95" i="2"/>
  <c r="AD95" i="2"/>
  <c r="AC95" i="2"/>
  <c r="AB95" i="2"/>
  <c r="AA95" i="2"/>
  <c r="Z95" i="2"/>
  <c r="Y95" i="2"/>
  <c r="X95" i="2"/>
  <c r="AT94" i="2"/>
  <c r="AS94" i="2"/>
  <c r="AR94" i="2"/>
  <c r="AQ94" i="2"/>
  <c r="AP94" i="2"/>
  <c r="AO94" i="2"/>
  <c r="AN94" i="2"/>
  <c r="AM94" i="2"/>
  <c r="AL94" i="2"/>
  <c r="AK94" i="2"/>
  <c r="AJ94" i="2"/>
  <c r="AI94" i="2"/>
  <c r="AH94" i="2"/>
  <c r="AG94" i="2"/>
  <c r="AF94" i="2"/>
  <c r="AE94" i="2"/>
  <c r="AD94" i="2"/>
  <c r="AC94" i="2"/>
  <c r="AB94" i="2"/>
  <c r="AA94" i="2"/>
  <c r="Z94" i="2"/>
  <c r="Y94" i="2"/>
  <c r="X94" i="2"/>
  <c r="AT93" i="2"/>
  <c r="AS93" i="2"/>
  <c r="AR93" i="2"/>
  <c r="AQ93" i="2"/>
  <c r="AP93" i="2"/>
  <c r="AO93" i="2"/>
  <c r="AN93" i="2"/>
  <c r="AM93" i="2"/>
  <c r="AL93" i="2"/>
  <c r="AK93" i="2"/>
  <c r="AJ93" i="2"/>
  <c r="AI93" i="2"/>
  <c r="AH93" i="2"/>
  <c r="AG93" i="2"/>
  <c r="AF93" i="2"/>
  <c r="AE93" i="2"/>
  <c r="AD93" i="2"/>
  <c r="AC93" i="2"/>
  <c r="AB93" i="2"/>
  <c r="AA93" i="2"/>
  <c r="Z93" i="2"/>
  <c r="Y93" i="2"/>
  <c r="X93" i="2"/>
  <c r="AT92" i="2"/>
  <c r="AS92" i="2"/>
  <c r="AR92" i="2"/>
  <c r="AQ92" i="2"/>
  <c r="AP92" i="2"/>
  <c r="AO92" i="2"/>
  <c r="AN92" i="2"/>
  <c r="AM92" i="2"/>
  <c r="AL92" i="2"/>
  <c r="AK92" i="2"/>
  <c r="AJ92" i="2"/>
  <c r="AI92" i="2"/>
  <c r="AH92" i="2"/>
  <c r="AG92" i="2"/>
  <c r="AF92" i="2"/>
  <c r="AE92" i="2"/>
  <c r="AD92" i="2"/>
  <c r="AC92" i="2"/>
  <c r="AB92" i="2"/>
  <c r="AA92" i="2"/>
  <c r="Z92" i="2"/>
  <c r="Y92" i="2"/>
  <c r="X92" i="2"/>
  <c r="AT91" i="2"/>
  <c r="AS91" i="2"/>
  <c r="AR91" i="2"/>
  <c r="AQ91" i="2"/>
  <c r="AP91" i="2"/>
  <c r="AO91" i="2"/>
  <c r="AN91" i="2"/>
  <c r="AM91" i="2"/>
  <c r="AL91" i="2"/>
  <c r="AK91" i="2"/>
  <c r="AJ91" i="2"/>
  <c r="AI91" i="2"/>
  <c r="AH91" i="2"/>
  <c r="AG91" i="2"/>
  <c r="AF91" i="2"/>
  <c r="AE91" i="2"/>
  <c r="AD91" i="2"/>
  <c r="AC91" i="2"/>
  <c r="AB91" i="2"/>
  <c r="AA91" i="2"/>
  <c r="Z91" i="2"/>
  <c r="Y91" i="2"/>
  <c r="X91" i="2"/>
  <c r="AT90" i="2"/>
  <c r="AS90" i="2"/>
  <c r="AR90" i="2"/>
  <c r="AQ90" i="2"/>
  <c r="AP90" i="2"/>
  <c r="AO90" i="2"/>
  <c r="AN90" i="2"/>
  <c r="AM90" i="2"/>
  <c r="AL90" i="2"/>
  <c r="AK90" i="2"/>
  <c r="AJ90" i="2"/>
  <c r="AI90" i="2"/>
  <c r="AH90" i="2"/>
  <c r="AG90" i="2"/>
  <c r="AF90" i="2"/>
  <c r="AE90" i="2"/>
  <c r="AD90" i="2"/>
  <c r="AC90" i="2"/>
  <c r="AB90" i="2"/>
  <c r="AA90" i="2"/>
  <c r="Z90" i="2"/>
  <c r="Y90" i="2"/>
  <c r="X90" i="2"/>
  <c r="AT89" i="2"/>
  <c r="AS89" i="2"/>
  <c r="AR89" i="2"/>
  <c r="AQ89" i="2"/>
  <c r="AP89" i="2"/>
  <c r="AO89" i="2"/>
  <c r="AN89" i="2"/>
  <c r="AM89" i="2"/>
  <c r="AL89" i="2"/>
  <c r="AK89" i="2"/>
  <c r="AJ89" i="2"/>
  <c r="AI89" i="2"/>
  <c r="AH89" i="2"/>
  <c r="AG89" i="2"/>
  <c r="AF89" i="2"/>
  <c r="AE89" i="2"/>
  <c r="AD89" i="2"/>
  <c r="AC89" i="2"/>
  <c r="AB89" i="2"/>
  <c r="AA89" i="2"/>
  <c r="Z89" i="2"/>
  <c r="Y89" i="2"/>
  <c r="X89" i="2"/>
  <c r="AT88" i="2"/>
  <c r="AS88" i="2"/>
  <c r="AR88" i="2"/>
  <c r="AQ88" i="2"/>
  <c r="AP88" i="2"/>
  <c r="AO88" i="2"/>
  <c r="AN88" i="2"/>
  <c r="AM88" i="2"/>
  <c r="AL88" i="2"/>
  <c r="AK88" i="2"/>
  <c r="AJ88" i="2"/>
  <c r="AI88" i="2"/>
  <c r="AH88" i="2"/>
  <c r="AG88" i="2"/>
  <c r="AF88" i="2"/>
  <c r="AE88" i="2"/>
  <c r="AD88" i="2"/>
  <c r="AC88" i="2"/>
  <c r="AB88" i="2"/>
  <c r="AA88" i="2"/>
  <c r="Z88" i="2"/>
  <c r="Y88" i="2"/>
  <c r="X88" i="2"/>
  <c r="AT87" i="2"/>
  <c r="AS87" i="2"/>
  <c r="AR87" i="2"/>
  <c r="AQ87" i="2"/>
  <c r="AP87" i="2"/>
  <c r="AO87" i="2"/>
  <c r="AN87" i="2"/>
  <c r="AM87" i="2"/>
  <c r="AL87" i="2"/>
  <c r="AK87" i="2"/>
  <c r="AJ87" i="2"/>
  <c r="AI87" i="2"/>
  <c r="AH87" i="2"/>
  <c r="AG87" i="2"/>
  <c r="AF87" i="2"/>
  <c r="AE87" i="2"/>
  <c r="AD87" i="2"/>
  <c r="AC87" i="2"/>
  <c r="AB87" i="2"/>
  <c r="AA87" i="2"/>
  <c r="Z87" i="2"/>
  <c r="Y87" i="2"/>
  <c r="X87" i="2"/>
  <c r="AT86" i="2"/>
  <c r="AS86" i="2"/>
  <c r="AR86" i="2"/>
  <c r="AQ86" i="2"/>
  <c r="AP86" i="2"/>
  <c r="AO86" i="2"/>
  <c r="AN86" i="2"/>
  <c r="AM86" i="2"/>
  <c r="AL86" i="2"/>
  <c r="AK86" i="2"/>
  <c r="AJ86" i="2"/>
  <c r="AI86" i="2"/>
  <c r="AH86" i="2"/>
  <c r="AG86" i="2"/>
  <c r="AF86" i="2"/>
  <c r="AE86" i="2"/>
  <c r="AD86" i="2"/>
  <c r="AC86" i="2"/>
  <c r="AB86" i="2"/>
  <c r="AA86" i="2"/>
  <c r="Z86" i="2"/>
  <c r="Y86" i="2"/>
  <c r="X86" i="2"/>
  <c r="AT85" i="2"/>
  <c r="AS85" i="2"/>
  <c r="AR85" i="2"/>
  <c r="AQ85" i="2"/>
  <c r="AP85" i="2"/>
  <c r="AO85" i="2"/>
  <c r="AN85" i="2"/>
  <c r="AM85" i="2"/>
  <c r="AL85" i="2"/>
  <c r="AK85" i="2"/>
  <c r="AJ85" i="2"/>
  <c r="AI85" i="2"/>
  <c r="AH85" i="2"/>
  <c r="AG85" i="2"/>
  <c r="AF85" i="2"/>
  <c r="AE85" i="2"/>
  <c r="AD85" i="2"/>
  <c r="AC85" i="2"/>
  <c r="AB85" i="2"/>
  <c r="AA85" i="2"/>
  <c r="Z85" i="2"/>
  <c r="Y85" i="2"/>
  <c r="X85" i="2"/>
  <c r="AT84" i="2"/>
  <c r="AS84" i="2"/>
  <c r="AR84" i="2"/>
  <c r="AQ84" i="2"/>
  <c r="AP84" i="2"/>
  <c r="AO84" i="2"/>
  <c r="AN84" i="2"/>
  <c r="AM84" i="2"/>
  <c r="AL84" i="2"/>
  <c r="AK84" i="2"/>
  <c r="AJ84" i="2"/>
  <c r="AI84" i="2"/>
  <c r="AH84" i="2"/>
  <c r="AG84" i="2"/>
  <c r="AF84" i="2"/>
  <c r="AE84" i="2"/>
  <c r="AD84" i="2"/>
  <c r="AC84" i="2"/>
  <c r="AB84" i="2"/>
  <c r="AA84" i="2"/>
  <c r="Z84" i="2"/>
  <c r="Y84" i="2"/>
  <c r="X84" i="2"/>
  <c r="AT83" i="2"/>
  <c r="AS83" i="2"/>
  <c r="AR83" i="2"/>
  <c r="AQ83" i="2"/>
  <c r="AP83" i="2"/>
  <c r="AO83" i="2"/>
  <c r="AN83" i="2"/>
  <c r="AM83" i="2"/>
  <c r="AL83" i="2"/>
  <c r="AK83" i="2"/>
  <c r="AJ83" i="2"/>
  <c r="AI83" i="2"/>
  <c r="AH83" i="2"/>
  <c r="AG83" i="2"/>
  <c r="AF83" i="2"/>
  <c r="AE83" i="2"/>
  <c r="AD83" i="2"/>
  <c r="AC83" i="2"/>
  <c r="AB83" i="2"/>
  <c r="AA83" i="2"/>
  <c r="Z83" i="2"/>
  <c r="Y83" i="2"/>
  <c r="X83" i="2"/>
  <c r="AT82" i="2"/>
  <c r="AS82" i="2"/>
  <c r="AR82" i="2"/>
  <c r="AQ82" i="2"/>
  <c r="AP82" i="2"/>
  <c r="AO82" i="2"/>
  <c r="AN82" i="2"/>
  <c r="AM82" i="2"/>
  <c r="AL82" i="2"/>
  <c r="AK82" i="2"/>
  <c r="AJ82" i="2"/>
  <c r="AI82" i="2"/>
  <c r="AH82" i="2"/>
  <c r="AG82" i="2"/>
  <c r="AF82" i="2"/>
  <c r="AE82" i="2"/>
  <c r="AD82" i="2"/>
  <c r="AC82" i="2"/>
  <c r="AB82" i="2"/>
  <c r="AA82" i="2"/>
  <c r="Z82" i="2"/>
  <c r="Y82" i="2"/>
  <c r="X82" i="2"/>
  <c r="AT81" i="2"/>
  <c r="AS81" i="2"/>
  <c r="AR81" i="2"/>
  <c r="AQ81" i="2"/>
  <c r="AP81" i="2"/>
  <c r="AO81" i="2"/>
  <c r="AN81" i="2"/>
  <c r="AM81" i="2"/>
  <c r="AL81" i="2"/>
  <c r="AK81" i="2"/>
  <c r="AJ81" i="2"/>
  <c r="AI81" i="2"/>
  <c r="AH81" i="2"/>
  <c r="AG81" i="2"/>
  <c r="AF81" i="2"/>
  <c r="AE81" i="2"/>
  <c r="AD81" i="2"/>
  <c r="AC81" i="2"/>
  <c r="AB81" i="2"/>
  <c r="AA81" i="2"/>
  <c r="Z81" i="2"/>
  <c r="Y81" i="2"/>
  <c r="X81" i="2"/>
  <c r="AT80" i="2"/>
  <c r="AS80" i="2"/>
  <c r="AR80" i="2"/>
  <c r="AQ80" i="2"/>
  <c r="AP80" i="2"/>
  <c r="AO80" i="2"/>
  <c r="AN80" i="2"/>
  <c r="AM80" i="2"/>
  <c r="AL80" i="2"/>
  <c r="AK80" i="2"/>
  <c r="AJ80" i="2"/>
  <c r="AI80" i="2"/>
  <c r="AH80" i="2"/>
  <c r="AG80" i="2"/>
  <c r="AF80" i="2"/>
  <c r="AE80" i="2"/>
  <c r="AD80" i="2"/>
  <c r="AC80" i="2"/>
  <c r="AB80" i="2"/>
  <c r="AA80" i="2"/>
  <c r="Z80" i="2"/>
  <c r="Y80" i="2"/>
  <c r="X80" i="2"/>
  <c r="AT79" i="2"/>
  <c r="AS79" i="2"/>
  <c r="AR79" i="2"/>
  <c r="AQ79" i="2"/>
  <c r="AP79" i="2"/>
  <c r="AO79" i="2"/>
  <c r="AN79" i="2"/>
  <c r="AM79" i="2"/>
  <c r="AL79" i="2"/>
  <c r="AK79" i="2"/>
  <c r="AJ79" i="2"/>
  <c r="AI79" i="2"/>
  <c r="AH79" i="2"/>
  <c r="AG79" i="2"/>
  <c r="AF79" i="2"/>
  <c r="AE79" i="2"/>
  <c r="AD79" i="2"/>
  <c r="AC79" i="2"/>
  <c r="AB79" i="2"/>
  <c r="AA79" i="2"/>
  <c r="Z79" i="2"/>
  <c r="Y79" i="2"/>
  <c r="X79" i="2"/>
  <c r="AT78" i="2"/>
  <c r="AS78" i="2"/>
  <c r="AR78" i="2"/>
  <c r="AQ78" i="2"/>
  <c r="AP78" i="2"/>
  <c r="AO78" i="2"/>
  <c r="AN78" i="2"/>
  <c r="AM78" i="2"/>
  <c r="AL78" i="2"/>
  <c r="AK78" i="2"/>
  <c r="AJ78" i="2"/>
  <c r="AI78" i="2"/>
  <c r="AH78" i="2"/>
  <c r="AG78" i="2"/>
  <c r="AF78" i="2"/>
  <c r="AE78" i="2"/>
  <c r="AD78" i="2"/>
  <c r="AC78" i="2"/>
  <c r="AB78" i="2"/>
  <c r="AA78" i="2"/>
  <c r="Z78" i="2"/>
  <c r="Y78" i="2"/>
  <c r="X78" i="2"/>
  <c r="AT77" i="2"/>
  <c r="AS77" i="2"/>
  <c r="AR77" i="2"/>
  <c r="AQ77" i="2"/>
  <c r="AP77" i="2"/>
  <c r="AO77" i="2"/>
  <c r="AN77" i="2"/>
  <c r="AM77" i="2"/>
  <c r="AL77" i="2"/>
  <c r="AK77" i="2"/>
  <c r="AJ77" i="2"/>
  <c r="AI77" i="2"/>
  <c r="AH77" i="2"/>
  <c r="AG77" i="2"/>
  <c r="AF77" i="2"/>
  <c r="AE77" i="2"/>
  <c r="AD77" i="2"/>
  <c r="AC77" i="2"/>
  <c r="AB77" i="2"/>
  <c r="AA77" i="2"/>
  <c r="Z77" i="2"/>
  <c r="Y77" i="2"/>
  <c r="X77" i="2"/>
  <c r="AT76" i="2"/>
  <c r="AS76" i="2"/>
  <c r="AR76" i="2"/>
  <c r="AQ76" i="2"/>
  <c r="AP76" i="2"/>
  <c r="AO76" i="2"/>
  <c r="AN76" i="2"/>
  <c r="AM76" i="2"/>
  <c r="AL76" i="2"/>
  <c r="AK76" i="2"/>
  <c r="AJ76" i="2"/>
  <c r="AI76" i="2"/>
  <c r="AH76" i="2"/>
  <c r="AG76" i="2"/>
  <c r="AF76" i="2"/>
  <c r="AE76" i="2"/>
  <c r="AD76" i="2"/>
  <c r="AC76" i="2"/>
  <c r="AB76" i="2"/>
  <c r="AA76" i="2"/>
  <c r="Z76" i="2"/>
  <c r="Y76" i="2"/>
  <c r="X76" i="2"/>
  <c r="AT75" i="2"/>
  <c r="AS75" i="2"/>
  <c r="AR75" i="2"/>
  <c r="AQ75" i="2"/>
  <c r="AP75" i="2"/>
  <c r="AO75" i="2"/>
  <c r="AN75" i="2"/>
  <c r="AM75" i="2"/>
  <c r="AL75" i="2"/>
  <c r="AK75" i="2"/>
  <c r="AJ75" i="2"/>
  <c r="AI75" i="2"/>
  <c r="AH75" i="2"/>
  <c r="AG75" i="2"/>
  <c r="AF75" i="2"/>
  <c r="AE75" i="2"/>
  <c r="AD75" i="2"/>
  <c r="AC75" i="2"/>
  <c r="AB75" i="2"/>
  <c r="AA75" i="2"/>
  <c r="Z75" i="2"/>
  <c r="Y75" i="2"/>
  <c r="X75" i="2"/>
  <c r="AT74" i="2"/>
  <c r="AS74" i="2"/>
  <c r="AR74" i="2"/>
  <c r="AQ74" i="2"/>
  <c r="AP74" i="2"/>
  <c r="AO74" i="2"/>
  <c r="AN74" i="2"/>
  <c r="AM74" i="2"/>
  <c r="AL74" i="2"/>
  <c r="AK74" i="2"/>
  <c r="AJ74" i="2"/>
  <c r="AI74" i="2"/>
  <c r="AH74" i="2"/>
  <c r="AG74" i="2"/>
  <c r="AF74" i="2"/>
  <c r="AE74" i="2"/>
  <c r="AD74" i="2"/>
  <c r="AC74" i="2"/>
  <c r="AB74" i="2"/>
  <c r="AA74" i="2"/>
  <c r="Z74" i="2"/>
  <c r="Y74" i="2"/>
  <c r="X74" i="2"/>
  <c r="AT73" i="2"/>
  <c r="AS73" i="2"/>
  <c r="AR73" i="2"/>
  <c r="AQ73" i="2"/>
  <c r="AP73" i="2"/>
  <c r="AO73" i="2"/>
  <c r="AN73" i="2"/>
  <c r="AM73" i="2"/>
  <c r="AL73" i="2"/>
  <c r="AK73" i="2"/>
  <c r="AJ73" i="2"/>
  <c r="AI73" i="2"/>
  <c r="AH73" i="2"/>
  <c r="AG73" i="2"/>
  <c r="AF73" i="2"/>
  <c r="AE73" i="2"/>
  <c r="AD73" i="2"/>
  <c r="AC73" i="2"/>
  <c r="AB73" i="2"/>
  <c r="AA73" i="2"/>
  <c r="Z73" i="2"/>
  <c r="Y73" i="2"/>
  <c r="X73" i="2"/>
  <c r="AT72" i="2"/>
  <c r="AS72" i="2"/>
  <c r="AR72" i="2"/>
  <c r="AQ72" i="2"/>
  <c r="AP72" i="2"/>
  <c r="AO72" i="2"/>
  <c r="AN72" i="2"/>
  <c r="AM72" i="2"/>
  <c r="AL72" i="2"/>
  <c r="AK72" i="2"/>
  <c r="AJ72" i="2"/>
  <c r="AI72" i="2"/>
  <c r="AH72" i="2"/>
  <c r="AG72" i="2"/>
  <c r="AF72" i="2"/>
  <c r="AE72" i="2"/>
  <c r="AD72" i="2"/>
  <c r="AC72" i="2"/>
  <c r="AB72" i="2"/>
  <c r="AA72" i="2"/>
  <c r="Z72" i="2"/>
  <c r="Y72" i="2"/>
  <c r="X72" i="2"/>
  <c r="AT71" i="2"/>
  <c r="AS71" i="2"/>
  <c r="AR71" i="2"/>
  <c r="AQ71" i="2"/>
  <c r="AP71" i="2"/>
  <c r="AO71" i="2"/>
  <c r="AN71" i="2"/>
  <c r="AM71" i="2"/>
  <c r="AL71" i="2"/>
  <c r="AK71" i="2"/>
  <c r="AJ71" i="2"/>
  <c r="AI71" i="2"/>
  <c r="AH71" i="2"/>
  <c r="AG71" i="2"/>
  <c r="AF71" i="2"/>
  <c r="AE71" i="2"/>
  <c r="AD71" i="2"/>
  <c r="AC71" i="2"/>
  <c r="AB71" i="2"/>
  <c r="AA71" i="2"/>
  <c r="Z71" i="2"/>
  <c r="Y71" i="2"/>
  <c r="X71" i="2"/>
  <c r="AT70" i="2"/>
  <c r="AS70" i="2"/>
  <c r="AR70" i="2"/>
  <c r="AQ70" i="2"/>
  <c r="AP70" i="2"/>
  <c r="AO70" i="2"/>
  <c r="AN70" i="2"/>
  <c r="AM70" i="2"/>
  <c r="AL70" i="2"/>
  <c r="AK70" i="2"/>
  <c r="AJ70" i="2"/>
  <c r="AI70" i="2"/>
  <c r="AH70" i="2"/>
  <c r="AG70" i="2"/>
  <c r="AF70" i="2"/>
  <c r="AE70" i="2"/>
  <c r="AD70" i="2"/>
  <c r="AC70" i="2"/>
  <c r="AB70" i="2"/>
  <c r="AA70" i="2"/>
  <c r="Z70" i="2"/>
  <c r="Y70" i="2"/>
  <c r="X70" i="2"/>
  <c r="AT69" i="2"/>
  <c r="AS69" i="2"/>
  <c r="AR69" i="2"/>
  <c r="AQ69" i="2"/>
  <c r="AP69" i="2"/>
  <c r="AO69" i="2"/>
  <c r="AN69" i="2"/>
  <c r="AM69" i="2"/>
  <c r="AL69" i="2"/>
  <c r="AK69" i="2"/>
  <c r="AJ69" i="2"/>
  <c r="AI69" i="2"/>
  <c r="AH69" i="2"/>
  <c r="AG69" i="2"/>
  <c r="AF69" i="2"/>
  <c r="AE69" i="2"/>
  <c r="AD69" i="2"/>
  <c r="AC69" i="2"/>
  <c r="AB69" i="2"/>
  <c r="AA69" i="2"/>
  <c r="Z69" i="2"/>
  <c r="Y69" i="2"/>
  <c r="X69" i="2"/>
  <c r="AT68" i="2"/>
  <c r="AS68" i="2"/>
  <c r="AR68" i="2"/>
  <c r="AQ68" i="2"/>
  <c r="AP68" i="2"/>
  <c r="AO68" i="2"/>
  <c r="AN68" i="2"/>
  <c r="AM68" i="2"/>
  <c r="AL68" i="2"/>
  <c r="AK68" i="2"/>
  <c r="AJ68" i="2"/>
  <c r="AI68" i="2"/>
  <c r="AH68" i="2"/>
  <c r="AG68" i="2"/>
  <c r="AF68" i="2"/>
  <c r="AE68" i="2"/>
  <c r="AD68" i="2"/>
  <c r="AC68" i="2"/>
  <c r="AB68" i="2"/>
  <c r="AA68" i="2"/>
  <c r="Z68" i="2"/>
  <c r="Y68" i="2"/>
  <c r="X68" i="2"/>
  <c r="AT67" i="2"/>
  <c r="AS67" i="2"/>
  <c r="AR67" i="2"/>
  <c r="AQ67" i="2"/>
  <c r="AP67" i="2"/>
  <c r="AO67" i="2"/>
  <c r="AN67" i="2"/>
  <c r="AM67" i="2"/>
  <c r="AL67" i="2"/>
  <c r="AK67" i="2"/>
  <c r="AJ67" i="2"/>
  <c r="AI67" i="2"/>
  <c r="AH67" i="2"/>
  <c r="AG67" i="2"/>
  <c r="AF67" i="2"/>
  <c r="AE67" i="2"/>
  <c r="AD67" i="2"/>
  <c r="AC67" i="2"/>
  <c r="AB67" i="2"/>
  <c r="AA67" i="2"/>
  <c r="Z67" i="2"/>
  <c r="Y67" i="2"/>
  <c r="X67" i="2"/>
  <c r="AT66" i="2"/>
  <c r="AS66" i="2"/>
  <c r="AR66" i="2"/>
  <c r="AQ66" i="2"/>
  <c r="AP66" i="2"/>
  <c r="AO66" i="2"/>
  <c r="AN66" i="2"/>
  <c r="AM66" i="2"/>
  <c r="AL66" i="2"/>
  <c r="AK66" i="2"/>
  <c r="AJ66" i="2"/>
  <c r="AI66" i="2"/>
  <c r="AH66" i="2"/>
  <c r="AG66" i="2"/>
  <c r="AF66" i="2"/>
  <c r="AE66" i="2"/>
  <c r="AD66" i="2"/>
  <c r="AC66" i="2"/>
  <c r="AB66" i="2"/>
  <c r="AA66" i="2"/>
  <c r="Z66" i="2"/>
  <c r="Y66" i="2"/>
  <c r="X66" i="2"/>
  <c r="AT65" i="2"/>
  <c r="AS65" i="2"/>
  <c r="AR65" i="2"/>
  <c r="AQ65" i="2"/>
  <c r="AP65" i="2"/>
  <c r="AO65" i="2"/>
  <c r="AN65" i="2"/>
  <c r="AM65" i="2"/>
  <c r="AL65" i="2"/>
  <c r="AK65" i="2"/>
  <c r="AJ65" i="2"/>
  <c r="AI65" i="2"/>
  <c r="AH65" i="2"/>
  <c r="AG65" i="2"/>
  <c r="AF65" i="2"/>
  <c r="AE65" i="2"/>
  <c r="AD65" i="2"/>
  <c r="AC65" i="2"/>
  <c r="AB65" i="2"/>
  <c r="AA65" i="2"/>
  <c r="Z65" i="2"/>
  <c r="Y65" i="2"/>
  <c r="X65" i="2"/>
  <c r="AT64" i="2"/>
  <c r="AS64" i="2"/>
  <c r="AR64" i="2"/>
  <c r="AQ64" i="2"/>
  <c r="AP64" i="2"/>
  <c r="AO64" i="2"/>
  <c r="AN64" i="2"/>
  <c r="AM64" i="2"/>
  <c r="AL64" i="2"/>
  <c r="AK64" i="2"/>
  <c r="AJ64" i="2"/>
  <c r="AI64" i="2"/>
  <c r="AH64" i="2"/>
  <c r="AG64" i="2"/>
  <c r="AF64" i="2"/>
  <c r="AE64" i="2"/>
  <c r="AD64" i="2"/>
  <c r="AC64" i="2"/>
  <c r="AB64" i="2"/>
  <c r="AA64" i="2"/>
  <c r="Z64" i="2"/>
  <c r="Y64" i="2"/>
  <c r="X64" i="2"/>
  <c r="AT63" i="2"/>
  <c r="AS63" i="2"/>
  <c r="AR63" i="2"/>
  <c r="AQ63" i="2"/>
  <c r="AP63" i="2"/>
  <c r="AO63" i="2"/>
  <c r="AN63" i="2"/>
  <c r="AM63" i="2"/>
  <c r="AL63" i="2"/>
  <c r="AK63" i="2"/>
  <c r="AJ63" i="2"/>
  <c r="AI63" i="2"/>
  <c r="AH63" i="2"/>
  <c r="AG63" i="2"/>
  <c r="AF63" i="2"/>
  <c r="AE63" i="2"/>
  <c r="AD63" i="2"/>
  <c r="AC63" i="2"/>
  <c r="AB63" i="2"/>
  <c r="AA63" i="2"/>
  <c r="Z63" i="2"/>
  <c r="Y63" i="2"/>
  <c r="X63" i="2"/>
  <c r="AT62" i="2"/>
  <c r="AS62" i="2"/>
  <c r="AR62" i="2"/>
  <c r="AQ62" i="2"/>
  <c r="AP62" i="2"/>
  <c r="AO62" i="2"/>
  <c r="AN62" i="2"/>
  <c r="AM62" i="2"/>
  <c r="AL62" i="2"/>
  <c r="AK62" i="2"/>
  <c r="AJ62" i="2"/>
  <c r="AI62" i="2"/>
  <c r="AH62" i="2"/>
  <c r="AG62" i="2"/>
  <c r="AF62" i="2"/>
  <c r="AE62" i="2"/>
  <c r="AD62" i="2"/>
  <c r="AC62" i="2"/>
  <c r="AB62" i="2"/>
  <c r="AA62" i="2"/>
  <c r="Z62" i="2"/>
  <c r="Y62" i="2"/>
  <c r="X62" i="2"/>
  <c r="AT61" i="2"/>
  <c r="AS61" i="2"/>
  <c r="AR61" i="2"/>
  <c r="AQ61" i="2"/>
  <c r="AP61" i="2"/>
  <c r="AO61" i="2"/>
  <c r="AN61" i="2"/>
  <c r="AM61" i="2"/>
  <c r="AL61" i="2"/>
  <c r="AK61" i="2"/>
  <c r="AJ61" i="2"/>
  <c r="AI61" i="2"/>
  <c r="AH61" i="2"/>
  <c r="AG61" i="2"/>
  <c r="AF61" i="2"/>
  <c r="AE61" i="2"/>
  <c r="AD61" i="2"/>
  <c r="AC61" i="2"/>
  <c r="AB61" i="2"/>
  <c r="AA61" i="2"/>
  <c r="Z61" i="2"/>
  <c r="Y61" i="2"/>
  <c r="X61" i="2"/>
  <c r="AT60" i="2"/>
  <c r="AS60" i="2"/>
  <c r="AR60" i="2"/>
  <c r="AQ60" i="2"/>
  <c r="AP60" i="2"/>
  <c r="AO60" i="2"/>
  <c r="AN60" i="2"/>
  <c r="AM60" i="2"/>
  <c r="AL60" i="2"/>
  <c r="AK60" i="2"/>
  <c r="AJ60" i="2"/>
  <c r="AI60" i="2"/>
  <c r="AH60" i="2"/>
  <c r="AG60" i="2"/>
  <c r="AF60" i="2"/>
  <c r="AE60" i="2"/>
  <c r="AD60" i="2"/>
  <c r="AC60" i="2"/>
  <c r="AB60" i="2"/>
  <c r="AA60" i="2"/>
  <c r="Z60" i="2"/>
  <c r="Y60" i="2"/>
  <c r="X60" i="2"/>
  <c r="AT59" i="2"/>
  <c r="AS59" i="2"/>
  <c r="AR59" i="2"/>
  <c r="AQ59" i="2"/>
  <c r="AP59" i="2"/>
  <c r="AO59" i="2"/>
  <c r="AN59" i="2"/>
  <c r="AM59" i="2"/>
  <c r="AL59" i="2"/>
  <c r="AK59" i="2"/>
  <c r="AJ59" i="2"/>
  <c r="AI59" i="2"/>
  <c r="AH59" i="2"/>
  <c r="AG59" i="2"/>
  <c r="AF59" i="2"/>
  <c r="AE59" i="2"/>
  <c r="AD59" i="2"/>
  <c r="AC59" i="2"/>
  <c r="AB59" i="2"/>
  <c r="AA59" i="2"/>
  <c r="Z59" i="2"/>
  <c r="Y59" i="2"/>
  <c r="X59" i="2"/>
  <c r="AT58" i="2"/>
  <c r="AS58" i="2"/>
  <c r="AR58" i="2"/>
  <c r="AQ58" i="2"/>
  <c r="AP58" i="2"/>
  <c r="AO58" i="2"/>
  <c r="AN58" i="2"/>
  <c r="AM58" i="2"/>
  <c r="AL58" i="2"/>
  <c r="AK58" i="2"/>
  <c r="AJ58" i="2"/>
  <c r="AI58" i="2"/>
  <c r="AH58" i="2"/>
  <c r="AG58" i="2"/>
  <c r="AF58" i="2"/>
  <c r="AE58" i="2"/>
  <c r="AD58" i="2"/>
  <c r="AC58" i="2"/>
  <c r="AB58" i="2"/>
  <c r="AA58" i="2"/>
  <c r="Z58" i="2"/>
  <c r="Y58" i="2"/>
  <c r="X58" i="2"/>
  <c r="AT57" i="2"/>
  <c r="AS57" i="2"/>
  <c r="AR57" i="2"/>
  <c r="AQ57" i="2"/>
  <c r="AP57" i="2"/>
  <c r="AO57" i="2"/>
  <c r="AN57" i="2"/>
  <c r="AM57" i="2"/>
  <c r="AL57" i="2"/>
  <c r="AK57" i="2"/>
  <c r="AJ57" i="2"/>
  <c r="AI57" i="2"/>
  <c r="AH57" i="2"/>
  <c r="AG57" i="2"/>
  <c r="AF57" i="2"/>
  <c r="AE57" i="2"/>
  <c r="AD57" i="2"/>
  <c r="AC57" i="2"/>
  <c r="AB57" i="2"/>
  <c r="AA57" i="2"/>
  <c r="Z57" i="2"/>
  <c r="Y57" i="2"/>
  <c r="X57" i="2"/>
  <c r="AT56" i="2"/>
  <c r="AS56" i="2"/>
  <c r="AR56" i="2"/>
  <c r="AQ56" i="2"/>
  <c r="AP56" i="2"/>
  <c r="AO56" i="2"/>
  <c r="AN56" i="2"/>
  <c r="AM56" i="2"/>
  <c r="AL56" i="2"/>
  <c r="AK56" i="2"/>
  <c r="AJ56" i="2"/>
  <c r="AI56" i="2"/>
  <c r="AH56" i="2"/>
  <c r="AG56" i="2"/>
  <c r="AF56" i="2"/>
  <c r="AE56" i="2"/>
  <c r="AD56" i="2"/>
  <c r="AC56" i="2"/>
  <c r="AB56" i="2"/>
  <c r="AA56" i="2"/>
  <c r="Z56" i="2"/>
  <c r="Y56" i="2"/>
  <c r="X56" i="2"/>
  <c r="AT55" i="2"/>
  <c r="AS55" i="2"/>
  <c r="AR55" i="2"/>
  <c r="AQ55" i="2"/>
  <c r="AP55" i="2"/>
  <c r="AO55" i="2"/>
  <c r="AN55" i="2"/>
  <c r="AM55" i="2"/>
  <c r="AL55" i="2"/>
  <c r="AK55" i="2"/>
  <c r="AJ55" i="2"/>
  <c r="AI55" i="2"/>
  <c r="AH55" i="2"/>
  <c r="AG55" i="2"/>
  <c r="AF55" i="2"/>
  <c r="AE55" i="2"/>
  <c r="AD55" i="2"/>
  <c r="AC55" i="2"/>
  <c r="AB55" i="2"/>
  <c r="AA55" i="2"/>
  <c r="Z55" i="2"/>
  <c r="Y55" i="2"/>
  <c r="X55" i="2"/>
  <c r="AT54" i="2"/>
  <c r="AS54" i="2"/>
  <c r="AR54" i="2"/>
  <c r="AQ54" i="2"/>
  <c r="AP54" i="2"/>
  <c r="AO54" i="2"/>
  <c r="AN54" i="2"/>
  <c r="AM54" i="2"/>
  <c r="AL54" i="2"/>
  <c r="AK54" i="2"/>
  <c r="AJ54" i="2"/>
  <c r="AI54" i="2"/>
  <c r="AH54" i="2"/>
  <c r="AG54" i="2"/>
  <c r="AF54" i="2"/>
  <c r="AE54" i="2"/>
  <c r="AD54" i="2"/>
  <c r="AC54" i="2"/>
  <c r="AB54" i="2"/>
  <c r="AA54" i="2"/>
  <c r="Z54" i="2"/>
  <c r="Y54" i="2"/>
  <c r="X54" i="2"/>
  <c r="AT53" i="2"/>
  <c r="AS53" i="2"/>
  <c r="AR53" i="2"/>
  <c r="AQ53" i="2"/>
  <c r="AP53" i="2"/>
  <c r="AO53" i="2"/>
  <c r="AN53" i="2"/>
  <c r="AM53" i="2"/>
  <c r="AL53" i="2"/>
  <c r="AK53" i="2"/>
  <c r="AJ53" i="2"/>
  <c r="AI53" i="2"/>
  <c r="AH53" i="2"/>
  <c r="AG53" i="2"/>
  <c r="AF53" i="2"/>
  <c r="AE53" i="2"/>
  <c r="AD53" i="2"/>
  <c r="AC53" i="2"/>
  <c r="AB53" i="2"/>
  <c r="AA53" i="2"/>
  <c r="Z53" i="2"/>
  <c r="Y53" i="2"/>
  <c r="X53" i="2"/>
  <c r="AT52" i="2"/>
  <c r="AS52" i="2"/>
  <c r="AR52" i="2"/>
  <c r="AQ52" i="2"/>
  <c r="AP52" i="2"/>
  <c r="AO52" i="2"/>
  <c r="AN52" i="2"/>
  <c r="AM52" i="2"/>
  <c r="AL52" i="2"/>
  <c r="AK52" i="2"/>
  <c r="AJ52" i="2"/>
  <c r="AI52" i="2"/>
  <c r="AH52" i="2"/>
  <c r="AG52" i="2"/>
  <c r="AF52" i="2"/>
  <c r="AE52" i="2"/>
  <c r="AD52" i="2"/>
  <c r="AC52" i="2"/>
  <c r="AB52" i="2"/>
  <c r="AA52" i="2"/>
  <c r="Z52" i="2"/>
  <c r="Y52" i="2"/>
  <c r="X52" i="2"/>
  <c r="AT51" i="2"/>
  <c r="AS51" i="2"/>
  <c r="AR51" i="2"/>
  <c r="AQ51" i="2"/>
  <c r="AP51" i="2"/>
  <c r="AO51" i="2"/>
  <c r="AN51" i="2"/>
  <c r="AM51" i="2"/>
  <c r="AL51" i="2"/>
  <c r="AK51" i="2"/>
  <c r="AJ51" i="2"/>
  <c r="AI51" i="2"/>
  <c r="AH51" i="2"/>
  <c r="AG51" i="2"/>
  <c r="AF51" i="2"/>
  <c r="AE51" i="2"/>
  <c r="AD51" i="2"/>
  <c r="AC51" i="2"/>
  <c r="AB51" i="2"/>
  <c r="AA51" i="2"/>
  <c r="Z51" i="2"/>
  <c r="Y51" i="2"/>
  <c r="X51" i="2"/>
  <c r="AT50" i="2"/>
  <c r="AS50" i="2"/>
  <c r="AR50" i="2"/>
  <c r="AQ50" i="2"/>
  <c r="AP50" i="2"/>
  <c r="AO50" i="2"/>
  <c r="AN50" i="2"/>
  <c r="AM50" i="2"/>
  <c r="AL50" i="2"/>
  <c r="AK50" i="2"/>
  <c r="AJ50" i="2"/>
  <c r="AI50" i="2"/>
  <c r="AH50" i="2"/>
  <c r="AG50" i="2"/>
  <c r="AF50" i="2"/>
  <c r="AE50" i="2"/>
  <c r="AD50" i="2"/>
  <c r="AC50" i="2"/>
  <c r="AB50" i="2"/>
  <c r="AA50" i="2"/>
  <c r="Z50" i="2"/>
  <c r="Y50" i="2"/>
  <c r="X50" i="2"/>
  <c r="AT49" i="2"/>
  <c r="AS49" i="2"/>
  <c r="AR49" i="2"/>
  <c r="AQ49" i="2"/>
  <c r="AP49" i="2"/>
  <c r="AO49" i="2"/>
  <c r="AN49" i="2"/>
  <c r="AM49" i="2"/>
  <c r="AL49" i="2"/>
  <c r="AK49" i="2"/>
  <c r="AJ49" i="2"/>
  <c r="AI49" i="2"/>
  <c r="AH49" i="2"/>
  <c r="AG49" i="2"/>
  <c r="AF49" i="2"/>
  <c r="AE49" i="2"/>
  <c r="AD49" i="2"/>
  <c r="AC49" i="2"/>
  <c r="AB49" i="2"/>
  <c r="AA49" i="2"/>
  <c r="Z49" i="2"/>
  <c r="Y49" i="2"/>
  <c r="X49" i="2"/>
  <c r="AT48" i="2"/>
  <c r="AS48" i="2"/>
  <c r="AR48" i="2"/>
  <c r="AQ48" i="2"/>
  <c r="AP48" i="2"/>
  <c r="AO48" i="2"/>
  <c r="AN48" i="2"/>
  <c r="AM48" i="2"/>
  <c r="AL48" i="2"/>
  <c r="AK48" i="2"/>
  <c r="AJ48" i="2"/>
  <c r="AI48" i="2"/>
  <c r="AH48" i="2"/>
  <c r="AG48" i="2"/>
  <c r="AF48" i="2"/>
  <c r="AE48" i="2"/>
  <c r="AD48" i="2"/>
  <c r="AC48" i="2"/>
  <c r="AB48" i="2"/>
  <c r="AA48" i="2"/>
  <c r="Z48" i="2"/>
  <c r="Y48" i="2"/>
  <c r="X48" i="2"/>
  <c r="AT47" i="2"/>
  <c r="AS47" i="2"/>
  <c r="AR47" i="2"/>
  <c r="AQ47" i="2"/>
  <c r="AP47" i="2"/>
  <c r="AO47" i="2"/>
  <c r="AN47" i="2"/>
  <c r="AM47" i="2"/>
  <c r="AL47" i="2"/>
  <c r="AK47" i="2"/>
  <c r="AJ47" i="2"/>
  <c r="AI47" i="2"/>
  <c r="AH47" i="2"/>
  <c r="AG47" i="2"/>
  <c r="AF47" i="2"/>
  <c r="AE47" i="2"/>
  <c r="AD47" i="2"/>
  <c r="AC47" i="2"/>
  <c r="AB47" i="2"/>
  <c r="AA47" i="2"/>
  <c r="Z47" i="2"/>
  <c r="Y47" i="2"/>
  <c r="X47" i="2"/>
  <c r="AT46" i="2"/>
  <c r="AS46" i="2"/>
  <c r="AR46" i="2"/>
  <c r="AQ46" i="2"/>
  <c r="AP46" i="2"/>
  <c r="AO46" i="2"/>
  <c r="AN46" i="2"/>
  <c r="AM46" i="2"/>
  <c r="AL46" i="2"/>
  <c r="AK46" i="2"/>
  <c r="AJ46" i="2"/>
  <c r="AI46" i="2"/>
  <c r="AH46" i="2"/>
  <c r="AG46" i="2"/>
  <c r="AF46" i="2"/>
  <c r="AE46" i="2"/>
  <c r="AD46" i="2"/>
  <c r="AC46" i="2"/>
  <c r="AB46" i="2"/>
  <c r="AA46" i="2"/>
  <c r="Z46" i="2"/>
  <c r="Y46" i="2"/>
  <c r="X46" i="2"/>
  <c r="AT45" i="2"/>
  <c r="AS45" i="2"/>
  <c r="AR45" i="2"/>
  <c r="AQ45" i="2"/>
  <c r="AP45" i="2"/>
  <c r="AO45" i="2"/>
  <c r="AN45" i="2"/>
  <c r="AM45" i="2"/>
  <c r="AL45" i="2"/>
  <c r="AK45" i="2"/>
  <c r="AJ45" i="2"/>
  <c r="AI45" i="2"/>
  <c r="AH45" i="2"/>
  <c r="AG45" i="2"/>
  <c r="AF45" i="2"/>
  <c r="AE45" i="2"/>
  <c r="AD45" i="2"/>
  <c r="AC45" i="2"/>
  <c r="AB45" i="2"/>
  <c r="AA45" i="2"/>
  <c r="Z45" i="2"/>
  <c r="Y45" i="2"/>
  <c r="X45" i="2"/>
  <c r="AT44" i="2"/>
  <c r="AS44" i="2"/>
  <c r="AR44" i="2"/>
  <c r="AQ44" i="2"/>
  <c r="AP44" i="2"/>
  <c r="AO44" i="2"/>
  <c r="AN44" i="2"/>
  <c r="AM44" i="2"/>
  <c r="AL44" i="2"/>
  <c r="AK44" i="2"/>
  <c r="AJ44" i="2"/>
  <c r="AI44" i="2"/>
  <c r="AH44" i="2"/>
  <c r="AG44" i="2"/>
  <c r="AF44" i="2"/>
  <c r="AE44" i="2"/>
  <c r="AD44" i="2"/>
  <c r="AC44" i="2"/>
  <c r="AB44" i="2"/>
  <c r="AA44" i="2"/>
  <c r="Z44" i="2"/>
  <c r="Y44" i="2"/>
  <c r="X44" i="2"/>
  <c r="AT43" i="2"/>
  <c r="AS43" i="2"/>
  <c r="AR43" i="2"/>
  <c r="AQ43" i="2"/>
  <c r="AP43" i="2"/>
  <c r="AO43" i="2"/>
  <c r="AN43" i="2"/>
  <c r="AM43" i="2"/>
  <c r="AL43" i="2"/>
  <c r="AK43" i="2"/>
  <c r="AJ43" i="2"/>
  <c r="AI43" i="2"/>
  <c r="AH43" i="2"/>
  <c r="AG43" i="2"/>
  <c r="AF43" i="2"/>
  <c r="AE43" i="2"/>
  <c r="AD43" i="2"/>
  <c r="AC43" i="2"/>
  <c r="AB43" i="2"/>
  <c r="AA43" i="2"/>
  <c r="Z43" i="2"/>
  <c r="Y43" i="2"/>
  <c r="X43" i="2"/>
  <c r="AT42" i="2"/>
  <c r="AS42" i="2"/>
  <c r="AR42" i="2"/>
  <c r="AQ42" i="2"/>
  <c r="AP42" i="2"/>
  <c r="AO42" i="2"/>
  <c r="AN42" i="2"/>
  <c r="AM42" i="2"/>
  <c r="AL42" i="2"/>
  <c r="AK42" i="2"/>
  <c r="AJ42" i="2"/>
  <c r="AI42" i="2"/>
  <c r="AH42" i="2"/>
  <c r="AG42" i="2"/>
  <c r="AF42" i="2"/>
  <c r="AE42" i="2"/>
  <c r="AD42" i="2"/>
  <c r="AC42" i="2"/>
  <c r="AB42" i="2"/>
  <c r="AA42" i="2"/>
  <c r="Z42" i="2"/>
  <c r="Y42" i="2"/>
  <c r="X42" i="2"/>
  <c r="AT41" i="2"/>
  <c r="AS41" i="2"/>
  <c r="AR41" i="2"/>
  <c r="AQ41" i="2"/>
  <c r="AP41" i="2"/>
  <c r="AO41" i="2"/>
  <c r="AN41" i="2"/>
  <c r="AM41" i="2"/>
  <c r="AL41" i="2"/>
  <c r="AK41" i="2"/>
  <c r="AJ41" i="2"/>
  <c r="AI41" i="2"/>
  <c r="AH41" i="2"/>
  <c r="AG41" i="2"/>
  <c r="AF41" i="2"/>
  <c r="AE41" i="2"/>
  <c r="AD41" i="2"/>
  <c r="AC41" i="2"/>
  <c r="AB41" i="2"/>
  <c r="AA41" i="2"/>
  <c r="Z41" i="2"/>
  <c r="Y41" i="2"/>
  <c r="X41" i="2"/>
  <c r="AT40" i="2"/>
  <c r="AS40" i="2"/>
  <c r="AR40" i="2"/>
  <c r="AQ40" i="2"/>
  <c r="AP40" i="2"/>
  <c r="AO40" i="2"/>
  <c r="AN40" i="2"/>
  <c r="AM40" i="2"/>
  <c r="AL40" i="2"/>
  <c r="AK40" i="2"/>
  <c r="AJ40" i="2"/>
  <c r="AI40" i="2"/>
  <c r="AH40" i="2"/>
  <c r="AG40" i="2"/>
  <c r="AF40" i="2"/>
  <c r="AE40" i="2"/>
  <c r="AD40" i="2"/>
  <c r="AC40" i="2"/>
  <c r="AB40" i="2"/>
  <c r="AA40" i="2"/>
  <c r="Z40" i="2"/>
  <c r="Y40" i="2"/>
  <c r="X40" i="2"/>
  <c r="AT39" i="2"/>
  <c r="AS39" i="2"/>
  <c r="AR39" i="2"/>
  <c r="AQ39" i="2"/>
  <c r="AP39" i="2"/>
  <c r="AO39" i="2"/>
  <c r="AN39" i="2"/>
  <c r="AM39" i="2"/>
  <c r="AL39" i="2"/>
  <c r="AK39" i="2"/>
  <c r="AJ39" i="2"/>
  <c r="AI39" i="2"/>
  <c r="AH39" i="2"/>
  <c r="AG39" i="2"/>
  <c r="AF39" i="2"/>
  <c r="AE39" i="2"/>
  <c r="AD39" i="2"/>
  <c r="AC39" i="2"/>
  <c r="AB39" i="2"/>
  <c r="AA39" i="2"/>
  <c r="Z39" i="2"/>
  <c r="Y39" i="2"/>
  <c r="X39" i="2"/>
  <c r="AT38" i="2"/>
  <c r="AS38" i="2"/>
  <c r="AR38" i="2"/>
  <c r="AQ38" i="2"/>
  <c r="AP38" i="2"/>
  <c r="AO38" i="2"/>
  <c r="AN38" i="2"/>
  <c r="AM38" i="2"/>
  <c r="AL38" i="2"/>
  <c r="AK38" i="2"/>
  <c r="AJ38" i="2"/>
  <c r="AI38" i="2"/>
  <c r="AH38" i="2"/>
  <c r="AG38" i="2"/>
  <c r="AF38" i="2"/>
  <c r="AE38" i="2"/>
  <c r="AD38" i="2"/>
  <c r="AC38" i="2"/>
  <c r="AB38" i="2"/>
  <c r="AA38" i="2"/>
  <c r="Z38" i="2"/>
  <c r="Y38" i="2"/>
  <c r="X38" i="2"/>
  <c r="AT37" i="2"/>
  <c r="AS37" i="2"/>
  <c r="AR37" i="2"/>
  <c r="AQ37" i="2"/>
  <c r="AP37" i="2"/>
  <c r="AO37" i="2"/>
  <c r="AN37" i="2"/>
  <c r="AM37" i="2"/>
  <c r="AL37" i="2"/>
  <c r="AK37" i="2"/>
  <c r="AJ37" i="2"/>
  <c r="AI37" i="2"/>
  <c r="AH37" i="2"/>
  <c r="AG37" i="2"/>
  <c r="AF37" i="2"/>
  <c r="AE37" i="2"/>
  <c r="AD37" i="2"/>
  <c r="AC37" i="2"/>
  <c r="AB37" i="2"/>
  <c r="AA37" i="2"/>
  <c r="Z37" i="2"/>
  <c r="Y37" i="2"/>
  <c r="X37" i="2"/>
  <c r="AT36" i="2"/>
  <c r="AS36" i="2"/>
  <c r="AR36" i="2"/>
  <c r="AQ36" i="2"/>
  <c r="AP36" i="2"/>
  <c r="AO36" i="2"/>
  <c r="AN36" i="2"/>
  <c r="AM36" i="2"/>
  <c r="AL36" i="2"/>
  <c r="AK36" i="2"/>
  <c r="AJ36" i="2"/>
  <c r="AI36" i="2"/>
  <c r="AH36" i="2"/>
  <c r="AG36" i="2"/>
  <c r="AF36" i="2"/>
  <c r="AE36" i="2"/>
  <c r="AD36" i="2"/>
  <c r="AC36" i="2"/>
  <c r="AB36" i="2"/>
  <c r="AA36" i="2"/>
  <c r="Z36" i="2"/>
  <c r="Y36" i="2"/>
  <c r="X36" i="2"/>
  <c r="AT35" i="2"/>
  <c r="AS35" i="2"/>
  <c r="AR35" i="2"/>
  <c r="AQ35" i="2"/>
  <c r="AP35" i="2"/>
  <c r="AO35" i="2"/>
  <c r="AN35" i="2"/>
  <c r="AM35" i="2"/>
  <c r="AL35" i="2"/>
  <c r="AK35" i="2"/>
  <c r="AJ35" i="2"/>
  <c r="AI35" i="2"/>
  <c r="AH35" i="2"/>
  <c r="AG35" i="2"/>
  <c r="AF35" i="2"/>
  <c r="AE35" i="2"/>
  <c r="AD35" i="2"/>
  <c r="AC35" i="2"/>
  <c r="AB35" i="2"/>
  <c r="AA35" i="2"/>
  <c r="Z35" i="2"/>
  <c r="Y35" i="2"/>
  <c r="X35" i="2"/>
  <c r="AT34" i="2"/>
  <c r="AS34" i="2"/>
  <c r="AR34" i="2"/>
  <c r="AQ34" i="2"/>
  <c r="AP34" i="2"/>
  <c r="AO34" i="2"/>
  <c r="AN34" i="2"/>
  <c r="AM34" i="2"/>
  <c r="AL34" i="2"/>
  <c r="AK34" i="2"/>
  <c r="AJ34" i="2"/>
  <c r="AI34" i="2"/>
  <c r="AH34" i="2"/>
  <c r="AG34" i="2"/>
  <c r="AF34" i="2"/>
  <c r="AE34" i="2"/>
  <c r="AD34" i="2"/>
  <c r="AC34" i="2"/>
  <c r="AB34" i="2"/>
  <c r="AA34" i="2"/>
  <c r="Z34" i="2"/>
  <c r="Y34" i="2"/>
  <c r="X34" i="2"/>
  <c r="AT33" i="2"/>
  <c r="AS33" i="2"/>
  <c r="AR33" i="2"/>
  <c r="AQ33" i="2"/>
  <c r="AP33" i="2"/>
  <c r="AO33" i="2"/>
  <c r="AN33" i="2"/>
  <c r="AM33" i="2"/>
  <c r="AL33" i="2"/>
  <c r="AK33" i="2"/>
  <c r="AJ33" i="2"/>
  <c r="AI33" i="2"/>
  <c r="AH33" i="2"/>
  <c r="AG33" i="2"/>
  <c r="AF33" i="2"/>
  <c r="AE33" i="2"/>
  <c r="AD33" i="2"/>
  <c r="AC33" i="2"/>
  <c r="AB33" i="2"/>
  <c r="AA33" i="2"/>
  <c r="Z33" i="2"/>
  <c r="Y33" i="2"/>
  <c r="X33" i="2"/>
  <c r="AT32" i="2"/>
  <c r="AS32" i="2"/>
  <c r="AR32" i="2"/>
  <c r="AQ32" i="2"/>
  <c r="AP32" i="2"/>
  <c r="AO32" i="2"/>
  <c r="AN32" i="2"/>
  <c r="AM32" i="2"/>
  <c r="AL32" i="2"/>
  <c r="AK32" i="2"/>
  <c r="AJ32" i="2"/>
  <c r="AI32" i="2"/>
  <c r="AH32" i="2"/>
  <c r="AG32" i="2"/>
  <c r="AF32" i="2"/>
  <c r="AE32" i="2"/>
  <c r="AD32" i="2"/>
  <c r="AC32" i="2"/>
  <c r="AB32" i="2"/>
  <c r="AA32" i="2"/>
  <c r="Z32" i="2"/>
  <c r="Y32" i="2"/>
  <c r="X32" i="2"/>
  <c r="AT31" i="2"/>
  <c r="AS31" i="2"/>
  <c r="AR31" i="2"/>
  <c r="AQ31" i="2"/>
  <c r="AP31" i="2"/>
  <c r="AO31" i="2"/>
  <c r="AN31" i="2"/>
  <c r="AM31" i="2"/>
  <c r="AL31" i="2"/>
  <c r="AK31" i="2"/>
  <c r="AJ31" i="2"/>
  <c r="AI31" i="2"/>
  <c r="AH31" i="2"/>
  <c r="AG31" i="2"/>
  <c r="AF31" i="2"/>
  <c r="AE31" i="2"/>
  <c r="AD31" i="2"/>
  <c r="AC31" i="2"/>
  <c r="AB31" i="2"/>
  <c r="AA31" i="2"/>
  <c r="Z31" i="2"/>
  <c r="Y31" i="2"/>
  <c r="X31" i="2"/>
  <c r="AT30" i="2"/>
  <c r="AS30" i="2"/>
  <c r="AR30" i="2"/>
  <c r="AQ30" i="2"/>
  <c r="AP30" i="2"/>
  <c r="AO30" i="2"/>
  <c r="AN30" i="2"/>
  <c r="AM30" i="2"/>
  <c r="AL30" i="2"/>
  <c r="AK30" i="2"/>
  <c r="AJ30" i="2"/>
  <c r="AI30" i="2"/>
  <c r="AH30" i="2"/>
  <c r="AG30" i="2"/>
  <c r="AF30" i="2"/>
  <c r="AE30" i="2"/>
  <c r="AD30" i="2"/>
  <c r="AC30" i="2"/>
  <c r="AB30" i="2"/>
  <c r="AA30" i="2"/>
  <c r="Z30" i="2"/>
  <c r="Y30" i="2"/>
  <c r="X30" i="2"/>
  <c r="AT29" i="2"/>
  <c r="AS29" i="2"/>
  <c r="AR29" i="2"/>
  <c r="AQ29" i="2"/>
  <c r="AP29" i="2"/>
  <c r="AO29" i="2"/>
  <c r="AN29" i="2"/>
  <c r="AM29" i="2"/>
  <c r="AL29" i="2"/>
  <c r="AK29" i="2"/>
  <c r="AJ29" i="2"/>
  <c r="AI29" i="2"/>
  <c r="AH29" i="2"/>
  <c r="AG29" i="2"/>
  <c r="AF29" i="2"/>
  <c r="AE29" i="2"/>
  <c r="AD29" i="2"/>
  <c r="AC29" i="2"/>
  <c r="AB29" i="2"/>
  <c r="AA29" i="2"/>
  <c r="Z29" i="2"/>
  <c r="Y29" i="2"/>
  <c r="X29" i="2"/>
  <c r="AT28" i="2"/>
  <c r="AS28" i="2"/>
  <c r="AR28" i="2"/>
  <c r="AQ28" i="2"/>
  <c r="AP28" i="2"/>
  <c r="AO28" i="2"/>
  <c r="AN28" i="2"/>
  <c r="AM28" i="2"/>
  <c r="AL28" i="2"/>
  <c r="AK28" i="2"/>
  <c r="AJ28" i="2"/>
  <c r="AI28" i="2"/>
  <c r="AH28" i="2"/>
  <c r="AG28" i="2"/>
  <c r="AF28" i="2"/>
  <c r="AE28" i="2"/>
  <c r="AD28" i="2"/>
  <c r="AC28" i="2"/>
  <c r="AB28" i="2"/>
  <c r="AA28" i="2"/>
  <c r="Z28" i="2"/>
  <c r="Y28" i="2"/>
  <c r="X28" i="2"/>
  <c r="AT27" i="2"/>
  <c r="AS27" i="2"/>
  <c r="AR27" i="2"/>
  <c r="AQ27" i="2"/>
  <c r="AP27" i="2"/>
  <c r="AO27" i="2"/>
  <c r="AN27" i="2"/>
  <c r="AM27" i="2"/>
  <c r="AL27" i="2"/>
  <c r="AK27" i="2"/>
  <c r="AJ27" i="2"/>
  <c r="AI27" i="2"/>
  <c r="AH27" i="2"/>
  <c r="AG27" i="2"/>
  <c r="AF27" i="2"/>
  <c r="AE27" i="2"/>
  <c r="AD27" i="2"/>
  <c r="AC27" i="2"/>
  <c r="AB27" i="2"/>
  <c r="AA27" i="2"/>
  <c r="Z27" i="2"/>
  <c r="Y27" i="2"/>
  <c r="X27" i="2"/>
  <c r="AT26" i="2"/>
  <c r="AS26" i="2"/>
  <c r="AR26" i="2"/>
  <c r="AQ26" i="2"/>
  <c r="AP26" i="2"/>
  <c r="AO26" i="2"/>
  <c r="AN26" i="2"/>
  <c r="AM26" i="2"/>
  <c r="AL26" i="2"/>
  <c r="AK26" i="2"/>
  <c r="AJ26" i="2"/>
  <c r="AI26" i="2"/>
  <c r="AH26" i="2"/>
  <c r="AG26" i="2"/>
  <c r="AF26" i="2"/>
  <c r="AE26" i="2"/>
  <c r="AD26" i="2"/>
  <c r="AC26" i="2"/>
  <c r="AB26" i="2"/>
  <c r="AA26" i="2"/>
  <c r="Z26" i="2"/>
  <c r="Y26" i="2"/>
  <c r="X26" i="2"/>
  <c r="AT25" i="2"/>
  <c r="AS25" i="2"/>
  <c r="AR25" i="2"/>
  <c r="AQ25" i="2"/>
  <c r="AP25" i="2"/>
  <c r="AO25" i="2"/>
  <c r="AN25" i="2"/>
  <c r="AM25" i="2"/>
  <c r="AL25" i="2"/>
  <c r="AK25" i="2"/>
  <c r="AJ25" i="2"/>
  <c r="AI25" i="2"/>
  <c r="AH25" i="2"/>
  <c r="AG25" i="2"/>
  <c r="AF25" i="2"/>
  <c r="AE25" i="2"/>
  <c r="AD25" i="2"/>
  <c r="AC25" i="2"/>
  <c r="AB25" i="2"/>
  <c r="AA25" i="2"/>
  <c r="Z25" i="2"/>
  <c r="Y25" i="2"/>
  <c r="X25" i="2"/>
  <c r="AT24" i="2"/>
  <c r="AS24" i="2"/>
  <c r="AR24" i="2"/>
  <c r="AQ24" i="2"/>
  <c r="AP24" i="2"/>
  <c r="AO24" i="2"/>
  <c r="AN24" i="2"/>
  <c r="AM24" i="2"/>
  <c r="AL24" i="2"/>
  <c r="AK24" i="2"/>
  <c r="AJ24" i="2"/>
  <c r="AI24" i="2"/>
  <c r="AH24" i="2"/>
  <c r="AG24" i="2"/>
  <c r="AF24" i="2"/>
  <c r="AE24" i="2"/>
  <c r="AD24" i="2"/>
  <c r="AC24" i="2"/>
  <c r="AB24" i="2"/>
  <c r="AA24" i="2"/>
  <c r="Z24" i="2"/>
  <c r="Y24" i="2"/>
  <c r="X24" i="2"/>
  <c r="AT23" i="2"/>
  <c r="AS23" i="2"/>
  <c r="AR23" i="2"/>
  <c r="AQ23" i="2"/>
  <c r="AP23" i="2"/>
  <c r="AO23" i="2"/>
  <c r="AN23" i="2"/>
  <c r="AM23" i="2"/>
  <c r="AL23" i="2"/>
  <c r="AK23" i="2"/>
  <c r="AJ23" i="2"/>
  <c r="AI23" i="2"/>
  <c r="AH23" i="2"/>
  <c r="AG23" i="2"/>
  <c r="AF23" i="2"/>
  <c r="AE23" i="2"/>
  <c r="AD23" i="2"/>
  <c r="AC23" i="2"/>
  <c r="AB23" i="2"/>
  <c r="AA23" i="2"/>
  <c r="Z23" i="2"/>
  <c r="Y23" i="2"/>
  <c r="X23" i="2"/>
  <c r="AT22" i="2"/>
  <c r="AS22" i="2"/>
  <c r="AR22" i="2"/>
  <c r="AQ22" i="2"/>
  <c r="AP22" i="2"/>
  <c r="AO22" i="2"/>
  <c r="AN22" i="2"/>
  <c r="AM22" i="2"/>
  <c r="AL22" i="2"/>
  <c r="AK22" i="2"/>
  <c r="AJ22" i="2"/>
  <c r="AI22" i="2"/>
  <c r="AH22" i="2"/>
  <c r="AG22" i="2"/>
  <c r="AF22" i="2"/>
  <c r="AE22" i="2"/>
  <c r="AD22" i="2"/>
  <c r="AC22" i="2"/>
  <c r="AB22" i="2"/>
  <c r="AA22" i="2"/>
  <c r="Z22" i="2"/>
  <c r="Y22" i="2"/>
  <c r="X22" i="2"/>
  <c r="AT21" i="2"/>
  <c r="AS21" i="2"/>
  <c r="AR21" i="2"/>
  <c r="AQ21" i="2"/>
  <c r="AP21" i="2"/>
  <c r="AO21" i="2"/>
  <c r="AN21" i="2"/>
  <c r="AM21" i="2"/>
  <c r="AL21" i="2"/>
  <c r="AK21" i="2"/>
  <c r="AJ21" i="2"/>
  <c r="AI21" i="2"/>
  <c r="AH21" i="2"/>
  <c r="AG21" i="2"/>
  <c r="AF21" i="2"/>
  <c r="AE21" i="2"/>
  <c r="AD21" i="2"/>
  <c r="AC21" i="2"/>
  <c r="AB21" i="2"/>
  <c r="AA21" i="2"/>
  <c r="Z21" i="2"/>
  <c r="Y21" i="2"/>
  <c r="X21" i="2"/>
  <c r="AT20" i="2"/>
  <c r="AS20" i="2"/>
  <c r="AR20" i="2"/>
  <c r="AQ20" i="2"/>
  <c r="AP20" i="2"/>
  <c r="AO20" i="2"/>
  <c r="AN20" i="2"/>
  <c r="AM20" i="2"/>
  <c r="AL20" i="2"/>
  <c r="AK20" i="2"/>
  <c r="AJ20" i="2"/>
  <c r="AI20" i="2"/>
  <c r="AH20" i="2"/>
  <c r="AG20" i="2"/>
  <c r="AF20" i="2"/>
  <c r="AE20" i="2"/>
  <c r="AD20" i="2"/>
  <c r="AC20" i="2"/>
  <c r="AB20" i="2"/>
  <c r="AA20" i="2"/>
  <c r="Z20" i="2"/>
  <c r="Y20" i="2"/>
  <c r="X20" i="2"/>
  <c r="AT19" i="2"/>
  <c r="AS19" i="2"/>
  <c r="AR19" i="2"/>
  <c r="AQ19" i="2"/>
  <c r="AP19" i="2"/>
  <c r="AO19" i="2"/>
  <c r="AN19" i="2"/>
  <c r="AM19" i="2"/>
  <c r="AL19" i="2"/>
  <c r="AK19" i="2"/>
  <c r="AJ19" i="2"/>
  <c r="AI19" i="2"/>
  <c r="AH19" i="2"/>
  <c r="AG19" i="2"/>
  <c r="AF19" i="2"/>
  <c r="AE19" i="2"/>
  <c r="AD19" i="2"/>
  <c r="AC19" i="2"/>
  <c r="AB19" i="2"/>
  <c r="AA19" i="2"/>
  <c r="Z19" i="2"/>
  <c r="Y19" i="2"/>
  <c r="X19" i="2"/>
  <c r="AT18" i="2"/>
  <c r="AS18" i="2"/>
  <c r="AR18" i="2"/>
  <c r="AQ18" i="2"/>
  <c r="AP18" i="2"/>
  <c r="AO18" i="2"/>
  <c r="AN18" i="2"/>
  <c r="AM18" i="2"/>
  <c r="AL18" i="2"/>
  <c r="AK18" i="2"/>
  <c r="AJ18" i="2"/>
  <c r="AI18" i="2"/>
  <c r="AH18" i="2"/>
  <c r="AG18" i="2"/>
  <c r="AF18" i="2"/>
  <c r="AE18" i="2"/>
  <c r="AD18" i="2"/>
  <c r="AC18" i="2"/>
  <c r="AB18" i="2"/>
  <c r="AA18" i="2"/>
  <c r="Z18" i="2"/>
  <c r="Y18" i="2"/>
  <c r="X18" i="2"/>
  <c r="AT17" i="2"/>
  <c r="AS17" i="2"/>
  <c r="AR17" i="2"/>
  <c r="AQ17" i="2"/>
  <c r="AP17" i="2"/>
  <c r="AO17" i="2"/>
  <c r="AN17" i="2"/>
  <c r="AM17" i="2"/>
  <c r="AL17" i="2"/>
  <c r="AK17" i="2"/>
  <c r="AJ17" i="2"/>
  <c r="AI17" i="2"/>
  <c r="AH17" i="2"/>
  <c r="AG17" i="2"/>
  <c r="AF17" i="2"/>
  <c r="AE17" i="2"/>
  <c r="AD17" i="2"/>
  <c r="AC17" i="2"/>
  <c r="AB17" i="2"/>
  <c r="AA17" i="2"/>
  <c r="Z17" i="2"/>
  <c r="Y17" i="2"/>
  <c r="X17" i="2"/>
  <c r="AT16" i="2"/>
  <c r="AS16" i="2"/>
  <c r="AR16" i="2"/>
  <c r="AQ16" i="2"/>
  <c r="AP16" i="2"/>
  <c r="AO16" i="2"/>
  <c r="AN16" i="2"/>
  <c r="AM16" i="2"/>
  <c r="AL16" i="2"/>
  <c r="AK16" i="2"/>
  <c r="AJ16" i="2"/>
  <c r="AI16" i="2"/>
  <c r="AH16" i="2"/>
  <c r="AG16" i="2"/>
  <c r="AF16" i="2"/>
  <c r="AE16" i="2"/>
  <c r="AD16" i="2"/>
  <c r="AC16" i="2"/>
  <c r="AB16" i="2"/>
  <c r="AA16" i="2"/>
  <c r="Z16" i="2"/>
  <c r="Y16" i="2"/>
  <c r="X16" i="2"/>
  <c r="AT15" i="2"/>
  <c r="AS15" i="2"/>
  <c r="AR15" i="2"/>
  <c r="AQ15" i="2"/>
  <c r="AP15" i="2"/>
  <c r="AO15" i="2"/>
  <c r="AN15" i="2"/>
  <c r="AM15" i="2"/>
  <c r="AL15" i="2"/>
  <c r="AK15" i="2"/>
  <c r="AJ15" i="2"/>
  <c r="AI15" i="2"/>
  <c r="AH15" i="2"/>
  <c r="AG15" i="2"/>
  <c r="AF15" i="2"/>
  <c r="AE15" i="2"/>
  <c r="AD15" i="2"/>
  <c r="AC15" i="2"/>
  <c r="AB15" i="2"/>
  <c r="AA15" i="2"/>
  <c r="Z15" i="2"/>
  <c r="Y15" i="2"/>
  <c r="X15" i="2"/>
  <c r="AT14" i="2"/>
  <c r="AS14" i="2"/>
  <c r="AR14" i="2"/>
  <c r="AQ14" i="2"/>
  <c r="AP14" i="2"/>
  <c r="AO14" i="2"/>
  <c r="AN14" i="2"/>
  <c r="AM14" i="2"/>
  <c r="AL14" i="2"/>
  <c r="AK14" i="2"/>
  <c r="AJ14" i="2"/>
  <c r="AI14" i="2"/>
  <c r="AH14" i="2"/>
  <c r="AG14" i="2"/>
  <c r="AF14" i="2"/>
  <c r="AE14" i="2"/>
  <c r="AD14" i="2"/>
  <c r="AC14" i="2"/>
  <c r="AB14" i="2"/>
  <c r="AA14" i="2"/>
  <c r="Z14" i="2"/>
  <c r="Y14" i="2"/>
  <c r="X14" i="2"/>
  <c r="AT13" i="2"/>
  <c r="AS13" i="2"/>
  <c r="AR13" i="2"/>
  <c r="AQ13" i="2"/>
  <c r="AP13" i="2"/>
  <c r="AO13" i="2"/>
  <c r="AN13" i="2"/>
  <c r="AM13" i="2"/>
  <c r="AL13" i="2"/>
  <c r="AK13" i="2"/>
  <c r="AJ13" i="2"/>
  <c r="AI13" i="2"/>
  <c r="AH13" i="2"/>
  <c r="AG13" i="2"/>
  <c r="AF13" i="2"/>
  <c r="AE13" i="2"/>
  <c r="AD13" i="2"/>
  <c r="AC13" i="2"/>
  <c r="AB13" i="2"/>
  <c r="AA13" i="2"/>
  <c r="Z13" i="2"/>
  <c r="Y13" i="2"/>
  <c r="X13" i="2"/>
  <c r="AT12" i="2"/>
  <c r="AS12" i="2"/>
  <c r="AR12" i="2"/>
  <c r="AQ12" i="2"/>
  <c r="AP12" i="2"/>
  <c r="AO12" i="2"/>
  <c r="AN12" i="2"/>
  <c r="AM12" i="2"/>
  <c r="AL12" i="2"/>
  <c r="AK12" i="2"/>
  <c r="AJ12" i="2"/>
  <c r="AI12" i="2"/>
  <c r="AH12" i="2"/>
  <c r="AG12" i="2"/>
  <c r="AF12" i="2"/>
  <c r="AE12" i="2"/>
  <c r="AD12" i="2"/>
  <c r="AC12" i="2"/>
  <c r="AB12" i="2"/>
  <c r="AA12" i="2"/>
  <c r="Z12" i="2"/>
  <c r="Y12" i="2"/>
  <c r="X12" i="2"/>
  <c r="AT11" i="2"/>
  <c r="AS11" i="2"/>
  <c r="AR11" i="2"/>
  <c r="AQ11" i="2"/>
  <c r="AP11" i="2"/>
  <c r="AO11" i="2"/>
  <c r="AN11" i="2"/>
  <c r="AM11" i="2"/>
  <c r="AL11" i="2"/>
  <c r="AK11" i="2"/>
  <c r="AJ11" i="2"/>
  <c r="AI11" i="2"/>
  <c r="AH11" i="2"/>
  <c r="AG11" i="2"/>
  <c r="AF11" i="2"/>
  <c r="AE11" i="2"/>
  <c r="AD11" i="2"/>
  <c r="AC11" i="2"/>
  <c r="AB11" i="2"/>
  <c r="AA11" i="2"/>
  <c r="Z11" i="2"/>
  <c r="Y11" i="2"/>
  <c r="X11" i="2"/>
  <c r="AL10" i="2"/>
  <c r="AM10" i="2" s="1"/>
  <c r="AK10" i="2"/>
  <c r="AJ10" i="2"/>
  <c r="AE10" i="2"/>
  <c r="AF10" i="2" s="1"/>
  <c r="AG10" i="2" s="1"/>
  <c r="AD10" i="2"/>
  <c r="Y10" i="2"/>
  <c r="X10" i="2"/>
  <c r="AL9" i="2"/>
  <c r="AK9" i="2"/>
  <c r="AJ9" i="2"/>
  <c r="AF9" i="2"/>
  <c r="AG9" i="2" s="1"/>
  <c r="AE9" i="2"/>
  <c r="AD9" i="2"/>
  <c r="Y9" i="2"/>
  <c r="X9" i="2"/>
  <c r="Q506" i="1"/>
  <c r="P506" i="1"/>
  <c r="O506" i="1"/>
  <c r="N506" i="1"/>
  <c r="Q505" i="1"/>
  <c r="P505" i="1"/>
  <c r="O505" i="1"/>
  <c r="N505" i="1"/>
  <c r="Q504" i="1"/>
  <c r="P504" i="1"/>
  <c r="O504" i="1"/>
  <c r="N504" i="1"/>
  <c r="Q503" i="1"/>
  <c r="P503" i="1"/>
  <c r="O503" i="1"/>
  <c r="N503" i="1"/>
  <c r="Q502" i="1"/>
  <c r="P502" i="1"/>
  <c r="O502" i="1"/>
  <c r="N502" i="1"/>
  <c r="Q501" i="1"/>
  <c r="P501" i="1"/>
  <c r="O501" i="1"/>
  <c r="N501" i="1"/>
  <c r="Q500" i="1"/>
  <c r="P500" i="1"/>
  <c r="O500" i="1"/>
  <c r="N500" i="1"/>
  <c r="Q499" i="1"/>
  <c r="P499" i="1"/>
  <c r="O499" i="1"/>
  <c r="N499" i="1"/>
  <c r="Q498" i="1"/>
  <c r="P498" i="1"/>
  <c r="O498" i="1"/>
  <c r="N498" i="1"/>
  <c r="Q497" i="1"/>
  <c r="P497" i="1"/>
  <c r="O497" i="1"/>
  <c r="N497" i="1"/>
  <c r="Q496" i="1"/>
  <c r="P496" i="1"/>
  <c r="O496" i="1"/>
  <c r="N496" i="1"/>
  <c r="Q495" i="1"/>
  <c r="P495" i="1"/>
  <c r="O495" i="1"/>
  <c r="N495" i="1"/>
  <c r="Q494" i="1"/>
  <c r="P494" i="1"/>
  <c r="O494" i="1"/>
  <c r="N494" i="1"/>
  <c r="Q493" i="1"/>
  <c r="P493" i="1"/>
  <c r="O493" i="1"/>
  <c r="N493" i="1"/>
  <c r="Q492" i="1"/>
  <c r="P492" i="1"/>
  <c r="O492" i="1"/>
  <c r="N492" i="1"/>
  <c r="Q491" i="1"/>
  <c r="P491" i="1"/>
  <c r="O491" i="1"/>
  <c r="N491" i="1"/>
  <c r="Q490" i="1"/>
  <c r="P490" i="1"/>
  <c r="O490" i="1"/>
  <c r="N490" i="1"/>
  <c r="Q489" i="1"/>
  <c r="P489" i="1"/>
  <c r="O489" i="1"/>
  <c r="N489" i="1"/>
  <c r="Q488" i="1"/>
  <c r="P488" i="1"/>
  <c r="O488" i="1"/>
  <c r="N488" i="1"/>
  <c r="Q487" i="1"/>
  <c r="P487" i="1"/>
  <c r="O487" i="1"/>
  <c r="N487" i="1"/>
  <c r="Q486" i="1"/>
  <c r="P486" i="1"/>
  <c r="O486" i="1"/>
  <c r="N486" i="1"/>
  <c r="Q485" i="1"/>
  <c r="P485" i="1"/>
  <c r="O485" i="1"/>
  <c r="N485" i="1"/>
  <c r="Q484" i="1"/>
  <c r="P484" i="1"/>
  <c r="O484" i="1"/>
  <c r="N484" i="1"/>
  <c r="Q483" i="1"/>
  <c r="P483" i="1"/>
  <c r="O483" i="1"/>
  <c r="N483" i="1"/>
  <c r="Q482" i="1"/>
  <c r="P482" i="1"/>
  <c r="O482" i="1"/>
  <c r="N482" i="1"/>
  <c r="Q481" i="1"/>
  <c r="P481" i="1"/>
  <c r="O481" i="1"/>
  <c r="N481" i="1"/>
  <c r="Q480" i="1"/>
  <c r="P480" i="1"/>
  <c r="O480" i="1"/>
  <c r="N480" i="1"/>
  <c r="Q479" i="1"/>
  <c r="P479" i="1"/>
  <c r="O479" i="1"/>
  <c r="N479" i="1"/>
  <c r="Q478" i="1"/>
  <c r="P478" i="1"/>
  <c r="O478" i="1"/>
  <c r="N478" i="1"/>
  <c r="Q477" i="1"/>
  <c r="P477" i="1"/>
  <c r="O477" i="1"/>
  <c r="N477" i="1"/>
  <c r="Q476" i="1"/>
  <c r="P476" i="1"/>
  <c r="O476" i="1"/>
  <c r="N476" i="1"/>
  <c r="Q475" i="1"/>
  <c r="P475" i="1"/>
  <c r="O475" i="1"/>
  <c r="N475" i="1"/>
  <c r="Q474" i="1"/>
  <c r="P474" i="1"/>
  <c r="O474" i="1"/>
  <c r="N474" i="1"/>
  <c r="Q473" i="1"/>
  <c r="P473" i="1"/>
  <c r="O473" i="1"/>
  <c r="N473" i="1"/>
  <c r="Q472" i="1"/>
  <c r="P472" i="1"/>
  <c r="O472" i="1"/>
  <c r="N472" i="1"/>
  <c r="Q471" i="1"/>
  <c r="P471" i="1"/>
  <c r="O471" i="1"/>
  <c r="N471" i="1"/>
  <c r="Q470" i="1"/>
  <c r="P470" i="1"/>
  <c r="O470" i="1"/>
  <c r="N470" i="1"/>
  <c r="Q469" i="1"/>
  <c r="P469" i="1"/>
  <c r="O469" i="1"/>
  <c r="N469" i="1"/>
  <c r="Q468" i="1"/>
  <c r="P468" i="1"/>
  <c r="O468" i="1"/>
  <c r="N468" i="1"/>
  <c r="Q467" i="1"/>
  <c r="P467" i="1"/>
  <c r="O467" i="1"/>
  <c r="N467" i="1"/>
  <c r="Q466" i="1"/>
  <c r="P466" i="1"/>
  <c r="O466" i="1"/>
  <c r="N466" i="1"/>
  <c r="Q465" i="1"/>
  <c r="P465" i="1"/>
  <c r="O465" i="1"/>
  <c r="N465" i="1"/>
  <c r="Q464" i="1"/>
  <c r="P464" i="1"/>
  <c r="O464" i="1"/>
  <c r="N464" i="1"/>
  <c r="Q463" i="1"/>
  <c r="P463" i="1"/>
  <c r="O463" i="1"/>
  <c r="N463" i="1"/>
  <c r="Q462" i="1"/>
  <c r="P462" i="1"/>
  <c r="O462" i="1"/>
  <c r="N462" i="1"/>
  <c r="Q461" i="1"/>
  <c r="P461" i="1"/>
  <c r="O461" i="1"/>
  <c r="N461" i="1"/>
  <c r="Q460" i="1"/>
  <c r="P460" i="1"/>
  <c r="O460" i="1"/>
  <c r="N460" i="1"/>
  <c r="Q459" i="1"/>
  <c r="P459" i="1"/>
  <c r="O459" i="1"/>
  <c r="N459" i="1"/>
  <c r="Q458" i="1"/>
  <c r="P458" i="1"/>
  <c r="O458" i="1"/>
  <c r="N458" i="1"/>
  <c r="Q457" i="1"/>
  <c r="P457" i="1"/>
  <c r="O457" i="1"/>
  <c r="N457" i="1"/>
  <c r="Q456" i="1"/>
  <c r="P456" i="1"/>
  <c r="O456" i="1"/>
  <c r="N456" i="1"/>
  <c r="Q455" i="1"/>
  <c r="P455" i="1"/>
  <c r="O455" i="1"/>
  <c r="N455" i="1"/>
  <c r="Q454" i="1"/>
  <c r="P454" i="1"/>
  <c r="O454" i="1"/>
  <c r="N454" i="1"/>
  <c r="Q453" i="1"/>
  <c r="P453" i="1"/>
  <c r="O453" i="1"/>
  <c r="N453" i="1"/>
  <c r="Q452" i="1"/>
  <c r="P452" i="1"/>
  <c r="O452" i="1"/>
  <c r="N452" i="1"/>
  <c r="Q451" i="1"/>
  <c r="P451" i="1"/>
  <c r="O451" i="1"/>
  <c r="N451" i="1"/>
  <c r="Q450" i="1"/>
  <c r="P450" i="1"/>
  <c r="O450" i="1"/>
  <c r="N450" i="1"/>
  <c r="Q449" i="1"/>
  <c r="P449" i="1"/>
  <c r="O449" i="1"/>
  <c r="N449" i="1"/>
  <c r="Q448" i="1"/>
  <c r="P448" i="1"/>
  <c r="O448" i="1"/>
  <c r="N448" i="1"/>
  <c r="Q447" i="1"/>
  <c r="P447" i="1"/>
  <c r="O447" i="1"/>
  <c r="N447" i="1"/>
  <c r="Q446" i="1"/>
  <c r="P446" i="1"/>
  <c r="O446" i="1"/>
  <c r="N446" i="1"/>
  <c r="Q445" i="1"/>
  <c r="P445" i="1"/>
  <c r="O445" i="1"/>
  <c r="N445" i="1"/>
  <c r="Q444" i="1"/>
  <c r="P444" i="1"/>
  <c r="O444" i="1"/>
  <c r="N444" i="1"/>
  <c r="Q443" i="1"/>
  <c r="P443" i="1"/>
  <c r="O443" i="1"/>
  <c r="N443" i="1"/>
  <c r="Q442" i="1"/>
  <c r="P442" i="1"/>
  <c r="O442" i="1"/>
  <c r="N442" i="1"/>
  <c r="Q441" i="1"/>
  <c r="P441" i="1"/>
  <c r="O441" i="1"/>
  <c r="N441" i="1"/>
  <c r="Q440" i="1"/>
  <c r="P440" i="1"/>
  <c r="O440" i="1"/>
  <c r="N440" i="1"/>
  <c r="Q439" i="1"/>
  <c r="P439" i="1"/>
  <c r="O439" i="1"/>
  <c r="N439" i="1"/>
  <c r="Q438" i="1"/>
  <c r="P438" i="1"/>
  <c r="O438" i="1"/>
  <c r="N438" i="1"/>
  <c r="Q437" i="1"/>
  <c r="P437" i="1"/>
  <c r="O437" i="1"/>
  <c r="N437" i="1"/>
  <c r="Q436" i="1"/>
  <c r="P436" i="1"/>
  <c r="O436" i="1"/>
  <c r="N436" i="1"/>
  <c r="Q435" i="1"/>
  <c r="P435" i="1"/>
  <c r="O435" i="1"/>
  <c r="N435" i="1"/>
  <c r="Q434" i="1"/>
  <c r="P434" i="1"/>
  <c r="O434" i="1"/>
  <c r="N434" i="1"/>
  <c r="Q433" i="1"/>
  <c r="P433" i="1"/>
  <c r="O433" i="1"/>
  <c r="N433" i="1"/>
  <c r="Q432" i="1"/>
  <c r="P432" i="1"/>
  <c r="O432" i="1"/>
  <c r="N432" i="1"/>
  <c r="Q431" i="1"/>
  <c r="P431" i="1"/>
  <c r="O431" i="1"/>
  <c r="N431" i="1"/>
  <c r="Q430" i="1"/>
  <c r="P430" i="1"/>
  <c r="O430" i="1"/>
  <c r="N430" i="1"/>
  <c r="Q429" i="1"/>
  <c r="P429" i="1"/>
  <c r="O429" i="1"/>
  <c r="N429" i="1"/>
  <c r="Q428" i="1"/>
  <c r="P428" i="1"/>
  <c r="O428" i="1"/>
  <c r="N428" i="1"/>
  <c r="Q427" i="1"/>
  <c r="P427" i="1"/>
  <c r="O427" i="1"/>
  <c r="N427" i="1"/>
  <c r="Q426" i="1"/>
  <c r="P426" i="1"/>
  <c r="O426" i="1"/>
  <c r="N426" i="1"/>
  <c r="Q425" i="1"/>
  <c r="P425" i="1"/>
  <c r="O425" i="1"/>
  <c r="N425" i="1"/>
  <c r="Q424" i="1"/>
  <c r="P424" i="1"/>
  <c r="O424" i="1"/>
  <c r="N424" i="1"/>
  <c r="Q423" i="1"/>
  <c r="P423" i="1"/>
  <c r="O423" i="1"/>
  <c r="N423" i="1"/>
  <c r="Q422" i="1"/>
  <c r="P422" i="1"/>
  <c r="O422" i="1"/>
  <c r="N422" i="1"/>
  <c r="Q421" i="1"/>
  <c r="P421" i="1"/>
  <c r="O421" i="1"/>
  <c r="N421" i="1"/>
  <c r="Q420" i="1"/>
  <c r="P420" i="1"/>
  <c r="O420" i="1"/>
  <c r="N420" i="1"/>
  <c r="Q419" i="1"/>
  <c r="P419" i="1"/>
  <c r="O419" i="1"/>
  <c r="N419" i="1"/>
  <c r="Q418" i="1"/>
  <c r="P418" i="1"/>
  <c r="O418" i="1"/>
  <c r="N418" i="1"/>
  <c r="Q417" i="1"/>
  <c r="P417" i="1"/>
  <c r="O417" i="1"/>
  <c r="N417" i="1"/>
  <c r="Q416" i="1"/>
  <c r="P416" i="1"/>
  <c r="O416" i="1"/>
  <c r="N416" i="1"/>
  <c r="Q415" i="1"/>
  <c r="P415" i="1"/>
  <c r="O415" i="1"/>
  <c r="N415" i="1"/>
  <c r="Q414" i="1"/>
  <c r="P414" i="1"/>
  <c r="O414" i="1"/>
  <c r="N414" i="1"/>
  <c r="Q413" i="1"/>
  <c r="P413" i="1"/>
  <c r="O413" i="1"/>
  <c r="N413" i="1"/>
  <c r="Q412" i="1"/>
  <c r="P412" i="1"/>
  <c r="O412" i="1"/>
  <c r="N412" i="1"/>
  <c r="Q411" i="1"/>
  <c r="P411" i="1"/>
  <c r="O411" i="1"/>
  <c r="N411" i="1"/>
  <c r="Q410" i="1"/>
  <c r="P410" i="1"/>
  <c r="O410" i="1"/>
  <c r="N410" i="1"/>
  <c r="Q409" i="1"/>
  <c r="P409" i="1"/>
  <c r="O409" i="1"/>
  <c r="N409" i="1"/>
  <c r="Q408" i="1"/>
  <c r="P408" i="1"/>
  <c r="O408" i="1"/>
  <c r="N408" i="1"/>
  <c r="Q407" i="1"/>
  <c r="P407" i="1"/>
  <c r="O407" i="1"/>
  <c r="N407" i="1"/>
  <c r="Q406" i="1"/>
  <c r="P406" i="1"/>
  <c r="O406" i="1"/>
  <c r="N406" i="1"/>
  <c r="Q405" i="1"/>
  <c r="P405" i="1"/>
  <c r="O405" i="1"/>
  <c r="N405" i="1"/>
  <c r="Q404" i="1"/>
  <c r="P404" i="1"/>
  <c r="O404" i="1"/>
  <c r="N404" i="1"/>
  <c r="Q403" i="1"/>
  <c r="P403" i="1"/>
  <c r="O403" i="1"/>
  <c r="N403" i="1"/>
  <c r="Q402" i="1"/>
  <c r="P402" i="1"/>
  <c r="O402" i="1"/>
  <c r="N402" i="1"/>
  <c r="Q401" i="1"/>
  <c r="P401" i="1"/>
  <c r="O401" i="1"/>
  <c r="N401" i="1"/>
  <c r="Q400" i="1"/>
  <c r="P400" i="1"/>
  <c r="O400" i="1"/>
  <c r="N400" i="1"/>
  <c r="Q399" i="1"/>
  <c r="P399" i="1"/>
  <c r="O399" i="1"/>
  <c r="N399" i="1"/>
  <c r="Q398" i="1"/>
  <c r="P398" i="1"/>
  <c r="O398" i="1"/>
  <c r="N398" i="1"/>
  <c r="Q397" i="1"/>
  <c r="P397" i="1"/>
  <c r="O397" i="1"/>
  <c r="N397" i="1"/>
  <c r="Q396" i="1"/>
  <c r="P396" i="1"/>
  <c r="O396" i="1"/>
  <c r="N396" i="1"/>
  <c r="Q395" i="1"/>
  <c r="P395" i="1"/>
  <c r="O395" i="1"/>
  <c r="N395" i="1"/>
  <c r="Q394" i="1"/>
  <c r="P394" i="1"/>
  <c r="O394" i="1"/>
  <c r="N394" i="1"/>
  <c r="Q393" i="1"/>
  <c r="P393" i="1"/>
  <c r="O393" i="1"/>
  <c r="N393" i="1"/>
  <c r="Q392" i="1"/>
  <c r="P392" i="1"/>
  <c r="O392" i="1"/>
  <c r="N392" i="1"/>
  <c r="Q391" i="1"/>
  <c r="P391" i="1"/>
  <c r="O391" i="1"/>
  <c r="N391" i="1"/>
  <c r="Q390" i="1"/>
  <c r="P390" i="1"/>
  <c r="O390" i="1"/>
  <c r="N390" i="1"/>
  <c r="Q389" i="1"/>
  <c r="P389" i="1"/>
  <c r="O389" i="1"/>
  <c r="N389" i="1"/>
  <c r="Q388" i="1"/>
  <c r="P388" i="1"/>
  <c r="O388" i="1"/>
  <c r="N388" i="1"/>
  <c r="Q387" i="1"/>
  <c r="P387" i="1"/>
  <c r="O387" i="1"/>
  <c r="N387" i="1"/>
  <c r="Q386" i="1"/>
  <c r="P386" i="1"/>
  <c r="O386" i="1"/>
  <c r="N386" i="1"/>
  <c r="Q385" i="1"/>
  <c r="P385" i="1"/>
  <c r="O385" i="1"/>
  <c r="N385" i="1"/>
  <c r="Q384" i="1"/>
  <c r="P384" i="1"/>
  <c r="O384" i="1"/>
  <c r="N384" i="1"/>
  <c r="Q383" i="1"/>
  <c r="P383" i="1"/>
  <c r="O383" i="1"/>
  <c r="N383" i="1"/>
  <c r="Q382" i="1"/>
  <c r="P382" i="1"/>
  <c r="O382" i="1"/>
  <c r="N382" i="1"/>
  <c r="Q381" i="1"/>
  <c r="P381" i="1"/>
  <c r="O381" i="1"/>
  <c r="N381" i="1"/>
  <c r="Q380" i="1"/>
  <c r="P380" i="1"/>
  <c r="O380" i="1"/>
  <c r="N380" i="1"/>
  <c r="Q379" i="1"/>
  <c r="P379" i="1"/>
  <c r="O379" i="1"/>
  <c r="N379" i="1"/>
  <c r="Q378" i="1"/>
  <c r="P378" i="1"/>
  <c r="O378" i="1"/>
  <c r="N378" i="1"/>
  <c r="Q377" i="1"/>
  <c r="P377" i="1"/>
  <c r="O377" i="1"/>
  <c r="N377" i="1"/>
  <c r="Q376" i="1"/>
  <c r="P376" i="1"/>
  <c r="O376" i="1"/>
  <c r="N376" i="1"/>
  <c r="Q375" i="1"/>
  <c r="P375" i="1"/>
  <c r="O375" i="1"/>
  <c r="N375" i="1"/>
  <c r="Q374" i="1"/>
  <c r="P374" i="1"/>
  <c r="O374" i="1"/>
  <c r="N374" i="1"/>
  <c r="Q373" i="1"/>
  <c r="P373" i="1"/>
  <c r="O373" i="1"/>
  <c r="N373" i="1"/>
  <c r="Q372" i="1"/>
  <c r="P372" i="1"/>
  <c r="O372" i="1"/>
  <c r="N372" i="1"/>
  <c r="Q371" i="1"/>
  <c r="P371" i="1"/>
  <c r="O371" i="1"/>
  <c r="N371" i="1"/>
  <c r="Q370" i="1"/>
  <c r="P370" i="1"/>
  <c r="O370" i="1"/>
  <c r="N370" i="1"/>
  <c r="Q369" i="1"/>
  <c r="P369" i="1"/>
  <c r="O369" i="1"/>
  <c r="N369" i="1"/>
  <c r="Q368" i="1"/>
  <c r="P368" i="1"/>
  <c r="O368" i="1"/>
  <c r="N368" i="1"/>
  <c r="Q367" i="1"/>
  <c r="P367" i="1"/>
  <c r="O367" i="1"/>
  <c r="N367" i="1"/>
  <c r="Q366" i="1"/>
  <c r="P366" i="1"/>
  <c r="O366" i="1"/>
  <c r="N366" i="1"/>
  <c r="Q365" i="1"/>
  <c r="P365" i="1"/>
  <c r="O365" i="1"/>
  <c r="N365" i="1"/>
  <c r="Q364" i="1"/>
  <c r="P364" i="1"/>
  <c r="O364" i="1"/>
  <c r="N364" i="1"/>
  <c r="Q363" i="1"/>
  <c r="P363" i="1"/>
  <c r="O363" i="1"/>
  <c r="N363" i="1"/>
  <c r="Q362" i="1"/>
  <c r="P362" i="1"/>
  <c r="O362" i="1"/>
  <c r="N362" i="1"/>
  <c r="Q361" i="1"/>
  <c r="P361" i="1"/>
  <c r="O361" i="1"/>
  <c r="N361" i="1"/>
  <c r="Q360" i="1"/>
  <c r="P360" i="1"/>
  <c r="O360" i="1"/>
  <c r="N360" i="1"/>
  <c r="Q359" i="1"/>
  <c r="P359" i="1"/>
  <c r="O359" i="1"/>
  <c r="N359" i="1"/>
  <c r="Q358" i="1"/>
  <c r="P358" i="1"/>
  <c r="O358" i="1"/>
  <c r="N358" i="1"/>
  <c r="Q357" i="1"/>
  <c r="P357" i="1"/>
  <c r="O357" i="1"/>
  <c r="N357" i="1"/>
  <c r="Q356" i="1"/>
  <c r="P356" i="1"/>
  <c r="O356" i="1"/>
  <c r="N356" i="1"/>
  <c r="Q355" i="1"/>
  <c r="P355" i="1"/>
  <c r="O355" i="1"/>
  <c r="N355" i="1"/>
  <c r="Q354" i="1"/>
  <c r="P354" i="1"/>
  <c r="O354" i="1"/>
  <c r="N354" i="1"/>
  <c r="Q353" i="1"/>
  <c r="P353" i="1"/>
  <c r="O353" i="1"/>
  <c r="N353" i="1"/>
  <c r="Q352" i="1"/>
  <c r="P352" i="1"/>
  <c r="O352" i="1"/>
  <c r="N352" i="1"/>
  <c r="Q351" i="1"/>
  <c r="P351" i="1"/>
  <c r="O351" i="1"/>
  <c r="N351" i="1"/>
  <c r="Q350" i="1"/>
  <c r="P350" i="1"/>
  <c r="O350" i="1"/>
  <c r="N350" i="1"/>
  <c r="Q349" i="1"/>
  <c r="P349" i="1"/>
  <c r="O349" i="1"/>
  <c r="N349" i="1"/>
  <c r="Q348" i="1"/>
  <c r="P348" i="1"/>
  <c r="O348" i="1"/>
  <c r="N348" i="1"/>
  <c r="Q347" i="1"/>
  <c r="P347" i="1"/>
  <c r="O347" i="1"/>
  <c r="N347" i="1"/>
  <c r="Q346" i="1"/>
  <c r="P346" i="1"/>
  <c r="O346" i="1"/>
  <c r="N346" i="1"/>
  <c r="Q345" i="1"/>
  <c r="P345" i="1"/>
  <c r="O345" i="1"/>
  <c r="N345" i="1"/>
  <c r="Q344" i="1"/>
  <c r="P344" i="1"/>
  <c r="O344" i="1"/>
  <c r="N344" i="1"/>
  <c r="Q343" i="1"/>
  <c r="P343" i="1"/>
  <c r="O343" i="1"/>
  <c r="N343" i="1"/>
  <c r="Q342" i="1"/>
  <c r="P342" i="1"/>
  <c r="O342" i="1"/>
  <c r="N342" i="1"/>
  <c r="Q341" i="1"/>
  <c r="P341" i="1"/>
  <c r="O341" i="1"/>
  <c r="N341" i="1"/>
  <c r="Q340" i="1"/>
  <c r="P340" i="1"/>
  <c r="O340" i="1"/>
  <c r="N340" i="1"/>
  <c r="Q339" i="1"/>
  <c r="P339" i="1"/>
  <c r="O339" i="1"/>
  <c r="N339" i="1"/>
  <c r="Q338" i="1"/>
  <c r="P338" i="1"/>
  <c r="O338" i="1"/>
  <c r="N338" i="1"/>
  <c r="Q337" i="1"/>
  <c r="P337" i="1"/>
  <c r="O337" i="1"/>
  <c r="N337" i="1"/>
  <c r="Q336" i="1"/>
  <c r="P336" i="1"/>
  <c r="O336" i="1"/>
  <c r="N336" i="1"/>
  <c r="Q335" i="1"/>
  <c r="P335" i="1"/>
  <c r="O335" i="1"/>
  <c r="N335" i="1"/>
  <c r="Q334" i="1"/>
  <c r="P334" i="1"/>
  <c r="O334" i="1"/>
  <c r="N334" i="1"/>
  <c r="Q333" i="1"/>
  <c r="P333" i="1"/>
  <c r="O333" i="1"/>
  <c r="N333" i="1"/>
  <c r="Q332" i="1"/>
  <c r="P332" i="1"/>
  <c r="O332" i="1"/>
  <c r="N332" i="1"/>
  <c r="Q331" i="1"/>
  <c r="P331" i="1"/>
  <c r="O331" i="1"/>
  <c r="N331" i="1"/>
  <c r="Q330" i="1"/>
  <c r="P330" i="1"/>
  <c r="O330" i="1"/>
  <c r="N330" i="1"/>
  <c r="Q329" i="1"/>
  <c r="P329" i="1"/>
  <c r="O329" i="1"/>
  <c r="N329" i="1"/>
  <c r="Q328" i="1"/>
  <c r="P328" i="1"/>
  <c r="O328" i="1"/>
  <c r="N328" i="1"/>
  <c r="Q327" i="1"/>
  <c r="P327" i="1"/>
  <c r="O327" i="1"/>
  <c r="N327" i="1"/>
  <c r="Q326" i="1"/>
  <c r="P326" i="1"/>
  <c r="O326" i="1"/>
  <c r="N326" i="1"/>
  <c r="Q325" i="1"/>
  <c r="P325" i="1"/>
  <c r="O325" i="1"/>
  <c r="N325" i="1"/>
  <c r="Q324" i="1"/>
  <c r="P324" i="1"/>
  <c r="O324" i="1"/>
  <c r="N324" i="1"/>
  <c r="Q323" i="1"/>
  <c r="P323" i="1"/>
  <c r="O323" i="1"/>
  <c r="N323" i="1"/>
  <c r="Q322" i="1"/>
  <c r="P322" i="1"/>
  <c r="O322" i="1"/>
  <c r="N322" i="1"/>
  <c r="Q321" i="1"/>
  <c r="P321" i="1"/>
  <c r="O321" i="1"/>
  <c r="N321" i="1"/>
  <c r="Q320" i="1"/>
  <c r="P320" i="1"/>
  <c r="O320" i="1"/>
  <c r="N320" i="1"/>
  <c r="Q319" i="1"/>
  <c r="P319" i="1"/>
  <c r="O319" i="1"/>
  <c r="N319" i="1"/>
  <c r="Q318" i="1"/>
  <c r="P318" i="1"/>
  <c r="O318" i="1"/>
  <c r="N318" i="1"/>
  <c r="Q317" i="1"/>
  <c r="P317" i="1"/>
  <c r="O317" i="1"/>
  <c r="N317" i="1"/>
  <c r="Q316" i="1"/>
  <c r="P316" i="1"/>
  <c r="O316" i="1"/>
  <c r="N316" i="1"/>
  <c r="Q315" i="1"/>
  <c r="P315" i="1"/>
  <c r="O315" i="1"/>
  <c r="N315" i="1"/>
  <c r="Q314" i="1"/>
  <c r="P314" i="1"/>
  <c r="O314" i="1"/>
  <c r="N314" i="1"/>
  <c r="Q313" i="1"/>
  <c r="P313" i="1"/>
  <c r="O313" i="1"/>
  <c r="N313" i="1"/>
  <c r="Q312" i="1"/>
  <c r="P312" i="1"/>
  <c r="O312" i="1"/>
  <c r="N312" i="1"/>
  <c r="Q311" i="1"/>
  <c r="P311" i="1"/>
  <c r="O311" i="1"/>
  <c r="N311" i="1"/>
  <c r="Q310" i="1"/>
  <c r="P310" i="1"/>
  <c r="O310" i="1"/>
  <c r="N310" i="1"/>
  <c r="Q309" i="1"/>
  <c r="P309" i="1"/>
  <c r="O309" i="1"/>
  <c r="N309" i="1"/>
  <c r="Q308" i="1"/>
  <c r="P308" i="1"/>
  <c r="O308" i="1"/>
  <c r="N308" i="1"/>
  <c r="Q307" i="1"/>
  <c r="P307" i="1"/>
  <c r="O307" i="1"/>
  <c r="N307" i="1"/>
  <c r="Q306" i="1"/>
  <c r="P306" i="1"/>
  <c r="O306" i="1"/>
  <c r="N306" i="1"/>
  <c r="Q305" i="1"/>
  <c r="P305" i="1"/>
  <c r="O305" i="1"/>
  <c r="N305" i="1"/>
  <c r="Q304" i="1"/>
  <c r="P304" i="1"/>
  <c r="O304" i="1"/>
  <c r="N304" i="1"/>
  <c r="Q303" i="1"/>
  <c r="P303" i="1"/>
  <c r="O303" i="1"/>
  <c r="N303" i="1"/>
  <c r="Q302" i="1"/>
  <c r="P302" i="1"/>
  <c r="O302" i="1"/>
  <c r="N302" i="1"/>
  <c r="Q301" i="1"/>
  <c r="P301" i="1"/>
  <c r="O301" i="1"/>
  <c r="N301" i="1"/>
  <c r="Q300" i="1"/>
  <c r="P300" i="1"/>
  <c r="O300" i="1"/>
  <c r="N300" i="1"/>
  <c r="Q299" i="1"/>
  <c r="P299" i="1"/>
  <c r="O299" i="1"/>
  <c r="N299" i="1"/>
  <c r="Q298" i="1"/>
  <c r="P298" i="1"/>
  <c r="O298" i="1"/>
  <c r="N298" i="1"/>
  <c r="Q297" i="1"/>
  <c r="P297" i="1"/>
  <c r="O297" i="1"/>
  <c r="N297" i="1"/>
  <c r="Q296" i="1"/>
  <c r="P296" i="1"/>
  <c r="O296" i="1"/>
  <c r="N296" i="1"/>
  <c r="Q295" i="1"/>
  <c r="P295" i="1"/>
  <c r="O295" i="1"/>
  <c r="N295" i="1"/>
  <c r="Q294" i="1"/>
  <c r="P294" i="1"/>
  <c r="O294" i="1"/>
  <c r="N294" i="1"/>
  <c r="Q293" i="1"/>
  <c r="P293" i="1"/>
  <c r="O293" i="1"/>
  <c r="N293" i="1"/>
  <c r="Q292" i="1"/>
  <c r="P292" i="1"/>
  <c r="O292" i="1"/>
  <c r="N292" i="1"/>
  <c r="Q291" i="1"/>
  <c r="P291" i="1"/>
  <c r="O291" i="1"/>
  <c r="N291" i="1"/>
  <c r="Q290" i="1"/>
  <c r="P290" i="1"/>
  <c r="O290" i="1"/>
  <c r="N290" i="1"/>
  <c r="Q289" i="1"/>
  <c r="P289" i="1"/>
  <c r="O289" i="1"/>
  <c r="N289" i="1"/>
  <c r="Q288" i="1"/>
  <c r="P288" i="1"/>
  <c r="O288" i="1"/>
  <c r="N288" i="1"/>
  <c r="Q287" i="1"/>
  <c r="P287" i="1"/>
  <c r="O287" i="1"/>
  <c r="N287" i="1"/>
  <c r="Q286" i="1"/>
  <c r="P286" i="1"/>
  <c r="O286" i="1"/>
  <c r="N286" i="1"/>
  <c r="Q285" i="1"/>
  <c r="P285" i="1"/>
  <c r="O285" i="1"/>
  <c r="N285" i="1"/>
  <c r="Q284" i="1"/>
  <c r="P284" i="1"/>
  <c r="O284" i="1"/>
  <c r="N284" i="1"/>
  <c r="Q283" i="1"/>
  <c r="P283" i="1"/>
  <c r="O283" i="1"/>
  <c r="N283" i="1"/>
  <c r="Q282" i="1"/>
  <c r="P282" i="1"/>
  <c r="O282" i="1"/>
  <c r="N282" i="1"/>
  <c r="Q281" i="1"/>
  <c r="P281" i="1"/>
  <c r="O281" i="1"/>
  <c r="N281" i="1"/>
  <c r="Q280" i="1"/>
  <c r="P280" i="1"/>
  <c r="O280" i="1"/>
  <c r="N280" i="1"/>
  <c r="Q279" i="1"/>
  <c r="P279" i="1"/>
  <c r="O279" i="1"/>
  <c r="N279" i="1"/>
  <c r="Q278" i="1"/>
  <c r="P278" i="1"/>
  <c r="O278" i="1"/>
  <c r="N278" i="1"/>
  <c r="Q277" i="1"/>
  <c r="P277" i="1"/>
  <c r="O277" i="1"/>
  <c r="N277" i="1"/>
  <c r="Q276" i="1"/>
  <c r="P276" i="1"/>
  <c r="O276" i="1"/>
  <c r="N276" i="1"/>
  <c r="Q275" i="1"/>
  <c r="P275" i="1"/>
  <c r="O275" i="1"/>
  <c r="N275" i="1"/>
  <c r="Q274" i="1"/>
  <c r="P274" i="1"/>
  <c r="O274" i="1"/>
  <c r="N274" i="1"/>
  <c r="Q273" i="1"/>
  <c r="P273" i="1"/>
  <c r="O273" i="1"/>
  <c r="N273" i="1"/>
  <c r="Q272" i="1"/>
  <c r="P272" i="1"/>
  <c r="O272" i="1"/>
  <c r="N272" i="1"/>
  <c r="Q271" i="1"/>
  <c r="P271" i="1"/>
  <c r="O271" i="1"/>
  <c r="N271" i="1"/>
  <c r="Q270" i="1"/>
  <c r="P270" i="1"/>
  <c r="O270" i="1"/>
  <c r="N270" i="1"/>
  <c r="Q269" i="1"/>
  <c r="P269" i="1"/>
  <c r="O269" i="1"/>
  <c r="N269" i="1"/>
  <c r="Q268" i="1"/>
  <c r="P268" i="1"/>
  <c r="O268" i="1"/>
  <c r="N268" i="1"/>
  <c r="Q267" i="1"/>
  <c r="P267" i="1"/>
  <c r="O267" i="1"/>
  <c r="N267" i="1"/>
  <c r="Q266" i="1"/>
  <c r="P266" i="1"/>
  <c r="O266" i="1"/>
  <c r="N266" i="1"/>
  <c r="Q265" i="1"/>
  <c r="P265" i="1"/>
  <c r="O265" i="1"/>
  <c r="N265" i="1"/>
  <c r="Q264" i="1"/>
  <c r="P264" i="1"/>
  <c r="O264" i="1"/>
  <c r="N264" i="1"/>
  <c r="Q263" i="1"/>
  <c r="P263" i="1"/>
  <c r="O263" i="1"/>
  <c r="N263" i="1"/>
  <c r="Q262" i="1"/>
  <c r="P262" i="1"/>
  <c r="O262" i="1"/>
  <c r="N262" i="1"/>
  <c r="Q261" i="1"/>
  <c r="P261" i="1"/>
  <c r="O261" i="1"/>
  <c r="N261" i="1"/>
  <c r="Q260" i="1"/>
  <c r="P260" i="1"/>
  <c r="O260" i="1"/>
  <c r="N260" i="1"/>
  <c r="Q259" i="1"/>
  <c r="P259" i="1"/>
  <c r="O259" i="1"/>
  <c r="N259" i="1"/>
  <c r="Q258" i="1"/>
  <c r="P258" i="1"/>
  <c r="O258" i="1"/>
  <c r="N258" i="1"/>
  <c r="Q257" i="1"/>
  <c r="P257" i="1"/>
  <c r="O257" i="1"/>
  <c r="N257" i="1"/>
  <c r="Q256" i="1"/>
  <c r="P256" i="1"/>
  <c r="O256" i="1"/>
  <c r="N256" i="1"/>
  <c r="Q255" i="1"/>
  <c r="P255" i="1"/>
  <c r="O255" i="1"/>
  <c r="N255" i="1"/>
  <c r="Q254" i="1"/>
  <c r="P254" i="1"/>
  <c r="O254" i="1"/>
  <c r="N254" i="1"/>
  <c r="Q253" i="1"/>
  <c r="P253" i="1"/>
  <c r="O253" i="1"/>
  <c r="N253" i="1"/>
  <c r="Q252" i="1"/>
  <c r="P252" i="1"/>
  <c r="O252" i="1"/>
  <c r="N252" i="1"/>
  <c r="Q251" i="1"/>
  <c r="P251" i="1"/>
  <c r="O251" i="1"/>
  <c r="N251" i="1"/>
  <c r="Q250" i="1"/>
  <c r="P250" i="1"/>
  <c r="O250" i="1"/>
  <c r="N250" i="1"/>
  <c r="Q249" i="1"/>
  <c r="P249" i="1"/>
  <c r="O249" i="1"/>
  <c r="N249" i="1"/>
  <c r="Q248" i="1"/>
  <c r="P248" i="1"/>
  <c r="O248" i="1"/>
  <c r="N248" i="1"/>
  <c r="Q247" i="1"/>
  <c r="P247" i="1"/>
  <c r="O247" i="1"/>
  <c r="N247" i="1"/>
  <c r="Q246" i="1"/>
  <c r="P246" i="1"/>
  <c r="O246" i="1"/>
  <c r="N246" i="1"/>
  <c r="Q245" i="1"/>
  <c r="P245" i="1"/>
  <c r="O245" i="1"/>
  <c r="N245" i="1"/>
  <c r="Q244" i="1"/>
  <c r="P244" i="1"/>
  <c r="O244" i="1"/>
  <c r="N244" i="1"/>
  <c r="Q243" i="1"/>
  <c r="P243" i="1"/>
  <c r="O243" i="1"/>
  <c r="N243" i="1"/>
  <c r="Q242" i="1"/>
  <c r="P242" i="1"/>
  <c r="O242" i="1"/>
  <c r="N242" i="1"/>
  <c r="Q241" i="1"/>
  <c r="P241" i="1"/>
  <c r="O241" i="1"/>
  <c r="N241" i="1"/>
  <c r="Q240" i="1"/>
  <c r="P240" i="1"/>
  <c r="O240" i="1"/>
  <c r="N240" i="1"/>
  <c r="Q239" i="1"/>
  <c r="P239" i="1"/>
  <c r="O239" i="1"/>
  <c r="N239" i="1"/>
  <c r="Q238" i="1"/>
  <c r="P238" i="1"/>
  <c r="O238" i="1"/>
  <c r="N238" i="1"/>
  <c r="Q237" i="1"/>
  <c r="P237" i="1"/>
  <c r="O237" i="1"/>
  <c r="N237" i="1"/>
  <c r="Q236" i="1"/>
  <c r="P236" i="1"/>
  <c r="O236" i="1"/>
  <c r="N236" i="1"/>
  <c r="Q235" i="1"/>
  <c r="P235" i="1"/>
  <c r="O235" i="1"/>
  <c r="N235" i="1"/>
  <c r="Q234" i="1"/>
  <c r="P234" i="1"/>
  <c r="O234" i="1"/>
  <c r="N234" i="1"/>
  <c r="Q233" i="1"/>
  <c r="P233" i="1"/>
  <c r="O233" i="1"/>
  <c r="N233" i="1"/>
  <c r="Q232" i="1"/>
  <c r="P232" i="1"/>
  <c r="O232" i="1"/>
  <c r="N232" i="1"/>
  <c r="Q231" i="1"/>
  <c r="P231" i="1"/>
  <c r="O231" i="1"/>
  <c r="N231" i="1"/>
  <c r="Q230" i="1"/>
  <c r="P230" i="1"/>
  <c r="O230" i="1"/>
  <c r="N230" i="1"/>
  <c r="Q229" i="1"/>
  <c r="P229" i="1"/>
  <c r="O229" i="1"/>
  <c r="N229" i="1"/>
  <c r="Q228" i="1"/>
  <c r="P228" i="1"/>
  <c r="O228" i="1"/>
  <c r="N228" i="1"/>
  <c r="Q227" i="1"/>
  <c r="P227" i="1"/>
  <c r="O227" i="1"/>
  <c r="N227" i="1"/>
  <c r="Q226" i="1"/>
  <c r="P226" i="1"/>
  <c r="O226" i="1"/>
  <c r="N226" i="1"/>
  <c r="Q225" i="1"/>
  <c r="P225" i="1"/>
  <c r="O225" i="1"/>
  <c r="N225" i="1"/>
  <c r="Q224" i="1"/>
  <c r="P224" i="1"/>
  <c r="O224" i="1"/>
  <c r="N224" i="1"/>
  <c r="Q223" i="1"/>
  <c r="P223" i="1"/>
  <c r="O223" i="1"/>
  <c r="N223" i="1"/>
  <c r="Q222" i="1"/>
  <c r="P222" i="1"/>
  <c r="O222" i="1"/>
  <c r="N222" i="1"/>
  <c r="Q221" i="1"/>
  <c r="P221" i="1"/>
  <c r="O221" i="1"/>
  <c r="N221" i="1"/>
  <c r="Q220" i="1"/>
  <c r="P220" i="1"/>
  <c r="O220" i="1"/>
  <c r="N220" i="1"/>
  <c r="Q219" i="1"/>
  <c r="P219" i="1"/>
  <c r="O219" i="1"/>
  <c r="N219" i="1"/>
  <c r="Q218" i="1"/>
  <c r="P218" i="1"/>
  <c r="O218" i="1"/>
  <c r="N218" i="1"/>
  <c r="Q217" i="1"/>
  <c r="P217" i="1"/>
  <c r="O217" i="1"/>
  <c r="N217" i="1"/>
  <c r="Q216" i="1"/>
  <c r="P216" i="1"/>
  <c r="O216" i="1"/>
  <c r="N216" i="1"/>
  <c r="Q215" i="1"/>
  <c r="P215" i="1"/>
  <c r="O215" i="1"/>
  <c r="N215" i="1"/>
  <c r="Q214" i="1"/>
  <c r="P214" i="1"/>
  <c r="O214" i="1"/>
  <c r="N214" i="1"/>
  <c r="Q213" i="1"/>
  <c r="P213" i="1"/>
  <c r="O213" i="1"/>
  <c r="N213" i="1"/>
  <c r="Q212" i="1"/>
  <c r="P212" i="1"/>
  <c r="O212" i="1"/>
  <c r="N212" i="1"/>
  <c r="Q211" i="1"/>
  <c r="P211" i="1"/>
  <c r="O211" i="1"/>
  <c r="N211" i="1"/>
  <c r="Q210" i="1"/>
  <c r="P210" i="1"/>
  <c r="O210" i="1"/>
  <c r="N210" i="1"/>
  <c r="Q209" i="1"/>
  <c r="P209" i="1"/>
  <c r="O209" i="1"/>
  <c r="N209" i="1"/>
  <c r="Q208" i="1"/>
  <c r="P208" i="1"/>
  <c r="O208" i="1"/>
  <c r="N208" i="1"/>
  <c r="Q207" i="1"/>
  <c r="P207" i="1"/>
  <c r="O207" i="1"/>
  <c r="N207" i="1"/>
  <c r="Q206" i="1"/>
  <c r="P206" i="1"/>
  <c r="O206" i="1"/>
  <c r="N206" i="1"/>
  <c r="Q205" i="1"/>
  <c r="P205" i="1"/>
  <c r="O205" i="1"/>
  <c r="N205" i="1"/>
  <c r="Q204" i="1"/>
  <c r="P204" i="1"/>
  <c r="O204" i="1"/>
  <c r="N204" i="1"/>
  <c r="Q203" i="1"/>
  <c r="P203" i="1"/>
  <c r="O203" i="1"/>
  <c r="N203" i="1"/>
  <c r="Q202" i="1"/>
  <c r="P202" i="1"/>
  <c r="O202" i="1"/>
  <c r="N202" i="1"/>
  <c r="Q201" i="1"/>
  <c r="P201" i="1"/>
  <c r="O201" i="1"/>
  <c r="N201" i="1"/>
  <c r="Q200" i="1"/>
  <c r="P200" i="1"/>
  <c r="O200" i="1"/>
  <c r="N200" i="1"/>
  <c r="Q199" i="1"/>
  <c r="P199" i="1"/>
  <c r="O199" i="1"/>
  <c r="N199" i="1"/>
  <c r="Q198" i="1"/>
  <c r="P198" i="1"/>
  <c r="O198" i="1"/>
  <c r="N198" i="1"/>
  <c r="Q197" i="1"/>
  <c r="P197" i="1"/>
  <c r="O197" i="1"/>
  <c r="N197" i="1"/>
  <c r="Q196" i="1"/>
  <c r="P196" i="1"/>
  <c r="O196" i="1"/>
  <c r="N196" i="1"/>
  <c r="Q195" i="1"/>
  <c r="P195" i="1"/>
  <c r="O195" i="1"/>
  <c r="N195" i="1"/>
  <c r="Q194" i="1"/>
  <c r="P194" i="1"/>
  <c r="O194" i="1"/>
  <c r="N194" i="1"/>
  <c r="Q193" i="1"/>
  <c r="P193" i="1"/>
  <c r="O193" i="1"/>
  <c r="N193" i="1"/>
  <c r="Q192" i="1"/>
  <c r="P192" i="1"/>
  <c r="O192" i="1"/>
  <c r="N192" i="1"/>
  <c r="Q191" i="1"/>
  <c r="P191" i="1"/>
  <c r="O191" i="1"/>
  <c r="N191" i="1"/>
  <c r="Q190" i="1"/>
  <c r="P190" i="1"/>
  <c r="O190" i="1"/>
  <c r="N190" i="1"/>
  <c r="Q189" i="1"/>
  <c r="P189" i="1"/>
  <c r="O189" i="1"/>
  <c r="N189" i="1"/>
  <c r="Q188" i="1"/>
  <c r="P188" i="1"/>
  <c r="O188" i="1"/>
  <c r="N188" i="1"/>
  <c r="Q187" i="1"/>
  <c r="P187" i="1"/>
  <c r="O187" i="1"/>
  <c r="N187" i="1"/>
  <c r="Q186" i="1"/>
  <c r="P186" i="1"/>
  <c r="O186" i="1"/>
  <c r="N186" i="1"/>
  <c r="Q185" i="1"/>
  <c r="P185" i="1"/>
  <c r="O185" i="1"/>
  <c r="N185" i="1"/>
  <c r="Q184" i="1"/>
  <c r="P184" i="1"/>
  <c r="O184" i="1"/>
  <c r="N184" i="1"/>
  <c r="Q183" i="1"/>
  <c r="P183" i="1"/>
  <c r="O183" i="1"/>
  <c r="N183" i="1"/>
  <c r="Q182" i="1"/>
  <c r="P182" i="1"/>
  <c r="O182" i="1"/>
  <c r="N182" i="1"/>
  <c r="Q181" i="1"/>
  <c r="P181" i="1"/>
  <c r="O181" i="1"/>
  <c r="N181" i="1"/>
  <c r="Q180" i="1"/>
  <c r="P180" i="1"/>
  <c r="O180" i="1"/>
  <c r="N180" i="1"/>
  <c r="Q179" i="1"/>
  <c r="P179" i="1"/>
  <c r="O179" i="1"/>
  <c r="N179" i="1"/>
  <c r="Q178" i="1"/>
  <c r="P178" i="1"/>
  <c r="O178" i="1"/>
  <c r="N178" i="1"/>
  <c r="Q177" i="1"/>
  <c r="P177" i="1"/>
  <c r="O177" i="1"/>
  <c r="N177" i="1"/>
  <c r="Q176" i="1"/>
  <c r="P176" i="1"/>
  <c r="O176" i="1"/>
  <c r="N176" i="1"/>
  <c r="Q175" i="1"/>
  <c r="P175" i="1"/>
  <c r="O175" i="1"/>
  <c r="N175" i="1"/>
  <c r="Q174" i="1"/>
  <c r="P174" i="1"/>
  <c r="O174" i="1"/>
  <c r="N174" i="1"/>
  <c r="Q173" i="1"/>
  <c r="P173" i="1"/>
  <c r="O173" i="1"/>
  <c r="N173" i="1"/>
  <c r="Q172" i="1"/>
  <c r="P172" i="1"/>
  <c r="O172" i="1"/>
  <c r="N172" i="1"/>
  <c r="Q171" i="1"/>
  <c r="P171" i="1"/>
  <c r="O171" i="1"/>
  <c r="N171" i="1"/>
  <c r="Q170" i="1"/>
  <c r="P170" i="1"/>
  <c r="O170" i="1"/>
  <c r="N170" i="1"/>
  <c r="Q169" i="1"/>
  <c r="P169" i="1"/>
  <c r="O169" i="1"/>
  <c r="N169" i="1"/>
  <c r="Q168" i="1"/>
  <c r="P168" i="1"/>
  <c r="O168" i="1"/>
  <c r="N168" i="1"/>
  <c r="Q167" i="1"/>
  <c r="P167" i="1"/>
  <c r="O167" i="1"/>
  <c r="N167" i="1"/>
  <c r="Q166" i="1"/>
  <c r="P166" i="1"/>
  <c r="O166" i="1"/>
  <c r="N166" i="1"/>
  <c r="Q165" i="1"/>
  <c r="P165" i="1"/>
  <c r="O165" i="1"/>
  <c r="N165" i="1"/>
  <c r="Q164" i="1"/>
  <c r="P164" i="1"/>
  <c r="O164" i="1"/>
  <c r="N164" i="1"/>
  <c r="Q163" i="1"/>
  <c r="P163" i="1"/>
  <c r="O163" i="1"/>
  <c r="N163" i="1"/>
  <c r="Q162" i="1"/>
  <c r="P162" i="1"/>
  <c r="O162" i="1"/>
  <c r="N162" i="1"/>
  <c r="Q161" i="1"/>
  <c r="P161" i="1"/>
  <c r="O161" i="1"/>
  <c r="N161" i="1"/>
  <c r="Q160" i="1"/>
  <c r="P160" i="1"/>
  <c r="O160" i="1"/>
  <c r="N160" i="1"/>
  <c r="Q159" i="1"/>
  <c r="P159" i="1"/>
  <c r="O159" i="1"/>
  <c r="N159" i="1"/>
  <c r="Q158" i="1"/>
  <c r="P158" i="1"/>
  <c r="O158" i="1"/>
  <c r="N158" i="1"/>
  <c r="Q157" i="1"/>
  <c r="P157" i="1"/>
  <c r="O157" i="1"/>
  <c r="N157" i="1"/>
  <c r="Q156" i="1"/>
  <c r="P156" i="1"/>
  <c r="O156" i="1"/>
  <c r="N156" i="1"/>
  <c r="Q155" i="1"/>
  <c r="P155" i="1"/>
  <c r="O155" i="1"/>
  <c r="N155" i="1"/>
  <c r="Q154" i="1"/>
  <c r="P154" i="1"/>
  <c r="O154" i="1"/>
  <c r="N154" i="1"/>
  <c r="Q153" i="1"/>
  <c r="P153" i="1"/>
  <c r="O153" i="1"/>
  <c r="N153" i="1"/>
  <c r="Q152" i="1"/>
  <c r="P152" i="1"/>
  <c r="O152" i="1"/>
  <c r="N152" i="1"/>
  <c r="Q151" i="1"/>
  <c r="P151" i="1"/>
  <c r="O151" i="1"/>
  <c r="N151" i="1"/>
  <c r="Q150" i="1"/>
  <c r="P150" i="1"/>
  <c r="O150" i="1"/>
  <c r="N150" i="1"/>
  <c r="Q149" i="1"/>
  <c r="P149" i="1"/>
  <c r="O149" i="1"/>
  <c r="N149" i="1"/>
  <c r="Q148" i="1"/>
  <c r="P148" i="1"/>
  <c r="O148" i="1"/>
  <c r="N148" i="1"/>
  <c r="Q147" i="1"/>
  <c r="P147" i="1"/>
  <c r="O147" i="1"/>
  <c r="N147" i="1"/>
  <c r="Q146" i="1"/>
  <c r="P146" i="1"/>
  <c r="O146" i="1"/>
  <c r="N146" i="1"/>
  <c r="Q145" i="1"/>
  <c r="P145" i="1"/>
  <c r="O145" i="1"/>
  <c r="N145" i="1"/>
  <c r="Q144" i="1"/>
  <c r="P144" i="1"/>
  <c r="O144" i="1"/>
  <c r="N144" i="1"/>
  <c r="Q143" i="1"/>
  <c r="P143" i="1"/>
  <c r="O143" i="1"/>
  <c r="N143" i="1"/>
  <c r="Q142" i="1"/>
  <c r="P142" i="1"/>
  <c r="O142" i="1"/>
  <c r="N142" i="1"/>
  <c r="Q141" i="1"/>
  <c r="P141" i="1"/>
  <c r="O141" i="1"/>
  <c r="N141" i="1"/>
  <c r="Q140" i="1"/>
  <c r="P140" i="1"/>
  <c r="O140" i="1"/>
  <c r="N140" i="1"/>
  <c r="Q139" i="1"/>
  <c r="P139" i="1"/>
  <c r="O139" i="1"/>
  <c r="N139" i="1"/>
  <c r="Q138" i="1"/>
  <c r="P138" i="1"/>
  <c r="O138" i="1"/>
  <c r="N138" i="1"/>
  <c r="Q137" i="1"/>
  <c r="P137" i="1"/>
  <c r="O137" i="1"/>
  <c r="N137" i="1"/>
  <c r="Q136" i="1"/>
  <c r="P136" i="1"/>
  <c r="O136" i="1"/>
  <c r="N136" i="1"/>
  <c r="Q135" i="1"/>
  <c r="P135" i="1"/>
  <c r="O135" i="1"/>
  <c r="N135" i="1"/>
  <c r="Q134" i="1"/>
  <c r="P134" i="1"/>
  <c r="O134" i="1"/>
  <c r="N134" i="1"/>
  <c r="Q133" i="1"/>
  <c r="P133" i="1"/>
  <c r="O133" i="1"/>
  <c r="N133" i="1"/>
  <c r="Q132" i="1"/>
  <c r="P132" i="1"/>
  <c r="O132" i="1"/>
  <c r="N132" i="1"/>
  <c r="Q131" i="1"/>
  <c r="P131" i="1"/>
  <c r="O131" i="1"/>
  <c r="N131" i="1"/>
  <c r="Q130" i="1"/>
  <c r="P130" i="1"/>
  <c r="O130" i="1"/>
  <c r="N130" i="1"/>
  <c r="Q129" i="1"/>
  <c r="P129" i="1"/>
  <c r="O129" i="1"/>
  <c r="N129" i="1"/>
  <c r="Q128" i="1"/>
  <c r="P128" i="1"/>
  <c r="O128" i="1"/>
  <c r="N128" i="1"/>
  <c r="Q127" i="1"/>
  <c r="P127" i="1"/>
  <c r="O127" i="1"/>
  <c r="N127" i="1"/>
  <c r="Q126" i="1"/>
  <c r="P126" i="1"/>
  <c r="O126" i="1"/>
  <c r="N126" i="1"/>
  <c r="Q125" i="1"/>
  <c r="P125" i="1"/>
  <c r="O125" i="1"/>
  <c r="N125" i="1"/>
  <c r="Q124" i="1"/>
  <c r="P124" i="1"/>
  <c r="O124" i="1"/>
  <c r="N124" i="1"/>
  <c r="Q123" i="1"/>
  <c r="P123" i="1"/>
  <c r="O123" i="1"/>
  <c r="N123" i="1"/>
  <c r="Q122" i="1"/>
  <c r="P122" i="1"/>
  <c r="O122" i="1"/>
  <c r="N122" i="1"/>
  <c r="Q121" i="1"/>
  <c r="P121" i="1"/>
  <c r="O121" i="1"/>
  <c r="N121" i="1"/>
  <c r="Q120" i="1"/>
  <c r="P120" i="1"/>
  <c r="O120" i="1"/>
  <c r="N120" i="1"/>
  <c r="Q119" i="1"/>
  <c r="P119" i="1"/>
  <c r="O119" i="1"/>
  <c r="N119" i="1"/>
  <c r="Q118" i="1"/>
  <c r="P118" i="1"/>
  <c r="O118" i="1"/>
  <c r="N118" i="1"/>
  <c r="Q117" i="1"/>
  <c r="P117" i="1"/>
  <c r="O117" i="1"/>
  <c r="N117" i="1"/>
  <c r="Q116" i="1"/>
  <c r="P116" i="1"/>
  <c r="O116" i="1"/>
  <c r="N116" i="1"/>
  <c r="Q115" i="1"/>
  <c r="P115" i="1"/>
  <c r="O115" i="1"/>
  <c r="N115" i="1"/>
  <c r="Q114" i="1"/>
  <c r="P114" i="1"/>
  <c r="O114" i="1"/>
  <c r="N114" i="1"/>
  <c r="Q113" i="1"/>
  <c r="P113" i="1"/>
  <c r="O113" i="1"/>
  <c r="N113" i="1"/>
  <c r="Q112" i="1"/>
  <c r="P112" i="1"/>
  <c r="O112" i="1"/>
  <c r="N112" i="1"/>
  <c r="Q111" i="1"/>
  <c r="P111" i="1"/>
  <c r="O111" i="1"/>
  <c r="N111" i="1"/>
  <c r="Q110" i="1"/>
  <c r="P110" i="1"/>
  <c r="O110" i="1"/>
  <c r="N110" i="1"/>
  <c r="Q109" i="1"/>
  <c r="P109" i="1"/>
  <c r="O109" i="1"/>
  <c r="N109" i="1"/>
  <c r="Q108" i="1"/>
  <c r="P108" i="1"/>
  <c r="O108" i="1"/>
  <c r="N108" i="1"/>
  <c r="Q107" i="1"/>
  <c r="P107" i="1"/>
  <c r="O107" i="1"/>
  <c r="N107" i="1"/>
  <c r="Q106" i="1"/>
  <c r="P106" i="1"/>
  <c r="O106" i="1"/>
  <c r="N106" i="1"/>
  <c r="Q105" i="1"/>
  <c r="P105" i="1"/>
  <c r="O105" i="1"/>
  <c r="N105" i="1"/>
  <c r="Q104" i="1"/>
  <c r="P104" i="1"/>
  <c r="O104" i="1"/>
  <c r="N104" i="1"/>
  <c r="Q103" i="1"/>
  <c r="P103" i="1"/>
  <c r="O103" i="1"/>
  <c r="N103" i="1"/>
  <c r="Q102" i="1"/>
  <c r="P102" i="1"/>
  <c r="O102" i="1"/>
  <c r="N102" i="1"/>
  <c r="Q101" i="1"/>
  <c r="P101" i="1"/>
  <c r="O101" i="1"/>
  <c r="N101" i="1"/>
  <c r="Q100" i="1"/>
  <c r="P100" i="1"/>
  <c r="O100" i="1"/>
  <c r="N100" i="1"/>
  <c r="Q99" i="1"/>
  <c r="P99" i="1"/>
  <c r="O99" i="1"/>
  <c r="N99" i="1"/>
  <c r="Q98" i="1"/>
  <c r="P98" i="1"/>
  <c r="O98" i="1"/>
  <c r="N98" i="1"/>
  <c r="Q97" i="1"/>
  <c r="P97" i="1"/>
  <c r="O97" i="1"/>
  <c r="N97" i="1"/>
  <c r="Q96" i="1"/>
  <c r="P96" i="1"/>
  <c r="O96" i="1"/>
  <c r="N96" i="1"/>
  <c r="Q95" i="1"/>
  <c r="P95" i="1"/>
  <c r="O95" i="1"/>
  <c r="N95" i="1"/>
  <c r="Q94" i="1"/>
  <c r="P94" i="1"/>
  <c r="O94" i="1"/>
  <c r="N94" i="1"/>
  <c r="Q93" i="1"/>
  <c r="P93" i="1"/>
  <c r="O93" i="1"/>
  <c r="N93" i="1"/>
  <c r="Q92" i="1"/>
  <c r="P92" i="1"/>
  <c r="O92" i="1"/>
  <c r="N92" i="1"/>
  <c r="Q91" i="1"/>
  <c r="P91" i="1"/>
  <c r="O91" i="1"/>
  <c r="N91" i="1"/>
  <c r="Q90" i="1"/>
  <c r="P90" i="1"/>
  <c r="O90" i="1"/>
  <c r="N90" i="1"/>
  <c r="Q89" i="1"/>
  <c r="P89" i="1"/>
  <c r="O89" i="1"/>
  <c r="N89" i="1"/>
  <c r="Q88" i="1"/>
  <c r="P88" i="1"/>
  <c r="O88" i="1"/>
  <c r="N88" i="1"/>
  <c r="Q87" i="1"/>
  <c r="P87" i="1"/>
  <c r="O87" i="1"/>
  <c r="N87" i="1"/>
  <c r="Q86" i="1"/>
  <c r="P86" i="1"/>
  <c r="O86" i="1"/>
  <c r="N86" i="1"/>
  <c r="Q85" i="1"/>
  <c r="P85" i="1"/>
  <c r="O85" i="1"/>
  <c r="N85" i="1"/>
  <c r="Q84" i="1"/>
  <c r="P84" i="1"/>
  <c r="O84" i="1"/>
  <c r="N84" i="1"/>
  <c r="Q83" i="1"/>
  <c r="P83" i="1"/>
  <c r="O83" i="1"/>
  <c r="N83" i="1"/>
  <c r="Q82" i="1"/>
  <c r="P82" i="1"/>
  <c r="O82" i="1"/>
  <c r="N82" i="1"/>
  <c r="Q81" i="1"/>
  <c r="P81" i="1"/>
  <c r="O81" i="1"/>
  <c r="N81" i="1"/>
  <c r="Q80" i="1"/>
  <c r="P80" i="1"/>
  <c r="O80" i="1"/>
  <c r="N80" i="1"/>
  <c r="Q79" i="1"/>
  <c r="P79" i="1"/>
  <c r="O79" i="1"/>
  <c r="N79" i="1"/>
  <c r="Q78" i="1"/>
  <c r="P78" i="1"/>
  <c r="O78" i="1"/>
  <c r="N78" i="1"/>
  <c r="Q77" i="1"/>
  <c r="P77" i="1"/>
  <c r="O77" i="1"/>
  <c r="N77" i="1"/>
  <c r="Q76" i="1"/>
  <c r="P76" i="1"/>
  <c r="O76" i="1"/>
  <c r="N76" i="1"/>
  <c r="Q75" i="1"/>
  <c r="P75" i="1"/>
  <c r="O75" i="1"/>
  <c r="N75" i="1"/>
  <c r="Q74" i="1"/>
  <c r="P74" i="1"/>
  <c r="O74" i="1"/>
  <c r="N74" i="1"/>
  <c r="Q73" i="1"/>
  <c r="P73" i="1"/>
  <c r="O73" i="1"/>
  <c r="N73" i="1"/>
  <c r="Q72" i="1"/>
  <c r="P72" i="1"/>
  <c r="O72" i="1"/>
  <c r="N72" i="1"/>
  <c r="Q71" i="1"/>
  <c r="P71" i="1"/>
  <c r="O71" i="1"/>
  <c r="N71" i="1"/>
  <c r="Q70" i="1"/>
  <c r="P70" i="1"/>
  <c r="O70" i="1"/>
  <c r="N70" i="1"/>
  <c r="Q69" i="1"/>
  <c r="P69" i="1"/>
  <c r="O69" i="1"/>
  <c r="N69" i="1"/>
  <c r="Q68" i="1"/>
  <c r="P68" i="1"/>
  <c r="O68" i="1"/>
  <c r="N68" i="1"/>
  <c r="Q67" i="1"/>
  <c r="P67" i="1"/>
  <c r="O67" i="1"/>
  <c r="N67" i="1"/>
  <c r="Q66" i="1"/>
  <c r="P66" i="1"/>
  <c r="O66" i="1"/>
  <c r="N66" i="1"/>
  <c r="Q65" i="1"/>
  <c r="P65" i="1"/>
  <c r="O65" i="1"/>
  <c r="N65" i="1"/>
  <c r="Q64" i="1"/>
  <c r="P64" i="1"/>
  <c r="O64" i="1"/>
  <c r="N64" i="1"/>
  <c r="Q63" i="1"/>
  <c r="P63" i="1"/>
  <c r="O63" i="1"/>
  <c r="N63" i="1"/>
  <c r="Q62" i="1"/>
  <c r="P62" i="1"/>
  <c r="O62" i="1"/>
  <c r="N62" i="1"/>
  <c r="Q61" i="1"/>
  <c r="P61" i="1"/>
  <c r="O61" i="1"/>
  <c r="N61" i="1"/>
  <c r="Q60" i="1"/>
  <c r="P60" i="1"/>
  <c r="O60" i="1"/>
  <c r="N60" i="1"/>
  <c r="Q59" i="1"/>
  <c r="P59" i="1"/>
  <c r="O59" i="1"/>
  <c r="N59" i="1"/>
  <c r="Q58" i="1"/>
  <c r="P58" i="1"/>
  <c r="O58" i="1"/>
  <c r="N58" i="1"/>
  <c r="Q57" i="1"/>
  <c r="P57" i="1"/>
  <c r="O57" i="1"/>
  <c r="N57" i="1"/>
  <c r="Q56" i="1"/>
  <c r="P56" i="1"/>
  <c r="O56" i="1"/>
  <c r="N56" i="1"/>
  <c r="Q55" i="1"/>
  <c r="P55" i="1"/>
  <c r="O55" i="1"/>
  <c r="N55" i="1"/>
  <c r="Q54" i="1"/>
  <c r="P54" i="1"/>
  <c r="O54" i="1"/>
  <c r="N54" i="1"/>
  <c r="Q53" i="1"/>
  <c r="P53" i="1"/>
  <c r="O53" i="1"/>
  <c r="N53" i="1"/>
  <c r="Q52" i="1"/>
  <c r="P52" i="1"/>
  <c r="O52" i="1"/>
  <c r="N52" i="1"/>
  <c r="Q51" i="1"/>
  <c r="P51" i="1"/>
  <c r="O51" i="1"/>
  <c r="N51" i="1"/>
  <c r="Q50" i="1"/>
  <c r="P50" i="1"/>
  <c r="O50" i="1"/>
  <c r="N50" i="1"/>
  <c r="Q49" i="1"/>
  <c r="P49" i="1"/>
  <c r="O49" i="1"/>
  <c r="N49" i="1"/>
  <c r="Q48" i="1"/>
  <c r="P48" i="1"/>
  <c r="O48" i="1"/>
  <c r="N48" i="1"/>
  <c r="Q47" i="1"/>
  <c r="P47" i="1"/>
  <c r="O47" i="1"/>
  <c r="N47" i="1"/>
  <c r="Q46" i="1"/>
  <c r="P46" i="1"/>
  <c r="O46" i="1"/>
  <c r="N46" i="1"/>
  <c r="Q45" i="1"/>
  <c r="P45" i="1"/>
  <c r="O45" i="1"/>
  <c r="N45" i="1"/>
  <c r="Q44" i="1"/>
  <c r="P44" i="1"/>
  <c r="O44" i="1"/>
  <c r="N44" i="1"/>
  <c r="Q43" i="1"/>
  <c r="P43" i="1"/>
  <c r="O43" i="1"/>
  <c r="N43" i="1"/>
  <c r="Q42" i="1"/>
  <c r="P42" i="1"/>
  <c r="O42" i="1"/>
  <c r="N42" i="1"/>
  <c r="Q41" i="1"/>
  <c r="P41" i="1"/>
  <c r="O41" i="1"/>
  <c r="N41" i="1"/>
  <c r="Q40" i="1"/>
  <c r="P40" i="1"/>
  <c r="O40" i="1"/>
  <c r="N40" i="1"/>
  <c r="Q39" i="1"/>
  <c r="P39" i="1"/>
  <c r="O39" i="1"/>
  <c r="N39" i="1"/>
  <c r="Q38" i="1"/>
  <c r="P38" i="1"/>
  <c r="O38" i="1"/>
  <c r="N38" i="1"/>
  <c r="Q37" i="1"/>
  <c r="P37" i="1"/>
  <c r="O37" i="1"/>
  <c r="N37" i="1"/>
  <c r="Q36" i="1"/>
  <c r="P36" i="1"/>
  <c r="O36" i="1"/>
  <c r="N36" i="1"/>
  <c r="Q35" i="1"/>
  <c r="P35" i="1"/>
  <c r="O35" i="1"/>
  <c r="N35" i="1"/>
  <c r="Q34" i="1"/>
  <c r="P34" i="1"/>
  <c r="O34" i="1"/>
  <c r="N34" i="1"/>
  <c r="Q33" i="1"/>
  <c r="P33" i="1"/>
  <c r="O33" i="1"/>
  <c r="N33" i="1"/>
  <c r="Q32" i="1"/>
  <c r="P32" i="1"/>
  <c r="O32" i="1"/>
  <c r="N32" i="1"/>
  <c r="Q31" i="1"/>
  <c r="P31" i="1"/>
  <c r="O31" i="1"/>
  <c r="N31" i="1"/>
  <c r="Q30" i="1"/>
  <c r="P30" i="1"/>
  <c r="O30" i="1"/>
  <c r="N30" i="1"/>
  <c r="Q29" i="1"/>
  <c r="P29" i="1"/>
  <c r="O29" i="1"/>
  <c r="N29" i="1"/>
  <c r="Q28" i="1"/>
  <c r="P28" i="1"/>
  <c r="O28" i="1"/>
  <c r="N28" i="1"/>
  <c r="Q27" i="1"/>
  <c r="P27" i="1"/>
  <c r="O27" i="1"/>
  <c r="N27" i="1"/>
  <c r="Q26" i="1"/>
  <c r="P26" i="1"/>
  <c r="O26" i="1"/>
  <c r="N26" i="1"/>
  <c r="Q25" i="1"/>
  <c r="P25" i="1"/>
  <c r="O25" i="1"/>
  <c r="N25" i="1"/>
  <c r="Q24" i="1"/>
  <c r="P24" i="1"/>
  <c r="O24" i="1"/>
  <c r="N24" i="1"/>
  <c r="Q23" i="1"/>
  <c r="P23" i="1"/>
  <c r="O23" i="1"/>
  <c r="N23" i="1"/>
  <c r="Q22" i="1"/>
  <c r="P22" i="1"/>
  <c r="O22" i="1"/>
  <c r="N22" i="1"/>
  <c r="Q21" i="1"/>
  <c r="P21" i="1"/>
  <c r="O21" i="1"/>
  <c r="N21" i="1"/>
  <c r="Q20" i="1"/>
  <c r="P20" i="1"/>
  <c r="O20" i="1"/>
  <c r="N20" i="1"/>
  <c r="Q19" i="1"/>
  <c r="P19" i="1"/>
  <c r="O19" i="1"/>
  <c r="N19" i="1"/>
  <c r="Q18" i="1"/>
  <c r="P18" i="1"/>
  <c r="O18" i="1"/>
  <c r="N18" i="1"/>
  <c r="Q17" i="1"/>
  <c r="P17" i="1"/>
  <c r="O17" i="1"/>
  <c r="N17" i="1"/>
  <c r="Q16" i="1"/>
  <c r="P16" i="1"/>
  <c r="O16" i="1"/>
  <c r="N16" i="1"/>
  <c r="Q15" i="1"/>
  <c r="P15" i="1"/>
  <c r="O15" i="1"/>
  <c r="N15" i="1"/>
  <c r="Q14" i="1"/>
  <c r="P14" i="1"/>
  <c r="O14" i="1"/>
  <c r="N14" i="1"/>
  <c r="Q13" i="1"/>
  <c r="P13" i="1"/>
  <c r="O13" i="1"/>
  <c r="N13" i="1"/>
  <c r="P12" i="1"/>
  <c r="Q12" i="1" s="1"/>
  <c r="AA10" i="2" s="1"/>
  <c r="AI10" i="2" s="1"/>
  <c r="O12" i="1"/>
  <c r="Z10" i="2" s="1"/>
  <c r="N12" i="1"/>
  <c r="AB10" i="2" s="1"/>
  <c r="AC10" i="2" s="1"/>
  <c r="Q11" i="1"/>
  <c r="P11" i="1"/>
  <c r="O11" i="1"/>
  <c r="N11" i="1"/>
  <c r="Q10" i="1"/>
  <c r="P10" i="1"/>
  <c r="O10" i="1"/>
  <c r="N10" i="1"/>
  <c r="Q9" i="1"/>
  <c r="P9" i="1"/>
  <c r="O9" i="1"/>
  <c r="N9" i="1"/>
  <c r="Q8" i="1"/>
  <c r="P8" i="1"/>
  <c r="O8" i="1"/>
  <c r="N8" i="1"/>
  <c r="Q7" i="1"/>
  <c r="P7" i="1"/>
  <c r="O7" i="1"/>
  <c r="N7" i="1"/>
  <c r="AB9" i="2" s="1"/>
  <c r="AC9" i="2" s="1"/>
  <c r="Z71" i="3" l="1"/>
  <c r="X119" i="3"/>
  <c r="B119" i="3" s="1"/>
  <c r="X166" i="3"/>
  <c r="Z256" i="3"/>
  <c r="C264" i="3"/>
  <c r="AN10" i="2"/>
  <c r="Y41" i="3"/>
  <c r="R41" i="3" s="1"/>
  <c r="Y102" i="3"/>
  <c r="X109" i="3"/>
  <c r="Y119" i="3"/>
  <c r="I119" i="3" s="1"/>
  <c r="G237" i="3"/>
  <c r="E264" i="3"/>
  <c r="G272" i="3"/>
  <c r="E300" i="3"/>
  <c r="E307" i="3"/>
  <c r="D422" i="3"/>
  <c r="Z119" i="3"/>
  <c r="X300" i="3"/>
  <c r="E422" i="3"/>
  <c r="E84" i="3"/>
  <c r="D146" i="3"/>
  <c r="Z300" i="3"/>
  <c r="G422" i="3"/>
  <c r="G471" i="3"/>
  <c r="X35" i="3"/>
  <c r="F35" i="3" s="1"/>
  <c r="D43" i="3"/>
  <c r="D219" i="3"/>
  <c r="G296" i="3"/>
  <c r="X422" i="3"/>
  <c r="X432" i="3"/>
  <c r="AB432" i="3" s="1"/>
  <c r="Z422" i="3"/>
  <c r="G15" i="3"/>
  <c r="C86" i="3"/>
  <c r="E122" i="3"/>
  <c r="C132" i="3"/>
  <c r="Z210" i="3"/>
  <c r="G220" i="3"/>
  <c r="Z296" i="3"/>
  <c r="D386" i="3"/>
  <c r="D86" i="3"/>
  <c r="G132" i="3"/>
  <c r="X16" i="3"/>
  <c r="AD16" i="3" s="1"/>
  <c r="D108" i="3"/>
  <c r="G323" i="3"/>
  <c r="Z69" i="3"/>
  <c r="E108" i="3"/>
  <c r="G172" i="3"/>
  <c r="D194" i="3"/>
  <c r="E244" i="3"/>
  <c r="D304" i="3"/>
  <c r="Z323" i="3"/>
  <c r="E379" i="3"/>
  <c r="C435" i="3"/>
  <c r="X445" i="3"/>
  <c r="E80" i="3"/>
  <c r="G108" i="3"/>
  <c r="E194" i="3"/>
  <c r="Z435" i="3"/>
  <c r="Y445" i="3"/>
  <c r="I445" i="3" s="1"/>
  <c r="C280" i="3"/>
  <c r="C11" i="3"/>
  <c r="G39" i="3"/>
  <c r="E60" i="3"/>
  <c r="G81" i="3"/>
  <c r="D161" i="3"/>
  <c r="Y174" i="3"/>
  <c r="L174" i="3" s="1"/>
  <c r="X185" i="3"/>
  <c r="D205" i="3"/>
  <c r="E290" i="3"/>
  <c r="X374" i="3"/>
  <c r="B374" i="3" s="1"/>
  <c r="C400" i="3"/>
  <c r="G419" i="3"/>
  <c r="G439" i="3"/>
  <c r="C475" i="3"/>
  <c r="G144" i="3"/>
  <c r="E161" i="3"/>
  <c r="Z185" i="3"/>
  <c r="G232" i="3"/>
  <c r="Z241" i="3"/>
  <c r="C250" i="3"/>
  <c r="X290" i="3"/>
  <c r="E318" i="3"/>
  <c r="E347" i="3"/>
  <c r="E391" i="3"/>
  <c r="D400" i="3"/>
  <c r="G406" i="3"/>
  <c r="X419" i="3"/>
  <c r="AB419" i="3" s="1"/>
  <c r="X439" i="3"/>
  <c r="AB439" i="3" s="1"/>
  <c r="X475" i="3"/>
  <c r="X67" i="3"/>
  <c r="Z93" i="3"/>
  <c r="E498" i="3"/>
  <c r="C69" i="3"/>
  <c r="C74" i="3"/>
  <c r="E87" i="3"/>
  <c r="Z120" i="3"/>
  <c r="Y129" i="3"/>
  <c r="E153" i="3"/>
  <c r="G161" i="3"/>
  <c r="D193" i="3"/>
  <c r="D206" i="3"/>
  <c r="D384" i="3"/>
  <c r="Z406" i="3"/>
  <c r="Z426" i="3"/>
  <c r="D434" i="3"/>
  <c r="Y439" i="3"/>
  <c r="T439" i="3" s="1"/>
  <c r="Y475" i="3"/>
  <c r="H475" i="3" s="1"/>
  <c r="C174" i="3"/>
  <c r="D290" i="3"/>
  <c r="AT10" i="2"/>
  <c r="D69" i="3"/>
  <c r="C83" i="3"/>
  <c r="X87" i="3"/>
  <c r="AC87" i="3" s="1"/>
  <c r="E186" i="3"/>
  <c r="Y200" i="3"/>
  <c r="M200" i="3" s="1"/>
  <c r="E206" i="3"/>
  <c r="E224" i="3"/>
  <c r="G251" i="3"/>
  <c r="E326" i="3"/>
  <c r="Z384" i="3"/>
  <c r="C415" i="3"/>
  <c r="X434" i="3"/>
  <c r="AD434" i="3" s="1"/>
  <c r="Z439" i="3"/>
  <c r="Z475" i="3"/>
  <c r="Y501" i="3"/>
  <c r="W501" i="3" s="1"/>
  <c r="E231" i="3"/>
  <c r="D41" i="3"/>
  <c r="X48" i="3"/>
  <c r="C63" i="3"/>
  <c r="E69" i="3"/>
  <c r="Z87" i="3"/>
  <c r="E154" i="3"/>
  <c r="C172" i="3"/>
  <c r="G206" i="3"/>
  <c r="Y303" i="3"/>
  <c r="I303" i="3" s="1"/>
  <c r="X312" i="3"/>
  <c r="AD312" i="3" s="1"/>
  <c r="Y434" i="3"/>
  <c r="L434" i="3" s="1"/>
  <c r="C448" i="3"/>
  <c r="Z458" i="3"/>
  <c r="G485" i="3"/>
  <c r="G69" i="3"/>
  <c r="X206" i="3"/>
  <c r="B206" i="3" s="1"/>
  <c r="X15" i="3"/>
  <c r="AC15" i="3" s="1"/>
  <c r="AD35" i="3"/>
  <c r="E50" i="3"/>
  <c r="D57" i="3"/>
  <c r="Y64" i="3"/>
  <c r="S64" i="3" s="1"/>
  <c r="Z84" i="3"/>
  <c r="G189" i="3"/>
  <c r="D278" i="3"/>
  <c r="E351" i="3"/>
  <c r="G50" i="3"/>
  <c r="Z189" i="3"/>
  <c r="X278" i="3"/>
  <c r="AA278" i="3" s="1"/>
  <c r="G16" i="3"/>
  <c r="X50" i="3"/>
  <c r="AD50" i="3" s="1"/>
  <c r="C71" i="3"/>
  <c r="Y166" i="3"/>
  <c r="L166" i="3" s="1"/>
  <c r="C203" i="3"/>
  <c r="E296" i="3"/>
  <c r="G300" i="3"/>
  <c r="X323" i="3"/>
  <c r="F323" i="3" s="1"/>
  <c r="X352" i="3"/>
  <c r="Z380" i="3"/>
  <c r="D418" i="3"/>
  <c r="E432" i="3"/>
  <c r="Z473" i="3"/>
  <c r="W434" i="3"/>
  <c r="AH10" i="2"/>
  <c r="P153" i="3"/>
  <c r="S212" i="3"/>
  <c r="AB278" i="3"/>
  <c r="L119" i="3"/>
  <c r="U119" i="3"/>
  <c r="L303" i="3"/>
  <c r="AE58" i="3"/>
  <c r="V41" i="3"/>
  <c r="T113" i="3"/>
  <c r="U113" i="3"/>
  <c r="W303" i="3"/>
  <c r="K329" i="3"/>
  <c r="O153" i="3"/>
  <c r="R212" i="3"/>
  <c r="Z246" i="3"/>
  <c r="G246" i="3"/>
  <c r="E246" i="3"/>
  <c r="E23" i="3"/>
  <c r="E123" i="3"/>
  <c r="A126" i="4"/>
  <c r="Z130" i="3"/>
  <c r="X130" i="3"/>
  <c r="AB130" i="3" s="1"/>
  <c r="G130" i="3"/>
  <c r="D130" i="3"/>
  <c r="C130" i="3"/>
  <c r="C136" i="3"/>
  <c r="E147" i="3"/>
  <c r="A183" i="4"/>
  <c r="C187" i="3"/>
  <c r="X187" i="3"/>
  <c r="AB187" i="3" s="1"/>
  <c r="G187" i="3"/>
  <c r="D187" i="3"/>
  <c r="X221" i="3"/>
  <c r="Z221" i="3"/>
  <c r="Y221" i="3"/>
  <c r="W221" i="3" s="1"/>
  <c r="D233" i="3"/>
  <c r="Z233" i="3"/>
  <c r="A262" i="4"/>
  <c r="K262" i="4" s="1"/>
  <c r="X266" i="3"/>
  <c r="B266" i="3" s="1"/>
  <c r="D266" i="3"/>
  <c r="E266" i="3"/>
  <c r="D349" i="3"/>
  <c r="G381" i="3"/>
  <c r="Y381" i="3"/>
  <c r="D377" i="4" s="1"/>
  <c r="B434" i="3"/>
  <c r="F434" i="3"/>
  <c r="AA434" i="3"/>
  <c r="C460" i="3"/>
  <c r="Y468" i="3"/>
  <c r="H468" i="3" s="1"/>
  <c r="D480" i="3"/>
  <c r="C45" i="3"/>
  <c r="G123" i="3"/>
  <c r="D136" i="3"/>
  <c r="G147" i="3"/>
  <c r="D221" i="3"/>
  <c r="C266" i="3"/>
  <c r="C286" i="3"/>
  <c r="E349" i="3"/>
  <c r="C357" i="3"/>
  <c r="H401" i="3"/>
  <c r="T401" i="3"/>
  <c r="S401" i="3"/>
  <c r="O401" i="3"/>
  <c r="N401" i="3"/>
  <c r="M401" i="3"/>
  <c r="I401" i="3"/>
  <c r="A79" i="4"/>
  <c r="C79" i="4" s="1"/>
  <c r="Z83" i="3"/>
  <c r="X83" i="3"/>
  <c r="AB83" i="3" s="1"/>
  <c r="G83" i="3"/>
  <c r="Z124" i="3"/>
  <c r="Y124" i="3"/>
  <c r="H124" i="3" s="1"/>
  <c r="D124" i="3"/>
  <c r="A133" i="4"/>
  <c r="G137" i="3"/>
  <c r="C137" i="3"/>
  <c r="C144" i="3"/>
  <c r="C148" i="3"/>
  <c r="X148" i="3"/>
  <c r="B148" i="3" s="1"/>
  <c r="AD154" i="3"/>
  <c r="AC154" i="3"/>
  <c r="E168" i="3"/>
  <c r="C181" i="3"/>
  <c r="Y228" i="3"/>
  <c r="I228" i="3" s="1"/>
  <c r="X286" i="3"/>
  <c r="B286" i="3" s="1"/>
  <c r="A316" i="4"/>
  <c r="G320" i="3"/>
  <c r="Z320" i="3"/>
  <c r="C326" i="3"/>
  <c r="D496" i="3"/>
  <c r="E36" i="3"/>
  <c r="A43" i="4"/>
  <c r="C43" i="4" s="1"/>
  <c r="Z47" i="3"/>
  <c r="X47" i="3"/>
  <c r="E47" i="3"/>
  <c r="D47" i="3"/>
  <c r="C47" i="3"/>
  <c r="Z77" i="3"/>
  <c r="E83" i="3"/>
  <c r="A91" i="4"/>
  <c r="X95" i="3"/>
  <c r="D116" i="3"/>
  <c r="X132" i="3"/>
  <c r="F132" i="3" s="1"/>
  <c r="Z144" i="3"/>
  <c r="C175" i="3"/>
  <c r="X183" i="3"/>
  <c r="Y183" i="3"/>
  <c r="W183" i="3" s="1"/>
  <c r="C243" i="3"/>
  <c r="X243" i="3"/>
  <c r="B243" i="3" s="1"/>
  <c r="D243" i="3"/>
  <c r="C249" i="3"/>
  <c r="D262" i="3"/>
  <c r="Y262" i="3"/>
  <c r="H262" i="3" s="1"/>
  <c r="G262" i="3"/>
  <c r="Y309" i="3"/>
  <c r="N309" i="3" s="1"/>
  <c r="C315" i="3"/>
  <c r="Y327" i="3"/>
  <c r="V327" i="3" s="1"/>
  <c r="E327" i="3"/>
  <c r="C327" i="3"/>
  <c r="C390" i="3"/>
  <c r="A416" i="4"/>
  <c r="Z420" i="3"/>
  <c r="X420" i="3"/>
  <c r="A443" i="4"/>
  <c r="C447" i="3"/>
  <c r="Z447" i="3"/>
  <c r="X447" i="3"/>
  <c r="AA447" i="3" s="1"/>
  <c r="G447" i="3"/>
  <c r="E447" i="3"/>
  <c r="D447" i="3"/>
  <c r="A501" i="4"/>
  <c r="G505" i="3"/>
  <c r="C497" i="3"/>
  <c r="Y497" i="3"/>
  <c r="V497" i="3" s="1"/>
  <c r="X36" i="3"/>
  <c r="B36" i="3" s="1"/>
  <c r="C54" i="3"/>
  <c r="E95" i="3"/>
  <c r="E116" i="3"/>
  <c r="Z132" i="3"/>
  <c r="G175" i="3"/>
  <c r="AC231" i="3"/>
  <c r="AA231" i="3"/>
  <c r="C262" i="3"/>
  <c r="G270" i="3"/>
  <c r="Z270" i="3"/>
  <c r="Y270" i="3"/>
  <c r="S270" i="3" s="1"/>
  <c r="X270" i="3"/>
  <c r="B270" i="3" s="1"/>
  <c r="E270" i="3"/>
  <c r="D270" i="3"/>
  <c r="D390" i="3"/>
  <c r="X416" i="3"/>
  <c r="F416" i="3" s="1"/>
  <c r="Y416" i="3"/>
  <c r="C426" i="3"/>
  <c r="A429" i="4"/>
  <c r="Z433" i="3"/>
  <c r="C442" i="3"/>
  <c r="E505" i="3"/>
  <c r="X142" i="3"/>
  <c r="AA142" i="3" s="1"/>
  <c r="E142" i="3"/>
  <c r="A14" i="4"/>
  <c r="Z18" i="3"/>
  <c r="E18" i="3"/>
  <c r="F206" i="3"/>
  <c r="A479" i="4"/>
  <c r="C483" i="3"/>
  <c r="G483" i="3"/>
  <c r="E483" i="3"/>
  <c r="D483" i="3"/>
  <c r="C18" i="3"/>
  <c r="X77" i="3"/>
  <c r="G116" i="3"/>
  <c r="A160" i="4"/>
  <c r="Z164" i="3"/>
  <c r="A496" i="4"/>
  <c r="Z500" i="3"/>
  <c r="X500" i="3"/>
  <c r="B500" i="3" s="1"/>
  <c r="G500" i="3"/>
  <c r="A85" i="4"/>
  <c r="Z89" i="3"/>
  <c r="X89" i="3"/>
  <c r="F89" i="3" s="1"/>
  <c r="E89" i="3"/>
  <c r="AD231" i="3"/>
  <c r="R306" i="3"/>
  <c r="V306" i="3"/>
  <c r="U306" i="3"/>
  <c r="B323" i="3"/>
  <c r="D329" i="3"/>
  <c r="C385" i="3"/>
  <c r="Y442" i="3"/>
  <c r="S442" i="3" s="1"/>
  <c r="D448" i="3"/>
  <c r="A470" i="4"/>
  <c r="D474" i="3"/>
  <c r="X474" i="3"/>
  <c r="AC474" i="3" s="1"/>
  <c r="A482" i="4"/>
  <c r="Z486" i="3"/>
  <c r="E486" i="3"/>
  <c r="X486" i="3"/>
  <c r="B486" i="3" s="1"/>
  <c r="G486" i="3"/>
  <c r="D500" i="3"/>
  <c r="U166" i="3"/>
  <c r="P226" i="3"/>
  <c r="O226" i="3"/>
  <c r="N226" i="3"/>
  <c r="M226" i="3"/>
  <c r="E412" i="3"/>
  <c r="X412" i="3"/>
  <c r="Z412" i="3"/>
  <c r="Y412" i="3"/>
  <c r="Z358" i="3"/>
  <c r="Y358" i="3"/>
  <c r="K358" i="3" s="1"/>
  <c r="E358" i="3"/>
  <c r="A374" i="4"/>
  <c r="X378" i="3"/>
  <c r="B378" i="3" s="1"/>
  <c r="X402" i="3"/>
  <c r="AC402" i="3" s="1"/>
  <c r="Y402" i="3"/>
  <c r="S402" i="3" s="1"/>
  <c r="G402" i="3"/>
  <c r="X408" i="3"/>
  <c r="E408" i="3"/>
  <c r="C229" i="3"/>
  <c r="A245" i="4"/>
  <c r="F245" i="4" s="1"/>
  <c r="H245" i="4" s="1"/>
  <c r="X249" i="3"/>
  <c r="Z249" i="3"/>
  <c r="G309" i="3"/>
  <c r="G315" i="3"/>
  <c r="X315" i="3"/>
  <c r="AB315" i="3" s="1"/>
  <c r="Z315" i="3"/>
  <c r="Y315" i="3"/>
  <c r="J315" i="3" s="1"/>
  <c r="D333" i="3"/>
  <c r="C378" i="3"/>
  <c r="A394" i="4"/>
  <c r="Z398" i="3"/>
  <c r="X398" i="3"/>
  <c r="F398" i="3" s="1"/>
  <c r="E398" i="3"/>
  <c r="G398" i="3"/>
  <c r="C402" i="3"/>
  <c r="D408" i="3"/>
  <c r="C425" i="3"/>
  <c r="D504" i="3"/>
  <c r="V145" i="3"/>
  <c r="J145" i="3"/>
  <c r="X175" i="3"/>
  <c r="AD175" i="3" s="1"/>
  <c r="I210" i="3"/>
  <c r="K210" i="3"/>
  <c r="A279" i="4"/>
  <c r="K279" i="4" s="1"/>
  <c r="G283" i="3"/>
  <c r="X283" i="3"/>
  <c r="F283" i="3" s="1"/>
  <c r="Z438" i="3"/>
  <c r="X438" i="3"/>
  <c r="AB438" i="3" s="1"/>
  <c r="E438" i="3"/>
  <c r="G438" i="3"/>
  <c r="X21" i="3"/>
  <c r="AD21" i="3" s="1"/>
  <c r="AD80" i="3"/>
  <c r="F80" i="3"/>
  <c r="C89" i="3"/>
  <c r="E113" i="3"/>
  <c r="Z113" i="3"/>
  <c r="C129" i="3"/>
  <c r="C153" i="3"/>
  <c r="X157" i="3"/>
  <c r="G199" i="3"/>
  <c r="E199" i="3"/>
  <c r="C245" i="3"/>
  <c r="D258" i="3"/>
  <c r="AB284" i="3"/>
  <c r="B284" i="3"/>
  <c r="A293" i="4"/>
  <c r="G297" i="3"/>
  <c r="Z297" i="3"/>
  <c r="X297" i="3"/>
  <c r="AC297" i="3" s="1"/>
  <c r="C306" i="3"/>
  <c r="C312" i="3"/>
  <c r="E329" i="3"/>
  <c r="Z355" i="3"/>
  <c r="Y355" i="3"/>
  <c r="S355" i="3" s="1"/>
  <c r="E355" i="3"/>
  <c r="V380" i="3"/>
  <c r="D385" i="3"/>
  <c r="Y404" i="3"/>
  <c r="X404" i="3"/>
  <c r="F404" i="3" s="1"/>
  <c r="Z442" i="3"/>
  <c r="X448" i="3"/>
  <c r="C467" i="3"/>
  <c r="C474" i="3"/>
  <c r="E500" i="3"/>
  <c r="A29" i="4"/>
  <c r="X33" i="3"/>
  <c r="AD33" i="3" s="1"/>
  <c r="D169" i="3"/>
  <c r="C169" i="3"/>
  <c r="A112" i="4"/>
  <c r="Z116" i="3"/>
  <c r="X144" i="3"/>
  <c r="Z207" i="3"/>
  <c r="C207" i="3"/>
  <c r="D207" i="3"/>
  <c r="Y242" i="3"/>
  <c r="K242" i="3" s="1"/>
  <c r="A487" i="4"/>
  <c r="C491" i="3"/>
  <c r="E491" i="3"/>
  <c r="A70" i="4"/>
  <c r="Z74" i="3"/>
  <c r="X74" i="3"/>
  <c r="F74" i="3" s="1"/>
  <c r="E74" i="3"/>
  <c r="A82" i="4"/>
  <c r="B82" i="4" s="1"/>
  <c r="Z86" i="3"/>
  <c r="X86" i="3"/>
  <c r="G86" i="3"/>
  <c r="D89" i="3"/>
  <c r="D129" i="3"/>
  <c r="D153" i="3"/>
  <c r="C199" i="3"/>
  <c r="D225" i="3"/>
  <c r="E232" i="3"/>
  <c r="D245" i="3"/>
  <c r="P306" i="3"/>
  <c r="G312" i="3"/>
  <c r="Z324" i="3"/>
  <c r="D324" i="3"/>
  <c r="X324" i="3"/>
  <c r="AC324" i="3" s="1"/>
  <c r="G401" i="3"/>
  <c r="E401" i="3"/>
  <c r="C449" i="3"/>
  <c r="Y449" i="3"/>
  <c r="H449" i="3" s="1"/>
  <c r="D449" i="3"/>
  <c r="C486" i="3"/>
  <c r="G192" i="3"/>
  <c r="C196" i="3"/>
  <c r="Z303" i="3"/>
  <c r="D310" i="3"/>
  <c r="C313" i="3"/>
  <c r="C423" i="3"/>
  <c r="C443" i="3"/>
  <c r="C205" i="3"/>
  <c r="C219" i="3"/>
  <c r="C226" i="3"/>
  <c r="E255" i="3"/>
  <c r="D260" i="3"/>
  <c r="G313" i="3"/>
  <c r="C374" i="3"/>
  <c r="C386" i="3"/>
  <c r="C391" i="3"/>
  <c r="G423" i="3"/>
  <c r="C434" i="3"/>
  <c r="Z462" i="3"/>
  <c r="X476" i="3"/>
  <c r="F476" i="3" s="1"/>
  <c r="X310" i="3"/>
  <c r="AA310" i="3" s="1"/>
  <c r="X313" i="3"/>
  <c r="AA313" i="3" s="1"/>
  <c r="X423" i="3"/>
  <c r="D35" i="3"/>
  <c r="E43" i="3"/>
  <c r="Y52" i="3"/>
  <c r="H52" i="3" s="1"/>
  <c r="D63" i="3"/>
  <c r="Y67" i="3"/>
  <c r="N67" i="3" s="1"/>
  <c r="D71" i="3"/>
  <c r="D134" i="3"/>
  <c r="X145" i="3"/>
  <c r="G166" i="3"/>
  <c r="D174" i="3"/>
  <c r="C185" i="3"/>
  <c r="Z193" i="3"/>
  <c r="G197" i="3"/>
  <c r="Z200" i="3"/>
  <c r="C214" i="3"/>
  <c r="Y235" i="3"/>
  <c r="O235" i="3" s="1"/>
  <c r="C241" i="3"/>
  <c r="C248" i="3"/>
  <c r="D250" i="3"/>
  <c r="Z255" i="3"/>
  <c r="G260" i="3"/>
  <c r="D280" i="3"/>
  <c r="C284" i="3"/>
  <c r="E303" i="3"/>
  <c r="E304" i="3"/>
  <c r="Y310" i="3"/>
  <c r="Z313" i="3"/>
  <c r="D332" i="3"/>
  <c r="G347" i="3"/>
  <c r="G351" i="3"/>
  <c r="Z374" i="3"/>
  <c r="Z423" i="3"/>
  <c r="E434" i="3"/>
  <c r="C439" i="3"/>
  <c r="X440" i="3"/>
  <c r="B440" i="3" s="1"/>
  <c r="G445" i="3"/>
  <c r="E475" i="3"/>
  <c r="E493" i="3"/>
  <c r="G498" i="3"/>
  <c r="X508" i="3"/>
  <c r="F508" i="3" s="1"/>
  <c r="D16" i="3"/>
  <c r="G28" i="3"/>
  <c r="E35" i="3"/>
  <c r="G43" i="3"/>
  <c r="C58" i="3"/>
  <c r="E63" i="3"/>
  <c r="G71" i="3"/>
  <c r="C75" i="3"/>
  <c r="X114" i="3"/>
  <c r="F114" i="3" s="1"/>
  <c r="E134" i="3"/>
  <c r="E139" i="3"/>
  <c r="E174" i="3"/>
  <c r="E185" i="3"/>
  <c r="X197" i="3"/>
  <c r="D214" i="3"/>
  <c r="C220" i="3"/>
  <c r="G241" i="3"/>
  <c r="G248" i="3"/>
  <c r="E250" i="3"/>
  <c r="X260" i="3"/>
  <c r="B260" i="3" s="1"/>
  <c r="G263" i="3"/>
  <c r="G280" i="3"/>
  <c r="D284" i="3"/>
  <c r="C289" i="3"/>
  <c r="E299" i="3"/>
  <c r="G304" i="3"/>
  <c r="C307" i="3"/>
  <c r="Z310" i="3"/>
  <c r="E323" i="3"/>
  <c r="C325" i="3"/>
  <c r="G332" i="3"/>
  <c r="X347" i="3"/>
  <c r="AA374" i="3"/>
  <c r="G435" i="3"/>
  <c r="D439" i="3"/>
  <c r="Y440" i="3"/>
  <c r="W440" i="3" s="1"/>
  <c r="G458" i="3"/>
  <c r="G493" i="3"/>
  <c r="X498" i="3"/>
  <c r="AA498" i="3" s="1"/>
  <c r="G10" i="3"/>
  <c r="E16" i="3"/>
  <c r="X20" i="3"/>
  <c r="AD20" i="3" s="1"/>
  <c r="X28" i="3"/>
  <c r="AD28" i="3" s="1"/>
  <c r="G35" i="3"/>
  <c r="C53" i="3"/>
  <c r="X63" i="3"/>
  <c r="AC63" i="3" s="1"/>
  <c r="X71" i="3"/>
  <c r="F71" i="3" s="1"/>
  <c r="D91" i="3"/>
  <c r="X107" i="3"/>
  <c r="F107" i="3" s="1"/>
  <c r="Y114" i="3"/>
  <c r="P114" i="3" s="1"/>
  <c r="D122" i="3"/>
  <c r="Z127" i="3"/>
  <c r="X134" i="3"/>
  <c r="F134" i="3" s="1"/>
  <c r="Z143" i="3"/>
  <c r="C161" i="3"/>
  <c r="G185" i="3"/>
  <c r="Z197" i="3"/>
  <c r="G214" i="3"/>
  <c r="E220" i="3"/>
  <c r="X241" i="3"/>
  <c r="AB241" i="3" s="1"/>
  <c r="C244" i="3"/>
  <c r="X248" i="3"/>
  <c r="AC248" i="3" s="1"/>
  <c r="C278" i="3"/>
  <c r="Z280" i="3"/>
  <c r="Z304" i="3"/>
  <c r="D307" i="3"/>
  <c r="Z332" i="3"/>
  <c r="Z347" i="3"/>
  <c r="C352" i="3"/>
  <c r="G418" i="3"/>
  <c r="C422" i="3"/>
  <c r="E424" i="3"/>
  <c r="D432" i="3"/>
  <c r="G434" i="3"/>
  <c r="X435" i="3"/>
  <c r="F435" i="3" s="1"/>
  <c r="E439" i="3"/>
  <c r="X458" i="3"/>
  <c r="AB458" i="3" s="1"/>
  <c r="Z498" i="3"/>
  <c r="D509" i="3"/>
  <c r="B12" i="3"/>
  <c r="AB12" i="3"/>
  <c r="AA12" i="3"/>
  <c r="B24" i="3"/>
  <c r="AB24" i="3"/>
  <c r="AA24" i="3"/>
  <c r="D13" i="3"/>
  <c r="A23" i="4"/>
  <c r="K23" i="4" s="1"/>
  <c r="Z27" i="3"/>
  <c r="X27" i="3"/>
  <c r="AA27" i="3" s="1"/>
  <c r="G27" i="3"/>
  <c r="E30" i="3"/>
  <c r="A90" i="4"/>
  <c r="X94" i="3"/>
  <c r="G94" i="3"/>
  <c r="A124" i="4"/>
  <c r="G124" i="4" s="1"/>
  <c r="X128" i="3"/>
  <c r="G128" i="3"/>
  <c r="D128" i="3"/>
  <c r="AA130" i="3"/>
  <c r="F130" i="3"/>
  <c r="AC130" i="3"/>
  <c r="A178" i="4"/>
  <c r="Z182" i="3"/>
  <c r="X182" i="3"/>
  <c r="G182" i="3"/>
  <c r="D182" i="3"/>
  <c r="A232" i="4"/>
  <c r="G236" i="3"/>
  <c r="D236" i="3"/>
  <c r="C236" i="3"/>
  <c r="Z236" i="3"/>
  <c r="E236" i="3"/>
  <c r="AC312" i="3"/>
  <c r="F312" i="3"/>
  <c r="AB475" i="3"/>
  <c r="B475" i="3"/>
  <c r="AC475" i="3"/>
  <c r="AD475" i="3"/>
  <c r="Z482" i="3"/>
  <c r="Y482" i="3"/>
  <c r="S482" i="3" s="1"/>
  <c r="E482" i="3"/>
  <c r="X482" i="3"/>
  <c r="D482" i="3"/>
  <c r="Z61" i="3"/>
  <c r="Y61" i="3"/>
  <c r="R61" i="3" s="1"/>
  <c r="G61" i="3"/>
  <c r="E61" i="3"/>
  <c r="D61" i="3"/>
  <c r="Y98" i="3"/>
  <c r="D94" i="4" s="1"/>
  <c r="Z98" i="3"/>
  <c r="X98" i="3"/>
  <c r="AC98" i="3" s="1"/>
  <c r="E22" i="3"/>
  <c r="A30" i="4"/>
  <c r="E34" i="3"/>
  <c r="A58" i="4"/>
  <c r="K58" i="4" s="1"/>
  <c r="Z62" i="3"/>
  <c r="X62" i="3"/>
  <c r="AC62" i="3" s="1"/>
  <c r="G62" i="3"/>
  <c r="AC80" i="3"/>
  <c r="C94" i="3"/>
  <c r="D98" i="3"/>
  <c r="E128" i="3"/>
  <c r="W279" i="3"/>
  <c r="N279" i="3"/>
  <c r="M279" i="3"/>
  <c r="J279" i="3"/>
  <c r="K279" i="3"/>
  <c r="C27" i="3"/>
  <c r="X30" i="3"/>
  <c r="A55" i="4"/>
  <c r="X59" i="3"/>
  <c r="B59" i="3" s="1"/>
  <c r="G59" i="3"/>
  <c r="C62" i="3"/>
  <c r="D94" i="3"/>
  <c r="E98" i="3"/>
  <c r="A166" i="4"/>
  <c r="X170" i="3"/>
  <c r="G170" i="3"/>
  <c r="E170" i="3"/>
  <c r="D170" i="3"/>
  <c r="Z170" i="3"/>
  <c r="C170" i="3"/>
  <c r="Y202" i="3"/>
  <c r="H202" i="3" s="1"/>
  <c r="X202" i="3"/>
  <c r="Z211" i="3"/>
  <c r="G211" i="3"/>
  <c r="Y211" i="3"/>
  <c r="E207" i="4" s="1"/>
  <c r="X211" i="3"/>
  <c r="V250" i="3"/>
  <c r="U250" i="3"/>
  <c r="H250" i="3"/>
  <c r="J250" i="3"/>
  <c r="I250" i="3"/>
  <c r="J276" i="3"/>
  <c r="H276" i="3"/>
  <c r="AD297" i="3"/>
  <c r="B297" i="3"/>
  <c r="AA297" i="3"/>
  <c r="Z141" i="3"/>
  <c r="D141" i="3"/>
  <c r="Q64" i="3"/>
  <c r="A100" i="4"/>
  <c r="Z104" i="3"/>
  <c r="X104" i="3"/>
  <c r="G104" i="3"/>
  <c r="D104" i="3"/>
  <c r="C104" i="3"/>
  <c r="AC110" i="3"/>
  <c r="AD110" i="3"/>
  <c r="AB110" i="3"/>
  <c r="F110" i="3"/>
  <c r="A114" i="4"/>
  <c r="G118" i="3"/>
  <c r="C118" i="3"/>
  <c r="Z118" i="3"/>
  <c r="X118" i="3"/>
  <c r="B118" i="3" s="1"/>
  <c r="A7" i="4"/>
  <c r="X11" i="3"/>
  <c r="B11" i="3" s="1"/>
  <c r="G11" i="3"/>
  <c r="A41" i="4"/>
  <c r="Z45" i="3"/>
  <c r="X45" i="3"/>
  <c r="E45" i="3"/>
  <c r="D45" i="3"/>
  <c r="Z51" i="3"/>
  <c r="X51" i="3"/>
  <c r="AD51" i="3" s="1"/>
  <c r="C59" i="3"/>
  <c r="D62" i="3"/>
  <c r="A86" i="4"/>
  <c r="G90" i="3"/>
  <c r="Z90" i="3"/>
  <c r="X90" i="3"/>
  <c r="E90" i="3"/>
  <c r="D90" i="3"/>
  <c r="C90" i="3"/>
  <c r="E94" i="3"/>
  <c r="AB108" i="3"/>
  <c r="AC108" i="3"/>
  <c r="B108" i="3"/>
  <c r="AD108" i="3"/>
  <c r="AA108" i="3"/>
  <c r="AA110" i="3"/>
  <c r="D118" i="3"/>
  <c r="Z128" i="3"/>
  <c r="E182" i="3"/>
  <c r="AA194" i="3"/>
  <c r="F194" i="3"/>
  <c r="AD194" i="3"/>
  <c r="AC194" i="3"/>
  <c r="AB194" i="3"/>
  <c r="D211" i="3"/>
  <c r="A211" i="4"/>
  <c r="C211" i="4" s="1"/>
  <c r="Z215" i="3"/>
  <c r="X215" i="3"/>
  <c r="E215" i="3"/>
  <c r="G215" i="3"/>
  <c r="D215" i="3"/>
  <c r="C215" i="3"/>
  <c r="G276" i="3"/>
  <c r="A297" i="4"/>
  <c r="G301" i="3"/>
  <c r="E301" i="3"/>
  <c r="A344" i="4"/>
  <c r="X348" i="3"/>
  <c r="AC348" i="3" s="1"/>
  <c r="G348" i="3"/>
  <c r="D348" i="3"/>
  <c r="C348" i="3"/>
  <c r="Z348" i="3"/>
  <c r="AA432" i="3"/>
  <c r="AD432" i="3"/>
  <c r="AC432" i="3"/>
  <c r="F432" i="3"/>
  <c r="A460" i="4"/>
  <c r="X464" i="3"/>
  <c r="AC464" i="3" s="1"/>
  <c r="E464" i="3"/>
  <c r="D464" i="3"/>
  <c r="C464" i="3"/>
  <c r="A467" i="4"/>
  <c r="E471" i="3"/>
  <c r="D471" i="3"/>
  <c r="C471" i="3"/>
  <c r="X471" i="3"/>
  <c r="AB114" i="3"/>
  <c r="Y257" i="3"/>
  <c r="P257" i="3" s="1"/>
  <c r="D257" i="3"/>
  <c r="C257" i="3"/>
  <c r="Z257" i="3"/>
  <c r="X257" i="3"/>
  <c r="AD257" i="3" s="1"/>
  <c r="B47" i="3"/>
  <c r="F47" i="3"/>
  <c r="E62" i="3"/>
  <c r="A15" i="4"/>
  <c r="F15" i="4" s="1"/>
  <c r="H15" i="4" s="1"/>
  <c r="G19" i="3"/>
  <c r="E19" i="3"/>
  <c r="D19" i="3"/>
  <c r="A27" i="4"/>
  <c r="E31" i="3"/>
  <c r="C31" i="3"/>
  <c r="D31" i="3"/>
  <c r="A53" i="4"/>
  <c r="Z57" i="3"/>
  <c r="E59" i="3"/>
  <c r="A62" i="4"/>
  <c r="Z66" i="3"/>
  <c r="G66" i="3"/>
  <c r="E66" i="3"/>
  <c r="C66" i="3"/>
  <c r="D100" i="3"/>
  <c r="A145" i="4"/>
  <c r="E149" i="3"/>
  <c r="D149" i="3"/>
  <c r="G257" i="3"/>
  <c r="A291" i="4"/>
  <c r="X295" i="3"/>
  <c r="AD295" i="3" s="1"/>
  <c r="G295" i="3"/>
  <c r="E295" i="3"/>
  <c r="Z298" i="3"/>
  <c r="C298" i="3"/>
  <c r="Z321" i="3"/>
  <c r="Y321" i="3"/>
  <c r="M321" i="3" s="1"/>
  <c r="D321" i="3"/>
  <c r="AD422" i="3"/>
  <c r="B422" i="3"/>
  <c r="AB422" i="3"/>
  <c r="AA422" i="3"/>
  <c r="Z291" i="3"/>
  <c r="D291" i="3"/>
  <c r="C291" i="3"/>
  <c r="J51" i="3"/>
  <c r="H51" i="3"/>
  <c r="A173" i="4"/>
  <c r="G173" i="4" s="1"/>
  <c r="D177" i="3"/>
  <c r="C177" i="3"/>
  <c r="Z177" i="3"/>
  <c r="E177" i="3"/>
  <c r="E11" i="3"/>
  <c r="C19" i="3"/>
  <c r="G31" i="3"/>
  <c r="K41" i="3"/>
  <c r="Q41" i="3"/>
  <c r="L41" i="3"/>
  <c r="I41" i="3"/>
  <c r="C57" i="3"/>
  <c r="Z59" i="3"/>
  <c r="X100" i="3"/>
  <c r="AD100" i="3" s="1"/>
  <c r="X124" i="3"/>
  <c r="B124" i="3" s="1"/>
  <c r="C149" i="3"/>
  <c r="A180" i="4"/>
  <c r="K180" i="4" s="1"/>
  <c r="Z184" i="3"/>
  <c r="E184" i="3"/>
  <c r="D184" i="3"/>
  <c r="G184" i="3"/>
  <c r="A235" i="4"/>
  <c r="C235" i="4" s="1"/>
  <c r="E239" i="3"/>
  <c r="D239" i="3"/>
  <c r="C239" i="3"/>
  <c r="Z239" i="3"/>
  <c r="G239" i="3"/>
  <c r="C321" i="3"/>
  <c r="A455" i="4"/>
  <c r="F455" i="4" s="1"/>
  <c r="Z459" i="3"/>
  <c r="X459" i="3"/>
  <c r="F459" i="3" s="1"/>
  <c r="G459" i="3"/>
  <c r="E459" i="3"/>
  <c r="D459" i="3"/>
  <c r="C459" i="3"/>
  <c r="B35" i="3"/>
  <c r="AC35" i="3"/>
  <c r="AB35" i="3"/>
  <c r="AA35" i="3"/>
  <c r="A74" i="4"/>
  <c r="Z78" i="3"/>
  <c r="G78" i="3"/>
  <c r="E78" i="3"/>
  <c r="C78" i="3"/>
  <c r="Y88" i="3"/>
  <c r="K88" i="3" s="1"/>
  <c r="E88" i="3"/>
  <c r="A92" i="4"/>
  <c r="Z96" i="3"/>
  <c r="X96" i="3"/>
  <c r="F96" i="3" s="1"/>
  <c r="G96" i="3"/>
  <c r="E96" i="3"/>
  <c r="D96" i="3"/>
  <c r="X101" i="3"/>
  <c r="AA101" i="3" s="1"/>
  <c r="Y101" i="3"/>
  <c r="R101" i="3" s="1"/>
  <c r="G101" i="3"/>
  <c r="E101" i="3"/>
  <c r="D101" i="3"/>
  <c r="Z110" i="3"/>
  <c r="Y110" i="3"/>
  <c r="S110" i="3" s="1"/>
  <c r="E110" i="3"/>
  <c r="AB132" i="3"/>
  <c r="A154" i="4"/>
  <c r="K154" i="4" s="1"/>
  <c r="X158" i="3"/>
  <c r="Z158" i="3"/>
  <c r="E158" i="3"/>
  <c r="D158" i="3"/>
  <c r="C158" i="3"/>
  <c r="A223" i="4"/>
  <c r="D227" i="3"/>
  <c r="C227" i="3"/>
  <c r="Z227" i="3"/>
  <c r="X227" i="3"/>
  <c r="E227" i="3"/>
  <c r="AA239" i="3"/>
  <c r="F239" i="3"/>
  <c r="B239" i="3"/>
  <c r="AD239" i="3"/>
  <c r="AC239" i="3"/>
  <c r="AB239" i="3"/>
  <c r="G321" i="3"/>
  <c r="A423" i="4"/>
  <c r="G427" i="3"/>
  <c r="E427" i="3"/>
  <c r="D427" i="3"/>
  <c r="C427" i="3"/>
  <c r="A45" i="4"/>
  <c r="Y49" i="3"/>
  <c r="H49" i="3" s="1"/>
  <c r="G49" i="3"/>
  <c r="C49" i="3"/>
  <c r="Z209" i="3"/>
  <c r="X209" i="3"/>
  <c r="B209" i="3" s="1"/>
  <c r="Y209" i="3"/>
  <c r="Q209" i="3" s="1"/>
  <c r="A26" i="4"/>
  <c r="B26" i="4" s="1"/>
  <c r="D30" i="3"/>
  <c r="C30" i="3"/>
  <c r="A8" i="4"/>
  <c r="F8" i="4" s="1"/>
  <c r="H8" i="4" s="1"/>
  <c r="E12" i="3"/>
  <c r="D12" i="3"/>
  <c r="C12" i="3"/>
  <c r="A25" i="4"/>
  <c r="G25" i="4" s="1"/>
  <c r="X29" i="3"/>
  <c r="F29" i="3" s="1"/>
  <c r="A28" i="4"/>
  <c r="X32" i="3"/>
  <c r="AD32" i="3" s="1"/>
  <c r="A36" i="4"/>
  <c r="X40" i="3"/>
  <c r="AD40" i="3" s="1"/>
  <c r="B110" i="3"/>
  <c r="AD187" i="3"/>
  <c r="AC187" i="3"/>
  <c r="D29" i="3"/>
  <c r="C32" i="3"/>
  <c r="D40" i="3"/>
  <c r="Z49" i="3"/>
  <c r="G57" i="3"/>
  <c r="Y60" i="3"/>
  <c r="D56" i="4" s="1"/>
  <c r="Y68" i="3"/>
  <c r="AE68" i="3" s="1"/>
  <c r="X68" i="3"/>
  <c r="B68" i="3" s="1"/>
  <c r="E68" i="3"/>
  <c r="Y92" i="3"/>
  <c r="P92" i="3" s="1"/>
  <c r="X92" i="3"/>
  <c r="AB92" i="3" s="1"/>
  <c r="C96" i="3"/>
  <c r="C110" i="3"/>
  <c r="A147" i="4"/>
  <c r="C147" i="4" s="1"/>
  <c r="G151" i="3"/>
  <c r="E151" i="3"/>
  <c r="D151" i="3"/>
  <c r="C151" i="3"/>
  <c r="E159" i="3"/>
  <c r="A159" i="4"/>
  <c r="D163" i="3"/>
  <c r="C163" i="3"/>
  <c r="E163" i="3"/>
  <c r="A221" i="4"/>
  <c r="C221" i="4" s="1"/>
  <c r="Z225" i="3"/>
  <c r="X225" i="3"/>
  <c r="AA225" i="3" s="1"/>
  <c r="E225" i="3"/>
  <c r="G227" i="3"/>
  <c r="AA243" i="3"/>
  <c r="A243" i="4"/>
  <c r="E247" i="3"/>
  <c r="D247" i="3"/>
  <c r="C247" i="3"/>
  <c r="AA290" i="3"/>
  <c r="AD290" i="3"/>
  <c r="AC290" i="3"/>
  <c r="F290" i="3"/>
  <c r="AD296" i="3"/>
  <c r="B296" i="3"/>
  <c r="AC296" i="3"/>
  <c r="AB296" i="3"/>
  <c r="AA296" i="3"/>
  <c r="G377" i="3"/>
  <c r="E377" i="3"/>
  <c r="C377" i="3"/>
  <c r="Z377" i="3"/>
  <c r="Y377" i="3"/>
  <c r="X377" i="3"/>
  <c r="AA377" i="3" s="1"/>
  <c r="Q102" i="3"/>
  <c r="J102" i="3"/>
  <c r="A20" i="4"/>
  <c r="E24" i="3"/>
  <c r="D24" i="3"/>
  <c r="C24" i="3"/>
  <c r="A13" i="4"/>
  <c r="G13" i="4" s="1"/>
  <c r="X17" i="3"/>
  <c r="E17" i="3"/>
  <c r="D17" i="3"/>
  <c r="E29" i="3"/>
  <c r="G32" i="3"/>
  <c r="E40" i="3"/>
  <c r="Z46" i="3"/>
  <c r="X46" i="3"/>
  <c r="AB46" i="3" s="1"/>
  <c r="Y53" i="3"/>
  <c r="J53" i="3" s="1"/>
  <c r="W58" i="3"/>
  <c r="S58" i="3"/>
  <c r="M58" i="3"/>
  <c r="B63" i="3"/>
  <c r="AA63" i="3"/>
  <c r="C68" i="3"/>
  <c r="A71" i="4"/>
  <c r="Z75" i="3"/>
  <c r="X75" i="3"/>
  <c r="AB75" i="3" s="1"/>
  <c r="E75" i="3"/>
  <c r="D110" i="3"/>
  <c r="S113" i="3"/>
  <c r="P113" i="3"/>
  <c r="G159" i="3"/>
  <c r="G163" i="3"/>
  <c r="A209" i="4"/>
  <c r="X213" i="3"/>
  <c r="Z213" i="3"/>
  <c r="G213" i="3"/>
  <c r="E213" i="3"/>
  <c r="D213" i="3"/>
  <c r="C213" i="3"/>
  <c r="C225" i="3"/>
  <c r="Z247" i="3"/>
  <c r="AB290" i="3"/>
  <c r="A152" i="4"/>
  <c r="E156" i="3"/>
  <c r="C156" i="3"/>
  <c r="W157" i="3"/>
  <c r="U157" i="3"/>
  <c r="I157" i="3"/>
  <c r="A156" i="4"/>
  <c r="Z160" i="3"/>
  <c r="D160" i="3"/>
  <c r="C160" i="3"/>
  <c r="A187" i="4"/>
  <c r="K187" i="4" s="1"/>
  <c r="E191" i="3"/>
  <c r="AE212" i="3"/>
  <c r="U212" i="3"/>
  <c r="Q212" i="3"/>
  <c r="P212" i="3"/>
  <c r="I212" i="3"/>
  <c r="J221" i="3"/>
  <c r="Z252" i="3"/>
  <c r="E252" i="3"/>
  <c r="F260" i="3"/>
  <c r="AD260" i="3"/>
  <c r="A288" i="4"/>
  <c r="Z292" i="3"/>
  <c r="D292" i="3"/>
  <c r="C292" i="3"/>
  <c r="A333" i="4"/>
  <c r="F333" i="4" s="1"/>
  <c r="H333" i="4" s="1"/>
  <c r="X337" i="3"/>
  <c r="AD337" i="3" s="1"/>
  <c r="G337" i="3"/>
  <c r="C337" i="3"/>
  <c r="Z337" i="3"/>
  <c r="E337" i="3"/>
  <c r="A342" i="4"/>
  <c r="Z346" i="3"/>
  <c r="X346" i="3"/>
  <c r="E346" i="3"/>
  <c r="Z444" i="3"/>
  <c r="Y444" i="3"/>
  <c r="U444" i="3" s="1"/>
  <c r="X444" i="3"/>
  <c r="B444" i="3" s="1"/>
  <c r="G444" i="3"/>
  <c r="Z506" i="3"/>
  <c r="Y506" i="3"/>
  <c r="AE506" i="3" s="1"/>
  <c r="X506" i="3"/>
  <c r="B506" i="3" s="1"/>
  <c r="W119" i="3"/>
  <c r="N119" i="3"/>
  <c r="M119" i="3"/>
  <c r="A121" i="4"/>
  <c r="E125" i="3"/>
  <c r="D125" i="3"/>
  <c r="A131" i="4"/>
  <c r="G135" i="3"/>
  <c r="E135" i="3"/>
  <c r="W145" i="3"/>
  <c r="U145" i="3"/>
  <c r="L145" i="3"/>
  <c r="G156" i="3"/>
  <c r="X160" i="3"/>
  <c r="B160" i="3" s="1"/>
  <c r="A163" i="4"/>
  <c r="E167" i="3"/>
  <c r="D167" i="3"/>
  <c r="D191" i="3"/>
  <c r="A194" i="4"/>
  <c r="X198" i="3"/>
  <c r="E198" i="3"/>
  <c r="D203" i="3"/>
  <c r="AA260" i="3"/>
  <c r="A269" i="4"/>
  <c r="F269" i="4" s="1"/>
  <c r="H269" i="4" s="1"/>
  <c r="Z273" i="3"/>
  <c r="G273" i="3"/>
  <c r="E273" i="3"/>
  <c r="C273" i="3"/>
  <c r="J306" i="3"/>
  <c r="I306" i="3"/>
  <c r="W306" i="3"/>
  <c r="K306" i="3"/>
  <c r="H306" i="3"/>
  <c r="X318" i="3"/>
  <c r="AA318" i="3" s="1"/>
  <c r="G322" i="3"/>
  <c r="E322" i="3"/>
  <c r="Z322" i="3"/>
  <c r="A330" i="4"/>
  <c r="B330" i="4" s="1"/>
  <c r="X334" i="3"/>
  <c r="E334" i="3"/>
  <c r="Y338" i="3"/>
  <c r="J338" i="3" s="1"/>
  <c r="X338" i="3"/>
  <c r="G346" i="3"/>
  <c r="A357" i="4"/>
  <c r="Z361" i="3"/>
  <c r="X361" i="3"/>
  <c r="G361" i="3"/>
  <c r="E361" i="3"/>
  <c r="D361" i="3"/>
  <c r="Y477" i="3"/>
  <c r="L477" i="3" s="1"/>
  <c r="G477" i="3"/>
  <c r="C23" i="3"/>
  <c r="D81" i="3"/>
  <c r="C125" i="3"/>
  <c r="C139" i="3"/>
  <c r="A142" i="4"/>
  <c r="Z146" i="3"/>
  <c r="E146" i="3"/>
  <c r="D148" i="3"/>
  <c r="X156" i="3"/>
  <c r="G164" i="3"/>
  <c r="C167" i="3"/>
  <c r="E203" i="3"/>
  <c r="C231" i="3"/>
  <c r="D231" i="3"/>
  <c r="A246" i="4"/>
  <c r="X250" i="3"/>
  <c r="AB260" i="3"/>
  <c r="D273" i="3"/>
  <c r="B278" i="3"/>
  <c r="F278" i="3"/>
  <c r="AC284" i="3"/>
  <c r="A290" i="4"/>
  <c r="X294" i="3"/>
  <c r="B294" i="3" s="1"/>
  <c r="G294" i="3"/>
  <c r="E294" i="3"/>
  <c r="D294" i="3"/>
  <c r="X322" i="3"/>
  <c r="D334" i="3"/>
  <c r="Z338" i="3"/>
  <c r="Z405" i="3"/>
  <c r="Y405" i="3"/>
  <c r="H405" i="3" s="1"/>
  <c r="A426" i="4"/>
  <c r="Z430" i="3"/>
  <c r="G430" i="3"/>
  <c r="D430" i="3"/>
  <c r="C430" i="3"/>
  <c r="AA439" i="3"/>
  <c r="AD439" i="3"/>
  <c r="F439" i="3"/>
  <c r="B439" i="3"/>
  <c r="X477" i="3"/>
  <c r="E495" i="3"/>
  <c r="D23" i="3"/>
  <c r="E81" i="3"/>
  <c r="G107" i="3"/>
  <c r="D114" i="3"/>
  <c r="A116" i="4"/>
  <c r="G120" i="3"/>
  <c r="C120" i="3"/>
  <c r="G125" i="3"/>
  <c r="D139" i="3"/>
  <c r="A138" i="4"/>
  <c r="G142" i="3"/>
  <c r="D142" i="3"/>
  <c r="C142" i="3"/>
  <c r="A150" i="4"/>
  <c r="G154" i="3"/>
  <c r="D154" i="3"/>
  <c r="C154" i="3"/>
  <c r="Z156" i="3"/>
  <c r="X164" i="3"/>
  <c r="AB164" i="3" s="1"/>
  <c r="G167" i="3"/>
  <c r="A169" i="4"/>
  <c r="B169" i="4" s="1"/>
  <c r="Z173" i="3"/>
  <c r="X173" i="3"/>
  <c r="B173" i="3" s="1"/>
  <c r="E173" i="3"/>
  <c r="C173" i="3"/>
  <c r="F175" i="3"/>
  <c r="Z188" i="3"/>
  <c r="Y188" i="3"/>
  <c r="T188" i="3" s="1"/>
  <c r="X188" i="3"/>
  <c r="C198" i="3"/>
  <c r="O200" i="3"/>
  <c r="Z203" i="3"/>
  <c r="X228" i="3"/>
  <c r="B228" i="3" s="1"/>
  <c r="A233" i="4"/>
  <c r="D237" i="3"/>
  <c r="C237" i="3"/>
  <c r="Y267" i="3"/>
  <c r="W267" i="3" s="1"/>
  <c r="D267" i="3"/>
  <c r="X273" i="3"/>
  <c r="A281" i="4"/>
  <c r="G281" i="4" s="1"/>
  <c r="Z285" i="3"/>
  <c r="X285" i="3"/>
  <c r="G285" i="3"/>
  <c r="D285" i="3"/>
  <c r="C285" i="3"/>
  <c r="Y319" i="3"/>
  <c r="M319" i="3" s="1"/>
  <c r="E319" i="3"/>
  <c r="Z319" i="3"/>
  <c r="D319" i="3"/>
  <c r="Z334" i="3"/>
  <c r="A335" i="4"/>
  <c r="E339" i="3"/>
  <c r="G339" i="3"/>
  <c r="C339" i="3"/>
  <c r="C361" i="3"/>
  <c r="A406" i="4"/>
  <c r="X410" i="3"/>
  <c r="AD410" i="3" s="1"/>
  <c r="G410" i="3"/>
  <c r="E410" i="3"/>
  <c r="D410" i="3"/>
  <c r="Z410" i="3"/>
  <c r="C410" i="3"/>
  <c r="W439" i="3"/>
  <c r="R439" i="3"/>
  <c r="Q439" i="3"/>
  <c r="P439" i="3"/>
  <c r="AE439" i="3"/>
  <c r="O439" i="3"/>
  <c r="L439" i="3"/>
  <c r="S439" i="3"/>
  <c r="K439" i="3"/>
  <c r="A503" i="4"/>
  <c r="G507" i="3"/>
  <c r="E507" i="3"/>
  <c r="C507" i="3"/>
  <c r="D507" i="3"/>
  <c r="AB206" i="3"/>
  <c r="AC206" i="3"/>
  <c r="AA206" i="3"/>
  <c r="A213" i="4"/>
  <c r="X217" i="3"/>
  <c r="G217" i="3"/>
  <c r="C217" i="3"/>
  <c r="Z217" i="3"/>
  <c r="E217" i="3"/>
  <c r="A230" i="4"/>
  <c r="C230" i="4" s="1"/>
  <c r="D234" i="3"/>
  <c r="W242" i="3"/>
  <c r="F248" i="3"/>
  <c r="B248" i="3"/>
  <c r="AD248" i="3"/>
  <c r="Z311" i="3"/>
  <c r="X311" i="3"/>
  <c r="G311" i="3"/>
  <c r="D311" i="3"/>
  <c r="E316" i="3"/>
  <c r="C316" i="3"/>
  <c r="Y316" i="3"/>
  <c r="AE316" i="3" s="1"/>
  <c r="X316" i="3"/>
  <c r="A331" i="4"/>
  <c r="G331" i="4" s="1"/>
  <c r="Z335" i="3"/>
  <c r="X335" i="3"/>
  <c r="G335" i="3"/>
  <c r="A336" i="4"/>
  <c r="X340" i="3"/>
  <c r="C340" i="3"/>
  <c r="A358" i="4"/>
  <c r="Z362" i="3"/>
  <c r="X362" i="3"/>
  <c r="AA362" i="3" s="1"/>
  <c r="D362" i="3"/>
  <c r="C362" i="3"/>
  <c r="A499" i="4"/>
  <c r="B499" i="4" s="1"/>
  <c r="E503" i="3"/>
  <c r="X503" i="3"/>
  <c r="AD503" i="3" s="1"/>
  <c r="G503" i="3"/>
  <c r="Z81" i="3"/>
  <c r="Y107" i="3"/>
  <c r="Q107" i="3" s="1"/>
  <c r="C109" i="3"/>
  <c r="W133" i="3"/>
  <c r="M133" i="3"/>
  <c r="L133" i="3"/>
  <c r="Y148" i="3"/>
  <c r="A148" i="4"/>
  <c r="G148" i="4" s="1"/>
  <c r="Z152" i="3"/>
  <c r="G152" i="3"/>
  <c r="E152" i="3"/>
  <c r="AA154" i="3"/>
  <c r="F154" i="3"/>
  <c r="Z165" i="3"/>
  <c r="D165" i="3"/>
  <c r="C165" i="3"/>
  <c r="A176" i="4"/>
  <c r="G180" i="3"/>
  <c r="X195" i="3"/>
  <c r="B195" i="3" s="1"/>
  <c r="Z198" i="3"/>
  <c r="G204" i="3"/>
  <c r="AD206" i="3"/>
  <c r="E212" i="3"/>
  <c r="Z212" i="3"/>
  <c r="D212" i="3"/>
  <c r="G212" i="3"/>
  <c r="Z228" i="3"/>
  <c r="F231" i="3"/>
  <c r="AB231" i="3"/>
  <c r="B231" i="3"/>
  <c r="C234" i="3"/>
  <c r="Y268" i="3"/>
  <c r="K268" i="3" s="1"/>
  <c r="Z268" i="3"/>
  <c r="G316" i="3"/>
  <c r="Y331" i="3"/>
  <c r="J331" i="3" s="1"/>
  <c r="AD347" i="3"/>
  <c r="B347" i="3"/>
  <c r="G362" i="3"/>
  <c r="AB486" i="3"/>
  <c r="C503" i="3"/>
  <c r="C20" i="3"/>
  <c r="G23" i="3"/>
  <c r="D28" i="3"/>
  <c r="C36" i="3"/>
  <c r="X39" i="3"/>
  <c r="AB39" i="3" s="1"/>
  <c r="C50" i="3"/>
  <c r="G64" i="3"/>
  <c r="D67" i="3"/>
  <c r="E71" i="3"/>
  <c r="C77" i="3"/>
  <c r="D79" i="3"/>
  <c r="C87" i="3"/>
  <c r="E93" i="3"/>
  <c r="C95" i="3"/>
  <c r="A104" i="4"/>
  <c r="C108" i="3"/>
  <c r="E109" i="3"/>
  <c r="E120" i="3"/>
  <c r="D127" i="3"/>
  <c r="Z129" i="3"/>
  <c r="X136" i="3"/>
  <c r="AD136" i="3" s="1"/>
  <c r="Z142" i="3"/>
  <c r="X146" i="3"/>
  <c r="Z148" i="3"/>
  <c r="D152" i="3"/>
  <c r="Z154" i="3"/>
  <c r="E165" i="3"/>
  <c r="Z171" i="3"/>
  <c r="X171" i="3"/>
  <c r="B171" i="3" s="1"/>
  <c r="D171" i="3"/>
  <c r="A170" i="4"/>
  <c r="Z174" i="3"/>
  <c r="A185" i="4"/>
  <c r="D189" i="3"/>
  <c r="C189" i="3"/>
  <c r="A192" i="4"/>
  <c r="Z196" i="3"/>
  <c r="E196" i="3"/>
  <c r="D196" i="3"/>
  <c r="A197" i="4"/>
  <c r="K197" i="4" s="1"/>
  <c r="Z201" i="3"/>
  <c r="G201" i="3"/>
  <c r="M210" i="3"/>
  <c r="C212" i="3"/>
  <c r="D217" i="3"/>
  <c r="Y231" i="3"/>
  <c r="D227" i="4" s="1"/>
  <c r="E234" i="3"/>
  <c r="X237" i="3"/>
  <c r="AA248" i="3"/>
  <c r="G250" i="3"/>
  <c r="A258" i="4"/>
  <c r="E262" i="3"/>
  <c r="X262" i="3"/>
  <c r="G268" i="3"/>
  <c r="AD278" i="3"/>
  <c r="A324" i="4"/>
  <c r="G328" i="3"/>
  <c r="X328" i="3"/>
  <c r="AC328" i="3" s="1"/>
  <c r="Z331" i="3"/>
  <c r="E335" i="3"/>
  <c r="Y379" i="3"/>
  <c r="X379" i="3"/>
  <c r="A381" i="4"/>
  <c r="Z385" i="3"/>
  <c r="X385" i="3"/>
  <c r="G385" i="3"/>
  <c r="Z394" i="3"/>
  <c r="Y394" i="3"/>
  <c r="AE394" i="3" s="1"/>
  <c r="G394" i="3"/>
  <c r="D394" i="3"/>
  <c r="C394" i="3"/>
  <c r="Y403" i="3"/>
  <c r="W403" i="3" s="1"/>
  <c r="G403" i="3"/>
  <c r="E403" i="3"/>
  <c r="AD435" i="3"/>
  <c r="AC439" i="3"/>
  <c r="E10" i="3"/>
  <c r="G20" i="3"/>
  <c r="X23" i="3"/>
  <c r="E28" i="3"/>
  <c r="C35" i="3"/>
  <c r="D36" i="3"/>
  <c r="Z39" i="3"/>
  <c r="G47" i="3"/>
  <c r="D50" i="3"/>
  <c r="G74" i="3"/>
  <c r="D87" i="3"/>
  <c r="G89" i="3"/>
  <c r="G93" i="3"/>
  <c r="D95" i="3"/>
  <c r="G109" i="3"/>
  <c r="G113" i="3"/>
  <c r="F116" i="3"/>
  <c r="B116" i="3"/>
  <c r="X120" i="3"/>
  <c r="C134" i="3"/>
  <c r="AB148" i="3"/>
  <c r="X152" i="3"/>
  <c r="F152" i="3" s="1"/>
  <c r="AB154" i="3"/>
  <c r="Z162" i="3"/>
  <c r="Y162" i="3"/>
  <c r="O162" i="3" s="1"/>
  <c r="Y176" i="3"/>
  <c r="W176" i="3" s="1"/>
  <c r="X176" i="3"/>
  <c r="AB176" i="3" s="1"/>
  <c r="A190" i="4"/>
  <c r="Z194" i="3"/>
  <c r="G194" i="3"/>
  <c r="A195" i="4"/>
  <c r="X199" i="3"/>
  <c r="K212" i="3"/>
  <c r="W226" i="3"/>
  <c r="L226" i="3"/>
  <c r="K226" i="3"/>
  <c r="Z231" i="3"/>
  <c r="G234" i="3"/>
  <c r="Z237" i="3"/>
  <c r="AB248" i="3"/>
  <c r="Y256" i="3"/>
  <c r="Q256" i="3" s="1"/>
  <c r="D256" i="3"/>
  <c r="C256" i="3"/>
  <c r="A268" i="4"/>
  <c r="B268" i="4" s="1"/>
  <c r="Z272" i="3"/>
  <c r="X272" i="3"/>
  <c r="D279" i="3"/>
  <c r="Z279" i="3"/>
  <c r="C279" i="3"/>
  <c r="L306" i="3"/>
  <c r="Z326" i="3"/>
  <c r="Y326" i="3"/>
  <c r="Q326" i="3" s="1"/>
  <c r="C328" i="3"/>
  <c r="AC347" i="3"/>
  <c r="C379" i="3"/>
  <c r="C381" i="3"/>
  <c r="A386" i="4"/>
  <c r="X390" i="3"/>
  <c r="G390" i="3"/>
  <c r="Z407" i="3"/>
  <c r="Y407" i="3"/>
  <c r="T407" i="3" s="1"/>
  <c r="X407" i="3"/>
  <c r="B407" i="3" s="1"/>
  <c r="A459" i="4"/>
  <c r="K459" i="4" s="1"/>
  <c r="X463" i="3"/>
  <c r="G463" i="3"/>
  <c r="C463" i="3"/>
  <c r="AD470" i="3"/>
  <c r="B470" i="3"/>
  <c r="A480" i="4"/>
  <c r="G484" i="3"/>
  <c r="Z484" i="3"/>
  <c r="X484" i="3"/>
  <c r="F484" i="3" s="1"/>
  <c r="E484" i="3"/>
  <c r="D484" i="3"/>
  <c r="A225" i="4"/>
  <c r="G225" i="4" s="1"/>
  <c r="Z229" i="3"/>
  <c r="X229" i="3"/>
  <c r="E229" i="3"/>
  <c r="Z258" i="3"/>
  <c r="G258" i="3"/>
  <c r="Y359" i="3"/>
  <c r="X359" i="3"/>
  <c r="G359" i="3"/>
  <c r="A417" i="4"/>
  <c r="Z421" i="3"/>
  <c r="G421" i="3"/>
  <c r="E421" i="3"/>
  <c r="E226" i="3"/>
  <c r="D226" i="3"/>
  <c r="Z226" i="3"/>
  <c r="A257" i="4"/>
  <c r="D261" i="3"/>
  <c r="C261" i="3"/>
  <c r="A267" i="4"/>
  <c r="F267" i="4" s="1"/>
  <c r="H267" i="4" s="1"/>
  <c r="X271" i="3"/>
  <c r="G271" i="3"/>
  <c r="E271" i="3"/>
  <c r="D271" i="3"/>
  <c r="Z306" i="3"/>
  <c r="X306" i="3"/>
  <c r="E306" i="3"/>
  <c r="D306" i="3"/>
  <c r="A332" i="4"/>
  <c r="D336" i="3"/>
  <c r="C336" i="3"/>
  <c r="E336" i="3"/>
  <c r="D359" i="3"/>
  <c r="E130" i="3"/>
  <c r="D132" i="3"/>
  <c r="D137" i="3"/>
  <c r="D144" i="3"/>
  <c r="D175" i="3"/>
  <c r="E187" i="3"/>
  <c r="Z205" i="3"/>
  <c r="Y224" i="3"/>
  <c r="G224" i="3"/>
  <c r="C224" i="3"/>
  <c r="D229" i="3"/>
  <c r="A239" i="4"/>
  <c r="Z243" i="3"/>
  <c r="E243" i="3"/>
  <c r="G244" i="3"/>
  <c r="G261" i="3"/>
  <c r="Y317" i="3"/>
  <c r="E313" i="4" s="1"/>
  <c r="X317" i="3"/>
  <c r="G317" i="3"/>
  <c r="AB324" i="3"/>
  <c r="X336" i="3"/>
  <c r="A337" i="4"/>
  <c r="E341" i="3"/>
  <c r="D341" i="3"/>
  <c r="A384" i="4"/>
  <c r="Z388" i="3"/>
  <c r="X388" i="3"/>
  <c r="G388" i="3"/>
  <c r="Z397" i="3"/>
  <c r="Y397" i="3"/>
  <c r="E393" i="4" s="1"/>
  <c r="X424" i="3"/>
  <c r="F424" i="3" s="1"/>
  <c r="Z446" i="3"/>
  <c r="Y446" i="3"/>
  <c r="X446" i="3"/>
  <c r="E446" i="3"/>
  <c r="A465" i="4"/>
  <c r="G465" i="4" s="1"/>
  <c r="X469" i="3"/>
  <c r="B469" i="3" s="1"/>
  <c r="G469" i="3"/>
  <c r="D469" i="3"/>
  <c r="E469" i="3"/>
  <c r="E132" i="3"/>
  <c r="E137" i="3"/>
  <c r="G140" i="3"/>
  <c r="E144" i="3"/>
  <c r="X150" i="3"/>
  <c r="E175" i="3"/>
  <c r="Y181" i="3"/>
  <c r="W181" i="3" s="1"/>
  <c r="C193" i="3"/>
  <c r="C221" i="3"/>
  <c r="D224" i="3"/>
  <c r="E251" i="3"/>
  <c r="A256" i="4"/>
  <c r="C260" i="3"/>
  <c r="X261" i="3"/>
  <c r="E263" i="3"/>
  <c r="AA266" i="3"/>
  <c r="A280" i="4"/>
  <c r="Z284" i="3"/>
  <c r="G284" i="3"/>
  <c r="E284" i="3"/>
  <c r="C290" i="3"/>
  <c r="D317" i="3"/>
  <c r="Z336" i="3"/>
  <c r="C341" i="3"/>
  <c r="E397" i="3"/>
  <c r="Z400" i="3"/>
  <c r="Y400" i="3"/>
  <c r="X400" i="3"/>
  <c r="Y424" i="3"/>
  <c r="H424" i="3" s="1"/>
  <c r="Z449" i="3"/>
  <c r="E449" i="3"/>
  <c r="A451" i="4"/>
  <c r="X455" i="3"/>
  <c r="G455" i="3"/>
  <c r="D455" i="3"/>
  <c r="C455" i="3"/>
  <c r="A321" i="4"/>
  <c r="Z325" i="3"/>
  <c r="X325" i="3"/>
  <c r="AC325" i="3" s="1"/>
  <c r="D325" i="3"/>
  <c r="A354" i="4"/>
  <c r="X358" i="3"/>
  <c r="AA358" i="3" s="1"/>
  <c r="AA420" i="3"/>
  <c r="A456" i="4"/>
  <c r="E460" i="3"/>
  <c r="W475" i="3"/>
  <c r="R475" i="3"/>
  <c r="O475" i="3"/>
  <c r="K475" i="3"/>
  <c r="Z479" i="3"/>
  <c r="Y479" i="3"/>
  <c r="S479" i="3" s="1"/>
  <c r="E479" i="3"/>
  <c r="Z497" i="3"/>
  <c r="E497" i="3"/>
  <c r="K434" i="3"/>
  <c r="S434" i="3"/>
  <c r="R434" i="3"/>
  <c r="P434" i="3"/>
  <c r="O434" i="3"/>
  <c r="AE434" i="3"/>
  <c r="N434" i="3"/>
  <c r="A468" i="4"/>
  <c r="X472" i="3"/>
  <c r="AD472" i="3" s="1"/>
  <c r="G472" i="3"/>
  <c r="E472" i="3"/>
  <c r="D472" i="3"/>
  <c r="C472" i="3"/>
  <c r="A498" i="4"/>
  <c r="C498" i="4" s="1"/>
  <c r="Z502" i="3"/>
  <c r="X502" i="3"/>
  <c r="G502" i="3"/>
  <c r="D502" i="3"/>
  <c r="A362" i="4"/>
  <c r="X366" i="3"/>
  <c r="A369" i="4"/>
  <c r="K369" i="4" s="1"/>
  <c r="E373" i="3"/>
  <c r="D373" i="3"/>
  <c r="C373" i="3"/>
  <c r="A432" i="4"/>
  <c r="G436" i="3"/>
  <c r="E436" i="3"/>
  <c r="D436" i="3"/>
  <c r="Y436" i="3"/>
  <c r="C436" i="3"/>
  <c r="A466" i="4"/>
  <c r="Z470" i="3"/>
  <c r="F474" i="3"/>
  <c r="A484" i="4"/>
  <c r="Z488" i="3"/>
  <c r="X488" i="3"/>
  <c r="D488" i="3"/>
  <c r="E219" i="3"/>
  <c r="D241" i="3"/>
  <c r="D248" i="3"/>
  <c r="E249" i="3"/>
  <c r="E278" i="3"/>
  <c r="D289" i="3"/>
  <c r="C296" i="3"/>
  <c r="D297" i="3"/>
  <c r="G299" i="3"/>
  <c r="D312" i="3"/>
  <c r="D313" i="3"/>
  <c r="AD323" i="3"/>
  <c r="G325" i="3"/>
  <c r="G333" i="3"/>
  <c r="A345" i="4"/>
  <c r="X349" i="3"/>
  <c r="AD349" i="3" s="1"/>
  <c r="G349" i="3"/>
  <c r="A349" i="4"/>
  <c r="E353" i="3"/>
  <c r="D353" i="3"/>
  <c r="Z356" i="3"/>
  <c r="Y356" i="3"/>
  <c r="H356" i="3" s="1"/>
  <c r="G358" i="3"/>
  <c r="C366" i="3"/>
  <c r="G373" i="3"/>
  <c r="AB374" i="3"/>
  <c r="A382" i="4"/>
  <c r="Z386" i="3"/>
  <c r="X386" i="3"/>
  <c r="A395" i="4"/>
  <c r="Z399" i="3"/>
  <c r="X399" i="3"/>
  <c r="AB399" i="3" s="1"/>
  <c r="G399" i="3"/>
  <c r="E399" i="3"/>
  <c r="AA408" i="3"/>
  <c r="B408" i="3"/>
  <c r="A407" i="4"/>
  <c r="Z411" i="3"/>
  <c r="X411" i="3"/>
  <c r="A410" i="4"/>
  <c r="Z414" i="3"/>
  <c r="X414" i="3"/>
  <c r="F414" i="3" s="1"/>
  <c r="G414" i="3"/>
  <c r="C414" i="3"/>
  <c r="G426" i="3"/>
  <c r="Y431" i="3"/>
  <c r="V431" i="3" s="1"/>
  <c r="X431" i="3"/>
  <c r="F431" i="3" s="1"/>
  <c r="AB434" i="3"/>
  <c r="G460" i="3"/>
  <c r="A463" i="4"/>
  <c r="Z467" i="3"/>
  <c r="X467" i="3"/>
  <c r="D467" i="3"/>
  <c r="AE475" i="3"/>
  <c r="G480" i="3"/>
  <c r="D497" i="3"/>
  <c r="C502" i="3"/>
  <c r="C232" i="3"/>
  <c r="E241" i="3"/>
  <c r="D246" i="3"/>
  <c r="E248" i="3"/>
  <c r="G249" i="3"/>
  <c r="E283" i="3"/>
  <c r="E289" i="3"/>
  <c r="D296" i="3"/>
  <c r="E297" i="3"/>
  <c r="E312" i="3"/>
  <c r="E313" i="3"/>
  <c r="C320" i="3"/>
  <c r="A320" i="4"/>
  <c r="G324" i="3"/>
  <c r="E324" i="3"/>
  <c r="J327" i="3"/>
  <c r="H327" i="3"/>
  <c r="A340" i="4"/>
  <c r="B340" i="4" s="1"/>
  <c r="Z344" i="3"/>
  <c r="D344" i="3"/>
  <c r="C344" i="3"/>
  <c r="C349" i="3"/>
  <c r="C353" i="3"/>
  <c r="Y357" i="3"/>
  <c r="X357" i="3"/>
  <c r="AB357" i="3" s="1"/>
  <c r="D366" i="3"/>
  <c r="X373" i="3"/>
  <c r="D392" i="3"/>
  <c r="C399" i="3"/>
  <c r="W402" i="3"/>
  <c r="I404" i="3"/>
  <c r="H404" i="3"/>
  <c r="C411" i="3"/>
  <c r="AD420" i="3"/>
  <c r="X426" i="3"/>
  <c r="AA426" i="3" s="1"/>
  <c r="AC434" i="3"/>
  <c r="Y441" i="3"/>
  <c r="X441" i="3"/>
  <c r="X460" i="3"/>
  <c r="AA460" i="3" s="1"/>
  <c r="E470" i="3"/>
  <c r="Z480" i="3"/>
  <c r="C488" i="3"/>
  <c r="X497" i="3"/>
  <c r="B497" i="3" s="1"/>
  <c r="E502" i="3"/>
  <c r="V401" i="3"/>
  <c r="D443" i="3"/>
  <c r="E474" i="3"/>
  <c r="Y474" i="3"/>
  <c r="G491" i="3"/>
  <c r="G474" i="3"/>
  <c r="Z474" i="3"/>
  <c r="C476" i="3"/>
  <c r="E485" i="3"/>
  <c r="C504" i="3"/>
  <c r="C509" i="3"/>
  <c r="G443" i="3"/>
  <c r="Z363" i="3"/>
  <c r="D374" i="3"/>
  <c r="E378" i="3"/>
  <c r="E384" i="3"/>
  <c r="X389" i="3"/>
  <c r="C398" i="3"/>
  <c r="AE401" i="3"/>
  <c r="C406" i="3"/>
  <c r="D420" i="3"/>
  <c r="D423" i="3"/>
  <c r="E425" i="3"/>
  <c r="D435" i="3"/>
  <c r="Y438" i="3"/>
  <c r="X443" i="3"/>
  <c r="D445" i="3"/>
  <c r="E448" i="3"/>
  <c r="E458" i="3"/>
  <c r="E462" i="3"/>
  <c r="Y476" i="3"/>
  <c r="Y483" i="3"/>
  <c r="X485" i="3"/>
  <c r="AD485" i="3" s="1"/>
  <c r="C493" i="3"/>
  <c r="G496" i="3"/>
  <c r="C498" i="3"/>
  <c r="E509" i="3"/>
  <c r="C332" i="3"/>
  <c r="C355" i="3"/>
  <c r="G374" i="3"/>
  <c r="G378" i="3"/>
  <c r="X384" i="3"/>
  <c r="D398" i="3"/>
  <c r="D406" i="3"/>
  <c r="C418" i="3"/>
  <c r="E420" i="3"/>
  <c r="E423" i="3"/>
  <c r="G425" i="3"/>
  <c r="E435" i="3"/>
  <c r="Z443" i="3"/>
  <c r="G448" i="3"/>
  <c r="Z476" i="3"/>
  <c r="D493" i="3"/>
  <c r="X496" i="3"/>
  <c r="F496" i="3" s="1"/>
  <c r="D498" i="3"/>
  <c r="C500" i="3"/>
  <c r="C505" i="3"/>
  <c r="Z509" i="3"/>
  <c r="Z9" i="2"/>
  <c r="E87" i="4"/>
  <c r="D87" i="4"/>
  <c r="W91" i="3"/>
  <c r="K91" i="3"/>
  <c r="V91" i="3"/>
  <c r="J91" i="3"/>
  <c r="U91" i="3"/>
  <c r="I91" i="3"/>
  <c r="R91" i="3"/>
  <c r="Q91" i="3"/>
  <c r="O91" i="3"/>
  <c r="N91" i="3"/>
  <c r="L91" i="3"/>
  <c r="M91" i="3"/>
  <c r="H91" i="3"/>
  <c r="AE91" i="3"/>
  <c r="T91" i="3"/>
  <c r="S91" i="3"/>
  <c r="P91" i="3"/>
  <c r="A10" i="4"/>
  <c r="X14" i="3"/>
  <c r="G14" i="3"/>
  <c r="E14" i="3"/>
  <c r="D14" i="3"/>
  <c r="C14" i="3"/>
  <c r="AA9" i="2"/>
  <c r="AI9" i="2" s="1"/>
  <c r="AD79" i="3"/>
  <c r="F79" i="3"/>
  <c r="AC79" i="3"/>
  <c r="AA79" i="3"/>
  <c r="B79" i="3"/>
  <c r="AB79" i="3"/>
  <c r="G22" i="4"/>
  <c r="F22" i="4"/>
  <c r="H22" i="4" s="1"/>
  <c r="C22" i="4"/>
  <c r="B22" i="4"/>
  <c r="K22" i="4"/>
  <c r="Y26" i="3"/>
  <c r="K34" i="4"/>
  <c r="G34" i="4"/>
  <c r="F34" i="4"/>
  <c r="H34" i="4" s="1"/>
  <c r="C34" i="4"/>
  <c r="B34" i="4"/>
  <c r="Y38" i="3"/>
  <c r="E39" i="4"/>
  <c r="D39" i="4"/>
  <c r="O43" i="3"/>
  <c r="N43" i="3"/>
  <c r="E45" i="4"/>
  <c r="D45" i="4"/>
  <c r="U49" i="3"/>
  <c r="I49" i="3"/>
  <c r="T49" i="3"/>
  <c r="W52" i="3"/>
  <c r="P53" i="3"/>
  <c r="AD67" i="3"/>
  <c r="F67" i="3"/>
  <c r="AC67" i="3"/>
  <c r="AA67" i="3"/>
  <c r="B67" i="3"/>
  <c r="A68" i="4"/>
  <c r="G72" i="3"/>
  <c r="D72" i="3"/>
  <c r="C72" i="3"/>
  <c r="A93" i="4"/>
  <c r="Z97" i="3"/>
  <c r="X97" i="3"/>
  <c r="D97" i="3"/>
  <c r="C97" i="3"/>
  <c r="Y97" i="3"/>
  <c r="C17" i="4"/>
  <c r="B17" i="4"/>
  <c r="K17" i="4"/>
  <c r="G17" i="4"/>
  <c r="F17" i="4"/>
  <c r="H17" i="4" s="1"/>
  <c r="Y21" i="3"/>
  <c r="Z26" i="3"/>
  <c r="C29" i="4"/>
  <c r="B29" i="4"/>
  <c r="K29" i="4"/>
  <c r="G29" i="4"/>
  <c r="F29" i="4"/>
  <c r="H29" i="4" s="1"/>
  <c r="Y33" i="3"/>
  <c r="Z38" i="3"/>
  <c r="F38" i="4"/>
  <c r="H38" i="4" s="1"/>
  <c r="C38" i="4"/>
  <c r="B38" i="4"/>
  <c r="K38" i="4"/>
  <c r="G38" i="4"/>
  <c r="L43" i="3"/>
  <c r="AC46" i="3"/>
  <c r="AD48" i="3"/>
  <c r="F48" i="3"/>
  <c r="AB48" i="3"/>
  <c r="AA48" i="3"/>
  <c r="J49" i="3"/>
  <c r="E47" i="4"/>
  <c r="D47" i="4"/>
  <c r="U51" i="3"/>
  <c r="I51" i="3"/>
  <c r="AE51" i="3"/>
  <c r="S51" i="3"/>
  <c r="R51" i="3"/>
  <c r="A52" i="4"/>
  <c r="Z56" i="3"/>
  <c r="G56" i="3"/>
  <c r="Q67" i="3"/>
  <c r="X72" i="3"/>
  <c r="B92" i="3"/>
  <c r="AC92" i="3"/>
  <c r="E97" i="3"/>
  <c r="I101" i="3"/>
  <c r="A111" i="4"/>
  <c r="D115" i="3"/>
  <c r="Z115" i="3"/>
  <c r="Y115" i="3"/>
  <c r="X115" i="3"/>
  <c r="G115" i="3"/>
  <c r="E115" i="3"/>
  <c r="C115" i="3"/>
  <c r="AC12" i="3"/>
  <c r="F12" i="4"/>
  <c r="H12" i="4" s="1"/>
  <c r="C12" i="4"/>
  <c r="F17" i="3"/>
  <c r="AD17" i="3"/>
  <c r="Z21" i="3"/>
  <c r="G22" i="3"/>
  <c r="AC24" i="3"/>
  <c r="C26" i="3"/>
  <c r="K24" i="4"/>
  <c r="G24" i="4"/>
  <c r="F24" i="4"/>
  <c r="H24" i="4" s="1"/>
  <c r="C24" i="4"/>
  <c r="B24" i="4"/>
  <c r="Y28" i="3"/>
  <c r="Z33" i="3"/>
  <c r="G34" i="3"/>
  <c r="C38" i="3"/>
  <c r="K36" i="4"/>
  <c r="B36" i="4"/>
  <c r="G36" i="4"/>
  <c r="F36" i="4"/>
  <c r="H36" i="4" s="1"/>
  <c r="C36" i="4"/>
  <c r="Y40" i="3"/>
  <c r="S41" i="3"/>
  <c r="M43" i="3"/>
  <c r="Y46" i="3"/>
  <c r="Y48" i="3"/>
  <c r="L49" i="3"/>
  <c r="AB50" i="3"/>
  <c r="B50" i="3"/>
  <c r="K51" i="3"/>
  <c r="N58" i="3"/>
  <c r="T64" i="3"/>
  <c r="AB67" i="3"/>
  <c r="E72" i="3"/>
  <c r="Y72" i="3"/>
  <c r="AC83" i="3"/>
  <c r="B83" i="3"/>
  <c r="G97" i="3"/>
  <c r="AC100" i="3"/>
  <c r="B100" i="3"/>
  <c r="F7" i="4"/>
  <c r="H7" i="4" s="1"/>
  <c r="C7" i="4"/>
  <c r="B7" i="4"/>
  <c r="F12" i="3"/>
  <c r="AD12" i="3"/>
  <c r="B16" i="3"/>
  <c r="G17" i="3"/>
  <c r="X18" i="3"/>
  <c r="C21" i="3"/>
  <c r="G19" i="4"/>
  <c r="F19" i="4"/>
  <c r="H19" i="4" s="1"/>
  <c r="C19" i="4"/>
  <c r="B19" i="4"/>
  <c r="K19" i="4"/>
  <c r="Y23" i="3"/>
  <c r="F24" i="3"/>
  <c r="AD24" i="3"/>
  <c r="D26" i="3"/>
  <c r="Z28" i="3"/>
  <c r="G29" i="3"/>
  <c r="C33" i="3"/>
  <c r="G31" i="4"/>
  <c r="F31" i="4"/>
  <c r="H31" i="4" s="1"/>
  <c r="C31" i="4"/>
  <c r="B31" i="4"/>
  <c r="K31" i="4"/>
  <c r="Y35" i="3"/>
  <c r="D38" i="3"/>
  <c r="Z40" i="3"/>
  <c r="G41" i="3"/>
  <c r="T41" i="3"/>
  <c r="C42" i="3"/>
  <c r="P43" i="3"/>
  <c r="AA47" i="3"/>
  <c r="AA50" i="3"/>
  <c r="L51" i="3"/>
  <c r="C56" i="3"/>
  <c r="X56" i="3"/>
  <c r="O58" i="3"/>
  <c r="A57" i="4"/>
  <c r="C61" i="3"/>
  <c r="X61" i="3"/>
  <c r="A60" i="4"/>
  <c r="C64" i="3"/>
  <c r="Z64" i="3"/>
  <c r="X64" i="3"/>
  <c r="U64" i="3"/>
  <c r="AE67" i="3"/>
  <c r="Z72" i="3"/>
  <c r="AA87" i="3"/>
  <c r="AD87" i="3"/>
  <c r="F87" i="3"/>
  <c r="AB87" i="3"/>
  <c r="AD92" i="3"/>
  <c r="A98" i="4"/>
  <c r="G102" i="3"/>
  <c r="C102" i="3"/>
  <c r="Z102" i="3"/>
  <c r="E102" i="3"/>
  <c r="D102" i="3"/>
  <c r="G12" i="3"/>
  <c r="X13" i="3"/>
  <c r="C16" i="3"/>
  <c r="B12" i="4" s="1"/>
  <c r="AA16" i="3"/>
  <c r="B14" i="4"/>
  <c r="K14" i="4"/>
  <c r="G14" i="4"/>
  <c r="F14" i="4"/>
  <c r="H14" i="4" s="1"/>
  <c r="C14" i="4"/>
  <c r="Y18" i="3"/>
  <c r="D21" i="3"/>
  <c r="Z23" i="3"/>
  <c r="G24" i="3"/>
  <c r="X25" i="3"/>
  <c r="E26" i="3"/>
  <c r="C28" i="3"/>
  <c r="K26" i="4"/>
  <c r="G26" i="4"/>
  <c r="F26" i="4"/>
  <c r="H26" i="4" s="1"/>
  <c r="C26" i="4"/>
  <c r="Y30" i="3"/>
  <c r="D33" i="3"/>
  <c r="AB33" i="3"/>
  <c r="Z35" i="3"/>
  <c r="G36" i="3"/>
  <c r="X37" i="3"/>
  <c r="E38" i="3"/>
  <c r="C40" i="3"/>
  <c r="AA40" i="3"/>
  <c r="H41" i="3"/>
  <c r="U41" i="3"/>
  <c r="D42" i="3"/>
  <c r="A39" i="4"/>
  <c r="C43" i="3"/>
  <c r="Z43" i="3"/>
  <c r="Q43" i="3"/>
  <c r="AE43" i="3"/>
  <c r="AB47" i="3"/>
  <c r="AC48" i="3"/>
  <c r="AC50" i="3"/>
  <c r="M51" i="3"/>
  <c r="AB51" i="3"/>
  <c r="A50" i="4"/>
  <c r="X54" i="3"/>
  <c r="D56" i="3"/>
  <c r="Y56" i="3"/>
  <c r="P58" i="3"/>
  <c r="AC59" i="3"/>
  <c r="D64" i="3"/>
  <c r="K67" i="3"/>
  <c r="A64" i="4"/>
  <c r="Z68" i="3"/>
  <c r="G68" i="3"/>
  <c r="F83" i="3"/>
  <c r="AA83" i="3"/>
  <c r="B87" i="3"/>
  <c r="AB100" i="3"/>
  <c r="I102" i="3"/>
  <c r="AD183" i="3"/>
  <c r="F183" i="3"/>
  <c r="AC183" i="3"/>
  <c r="AB183" i="3"/>
  <c r="AA183" i="3"/>
  <c r="B183" i="3"/>
  <c r="F9" i="4"/>
  <c r="H9" i="4" s="1"/>
  <c r="C9" i="4"/>
  <c r="AB16" i="3"/>
  <c r="E21" i="3"/>
  <c r="G21" i="4"/>
  <c r="F21" i="4"/>
  <c r="H21" i="4" s="1"/>
  <c r="C21" i="4"/>
  <c r="B21" i="4"/>
  <c r="K21" i="4"/>
  <c r="Y25" i="3"/>
  <c r="E33" i="3"/>
  <c r="G33" i="4"/>
  <c r="F33" i="4"/>
  <c r="H33" i="4" s="1"/>
  <c r="C33" i="4"/>
  <c r="B33" i="4"/>
  <c r="K33" i="4"/>
  <c r="Y37" i="3"/>
  <c r="E42" i="3"/>
  <c r="R43" i="3"/>
  <c r="A40" i="4"/>
  <c r="G44" i="3"/>
  <c r="AC47" i="3"/>
  <c r="N51" i="3"/>
  <c r="AC51" i="3"/>
  <c r="A51" i="4"/>
  <c r="E55" i="3"/>
  <c r="C55" i="3"/>
  <c r="Z55" i="3"/>
  <c r="E56" i="3"/>
  <c r="L61" i="3"/>
  <c r="W61" i="3"/>
  <c r="K61" i="3"/>
  <c r="T61" i="3"/>
  <c r="H61" i="3"/>
  <c r="D60" i="4"/>
  <c r="E60" i="4"/>
  <c r="R64" i="3"/>
  <c r="O64" i="3"/>
  <c r="N64" i="3"/>
  <c r="L64" i="3"/>
  <c r="W64" i="3"/>
  <c r="K64" i="3"/>
  <c r="A69" i="4"/>
  <c r="C73" i="3"/>
  <c r="X73" i="3"/>
  <c r="AC74" i="3"/>
  <c r="AB74" i="3"/>
  <c r="B74" i="3"/>
  <c r="A72" i="4"/>
  <c r="C76" i="3"/>
  <c r="Z76" i="3"/>
  <c r="X76" i="3"/>
  <c r="AD95" i="3"/>
  <c r="F95" i="3"/>
  <c r="AC95" i="3"/>
  <c r="B95" i="3"/>
  <c r="A107" i="4"/>
  <c r="Z111" i="3"/>
  <c r="X111" i="3"/>
  <c r="G111" i="3"/>
  <c r="E111" i="3"/>
  <c r="C111" i="3"/>
  <c r="D111" i="3"/>
  <c r="Y111" i="3"/>
  <c r="AC16" i="3"/>
  <c r="C16" i="4"/>
  <c r="B16" i="4"/>
  <c r="K16" i="4"/>
  <c r="G16" i="4"/>
  <c r="F16" i="4"/>
  <c r="H16" i="4" s="1"/>
  <c r="Y20" i="3"/>
  <c r="Z25" i="3"/>
  <c r="G26" i="3"/>
  <c r="C28" i="4"/>
  <c r="B28" i="4"/>
  <c r="K28" i="4"/>
  <c r="G28" i="4"/>
  <c r="F28" i="4"/>
  <c r="H28" i="4" s="1"/>
  <c r="Y32" i="3"/>
  <c r="F33" i="3"/>
  <c r="Z37" i="3"/>
  <c r="G38" i="3"/>
  <c r="J41" i="3"/>
  <c r="W41" i="3"/>
  <c r="S43" i="3"/>
  <c r="AD47" i="3"/>
  <c r="C45" i="4"/>
  <c r="K45" i="4"/>
  <c r="G45" i="4"/>
  <c r="F45" i="4"/>
  <c r="H45" i="4" s="1"/>
  <c r="B45" i="4"/>
  <c r="P49" i="3"/>
  <c r="AE49" i="3"/>
  <c r="O51" i="3"/>
  <c r="A48" i="4"/>
  <c r="Z52" i="3"/>
  <c r="X52" i="3"/>
  <c r="A49" i="4"/>
  <c r="G53" i="3"/>
  <c r="E53" i="3"/>
  <c r="D53" i="3"/>
  <c r="R53" i="3"/>
  <c r="D55" i="3"/>
  <c r="A54" i="4"/>
  <c r="X58" i="3"/>
  <c r="E58" i="3"/>
  <c r="V58" i="3"/>
  <c r="N68" i="3"/>
  <c r="K68" i="3"/>
  <c r="V68" i="3"/>
  <c r="J68" i="3"/>
  <c r="T68" i="3"/>
  <c r="H68" i="3"/>
  <c r="AC71" i="3"/>
  <c r="B71" i="3"/>
  <c r="D76" i="3"/>
  <c r="Y76" i="3"/>
  <c r="AD83" i="3"/>
  <c r="Y85" i="3"/>
  <c r="A84" i="4"/>
  <c r="C88" i="3"/>
  <c r="Z88" i="3"/>
  <c r="X88" i="3"/>
  <c r="A88" i="4"/>
  <c r="D92" i="3"/>
  <c r="C92" i="3"/>
  <c r="Z92" i="3"/>
  <c r="G92" i="3"/>
  <c r="E92" i="3"/>
  <c r="AA95" i="3"/>
  <c r="E94" i="4"/>
  <c r="H98" i="3"/>
  <c r="A101" i="4"/>
  <c r="E105" i="3"/>
  <c r="Z105" i="3"/>
  <c r="X105" i="3"/>
  <c r="G105" i="3"/>
  <c r="D105" i="3"/>
  <c r="C105" i="3"/>
  <c r="X10" i="3"/>
  <c r="C13" i="3"/>
  <c r="B9" i="4" s="1"/>
  <c r="F11" i="4"/>
  <c r="H11" i="4" s="1"/>
  <c r="F16" i="3"/>
  <c r="Z20" i="3"/>
  <c r="G21" i="3"/>
  <c r="X22" i="3"/>
  <c r="C25" i="3"/>
  <c r="G23" i="4"/>
  <c r="F23" i="4"/>
  <c r="H23" i="4" s="1"/>
  <c r="C23" i="4"/>
  <c r="B23" i="4"/>
  <c r="Y27" i="3"/>
  <c r="Z32" i="3"/>
  <c r="G33" i="3"/>
  <c r="X34" i="3"/>
  <c r="C37" i="3"/>
  <c r="K35" i="4"/>
  <c r="G35" i="4"/>
  <c r="F35" i="4"/>
  <c r="H35" i="4" s="1"/>
  <c r="C35" i="4"/>
  <c r="B35" i="4"/>
  <c r="Y39" i="3"/>
  <c r="AC41" i="3"/>
  <c r="AB41" i="3"/>
  <c r="G42" i="3"/>
  <c r="T43" i="3"/>
  <c r="C44" i="3"/>
  <c r="Q49" i="3"/>
  <c r="A47" i="4"/>
  <c r="G51" i="3"/>
  <c r="P51" i="3"/>
  <c r="C52" i="3"/>
  <c r="H64" i="3"/>
  <c r="D73" i="3"/>
  <c r="Y73" i="3"/>
  <c r="AA74" i="3"/>
  <c r="E76" i="3"/>
  <c r="A75" i="4"/>
  <c r="E79" i="3"/>
  <c r="C79" i="3"/>
  <c r="Z79" i="3"/>
  <c r="Y79" i="3"/>
  <c r="G80" i="4"/>
  <c r="C80" i="4"/>
  <c r="B80" i="4"/>
  <c r="K80" i="4"/>
  <c r="F80" i="4"/>
  <c r="H80" i="4" s="1"/>
  <c r="D88" i="3"/>
  <c r="A87" i="4"/>
  <c r="E91" i="3"/>
  <c r="C91" i="3"/>
  <c r="Z91" i="3"/>
  <c r="X91" i="3"/>
  <c r="F92" i="3"/>
  <c r="AB95" i="3"/>
  <c r="AA102" i="3"/>
  <c r="AD102" i="3"/>
  <c r="AC102" i="3"/>
  <c r="AB102" i="3"/>
  <c r="F102" i="3"/>
  <c r="B102" i="3"/>
  <c r="F6" i="4"/>
  <c r="H6" i="4" s="1"/>
  <c r="B15" i="3"/>
  <c r="F18" i="4"/>
  <c r="H18" i="4" s="1"/>
  <c r="C18" i="4"/>
  <c r="B18" i="4"/>
  <c r="K18" i="4"/>
  <c r="G18" i="4"/>
  <c r="Y22" i="3"/>
  <c r="D25" i="3"/>
  <c r="F30" i="4"/>
  <c r="H30" i="4" s="1"/>
  <c r="C30" i="4"/>
  <c r="B30" i="4"/>
  <c r="K30" i="4"/>
  <c r="G30" i="4"/>
  <c r="Y34" i="3"/>
  <c r="D37" i="3"/>
  <c r="D37" i="4"/>
  <c r="E37" i="4"/>
  <c r="P41" i="3"/>
  <c r="X42" i="3"/>
  <c r="U43" i="3"/>
  <c r="D44" i="3"/>
  <c r="A42" i="4"/>
  <c r="E46" i="3"/>
  <c r="A44" i="4"/>
  <c r="D48" i="3"/>
  <c r="C48" i="3"/>
  <c r="Q51" i="3"/>
  <c r="G55" i="3"/>
  <c r="E54" i="4"/>
  <c r="D54" i="4"/>
  <c r="L58" i="3"/>
  <c r="U58" i="3"/>
  <c r="I58" i="3"/>
  <c r="T58" i="3"/>
  <c r="H58" i="3"/>
  <c r="R58" i="3"/>
  <c r="Q58" i="3"/>
  <c r="I64" i="3"/>
  <c r="AE64" i="3"/>
  <c r="A66" i="4"/>
  <c r="X70" i="3"/>
  <c r="E70" i="3"/>
  <c r="E73" i="3"/>
  <c r="Z73" i="3"/>
  <c r="AD74" i="3"/>
  <c r="G76" i="3"/>
  <c r="A78" i="4"/>
  <c r="Z82" i="3"/>
  <c r="X82" i="3"/>
  <c r="E82" i="3"/>
  <c r="Y82" i="3"/>
  <c r="A81" i="4"/>
  <c r="E85" i="3"/>
  <c r="C85" i="3"/>
  <c r="X85" i="3"/>
  <c r="E98" i="4"/>
  <c r="D98" i="4"/>
  <c r="AE102" i="3"/>
  <c r="S102" i="3"/>
  <c r="O102" i="3"/>
  <c r="N102" i="3"/>
  <c r="M102" i="3"/>
  <c r="L102" i="3"/>
  <c r="K102" i="3"/>
  <c r="W102" i="3"/>
  <c r="H102" i="3"/>
  <c r="V102" i="3"/>
  <c r="U102" i="3"/>
  <c r="T102" i="3"/>
  <c r="R102" i="3"/>
  <c r="P102" i="3"/>
  <c r="AE107" i="3"/>
  <c r="M107" i="3"/>
  <c r="I107" i="3"/>
  <c r="E13" i="3"/>
  <c r="C15" i="3"/>
  <c r="B11" i="4" s="1"/>
  <c r="AA15" i="3"/>
  <c r="Y17" i="3"/>
  <c r="D20" i="3"/>
  <c r="Z22" i="3"/>
  <c r="E25" i="3"/>
  <c r="K25" i="4"/>
  <c r="Y29" i="3"/>
  <c r="D32" i="3"/>
  <c r="AB32" i="3"/>
  <c r="Z34" i="3"/>
  <c r="E37" i="3"/>
  <c r="C39" i="3"/>
  <c r="C37" i="4"/>
  <c r="B37" i="4"/>
  <c r="K37" i="4"/>
  <c r="G37" i="4"/>
  <c r="F37" i="4"/>
  <c r="H37" i="4" s="1"/>
  <c r="M41" i="3"/>
  <c r="Z41" i="3"/>
  <c r="Y42" i="3"/>
  <c r="H43" i="3"/>
  <c r="V43" i="3"/>
  <c r="E44" i="3"/>
  <c r="B48" i="3"/>
  <c r="D49" i="3"/>
  <c r="S49" i="3"/>
  <c r="C51" i="3"/>
  <c r="T51" i="3"/>
  <c r="E52" i="3"/>
  <c r="T52" i="3"/>
  <c r="X55" i="3"/>
  <c r="D58" i="3"/>
  <c r="Z58" i="3"/>
  <c r="J64" i="3"/>
  <c r="A61" i="4"/>
  <c r="G65" i="3"/>
  <c r="E65" i="3"/>
  <c r="D65" i="3"/>
  <c r="AB71" i="3"/>
  <c r="G79" i="3"/>
  <c r="AB80" i="3"/>
  <c r="B80" i="3"/>
  <c r="C82" i="3"/>
  <c r="G88" i="3"/>
  <c r="G91" i="3"/>
  <c r="A95" i="4"/>
  <c r="D99" i="3"/>
  <c r="X99" i="3"/>
  <c r="E99" i="3"/>
  <c r="C99" i="3"/>
  <c r="Y99" i="3"/>
  <c r="G99" i="3"/>
  <c r="F100" i="3"/>
  <c r="Y105" i="3"/>
  <c r="C10" i="3"/>
  <c r="B6" i="4" s="1"/>
  <c r="D15" i="3"/>
  <c r="C11" i="4" s="1"/>
  <c r="AB15" i="3"/>
  <c r="B17" i="3"/>
  <c r="Z17" i="3"/>
  <c r="G18" i="3"/>
  <c r="X19" i="3"/>
  <c r="E20" i="3"/>
  <c r="C22" i="3"/>
  <c r="G20" i="4"/>
  <c r="F20" i="4"/>
  <c r="H20" i="4" s="1"/>
  <c r="C20" i="4"/>
  <c r="B20" i="4"/>
  <c r="K20" i="4"/>
  <c r="Y24" i="3"/>
  <c r="D27" i="3"/>
  <c r="Z29" i="3"/>
  <c r="G30" i="3"/>
  <c r="X31" i="3"/>
  <c r="E32" i="3"/>
  <c r="C34" i="3"/>
  <c r="G32" i="4"/>
  <c r="F32" i="4"/>
  <c r="H32" i="4" s="1"/>
  <c r="C32" i="4"/>
  <c r="B32" i="4"/>
  <c r="K32" i="4"/>
  <c r="Y36" i="3"/>
  <c r="D39" i="3"/>
  <c r="B41" i="3"/>
  <c r="N41" i="3"/>
  <c r="AA41" i="3"/>
  <c r="Z42" i="3"/>
  <c r="I43" i="3"/>
  <c r="W43" i="3"/>
  <c r="X44" i="3"/>
  <c r="C46" i="3"/>
  <c r="E48" i="3"/>
  <c r="E49" i="3"/>
  <c r="V49" i="3"/>
  <c r="D51" i="3"/>
  <c r="V51" i="3"/>
  <c r="G54" i="3"/>
  <c r="Y54" i="3"/>
  <c r="Y55" i="3"/>
  <c r="G58" i="3"/>
  <c r="A56" i="4"/>
  <c r="G60" i="3"/>
  <c r="D60" i="3"/>
  <c r="C60" i="3"/>
  <c r="AD63" i="3"/>
  <c r="F63" i="3"/>
  <c r="M64" i="3"/>
  <c r="X65" i="3"/>
  <c r="AD68" i="3"/>
  <c r="C70" i="3"/>
  <c r="Y70" i="3"/>
  <c r="AD71" i="3"/>
  <c r="G73" i="3"/>
  <c r="A76" i="4"/>
  <c r="D80" i="3"/>
  <c r="Z80" i="3"/>
  <c r="G80" i="3"/>
  <c r="Y80" i="3"/>
  <c r="D82" i="3"/>
  <c r="D85" i="3"/>
  <c r="AC86" i="3"/>
  <c r="AB86" i="3"/>
  <c r="B86" i="3"/>
  <c r="D10" i="3"/>
  <c r="C6" i="4" s="1"/>
  <c r="G13" i="3"/>
  <c r="E15" i="3"/>
  <c r="C17" i="3"/>
  <c r="C15" i="4"/>
  <c r="B15" i="4"/>
  <c r="K15" i="4"/>
  <c r="G15" i="4"/>
  <c r="Y19" i="3"/>
  <c r="D22" i="3"/>
  <c r="Z24" i="3"/>
  <c r="G25" i="3"/>
  <c r="X26" i="3"/>
  <c r="E27" i="3"/>
  <c r="C29" i="3"/>
  <c r="C27" i="4"/>
  <c r="B27" i="4"/>
  <c r="K27" i="4"/>
  <c r="G27" i="4"/>
  <c r="F27" i="4"/>
  <c r="H27" i="4" s="1"/>
  <c r="Y31" i="3"/>
  <c r="D34" i="3"/>
  <c r="Z36" i="3"/>
  <c r="G37" i="3"/>
  <c r="X38" i="3"/>
  <c r="E39" i="3"/>
  <c r="C41" i="3"/>
  <c r="O41" i="3"/>
  <c r="AD41" i="3"/>
  <c r="J43" i="3"/>
  <c r="X43" i="3"/>
  <c r="Y44" i="3"/>
  <c r="D46" i="3"/>
  <c r="G48" i="3"/>
  <c r="X49" i="3"/>
  <c r="F50" i="3"/>
  <c r="E51" i="3"/>
  <c r="W51" i="3"/>
  <c r="G52" i="3"/>
  <c r="X53" i="3"/>
  <c r="Z54" i="3"/>
  <c r="J58" i="3"/>
  <c r="X60" i="3"/>
  <c r="P64" i="3"/>
  <c r="C65" i="3"/>
  <c r="Y65" i="3"/>
  <c r="A63" i="4"/>
  <c r="E67" i="3"/>
  <c r="C67" i="3"/>
  <c r="Z67" i="3"/>
  <c r="D70" i="3"/>
  <c r="Z70" i="3"/>
  <c r="C80" i="3"/>
  <c r="AA80" i="3"/>
  <c r="G82" i="3"/>
  <c r="G85" i="3"/>
  <c r="Y84" i="3"/>
  <c r="G92" i="4"/>
  <c r="C92" i="4"/>
  <c r="B92" i="4"/>
  <c r="F92" i="4"/>
  <c r="H92" i="4" s="1"/>
  <c r="K92" i="4"/>
  <c r="A99" i="4"/>
  <c r="X103" i="3"/>
  <c r="G103" i="3"/>
  <c r="A102" i="4"/>
  <c r="C106" i="3"/>
  <c r="AB107" i="3"/>
  <c r="AA107" i="3"/>
  <c r="F176" i="3"/>
  <c r="C46" i="4"/>
  <c r="B46" i="4"/>
  <c r="K46" i="4"/>
  <c r="G46" i="4"/>
  <c r="F46" i="4"/>
  <c r="H46" i="4" s="1"/>
  <c r="Y50" i="3"/>
  <c r="X57" i="3"/>
  <c r="B58" i="4"/>
  <c r="Y62" i="3"/>
  <c r="X69" i="3"/>
  <c r="B70" i="4"/>
  <c r="K70" i="4"/>
  <c r="G70" i="4"/>
  <c r="F70" i="4"/>
  <c r="H70" i="4" s="1"/>
  <c r="C70" i="4"/>
  <c r="Y74" i="3"/>
  <c r="D77" i="3"/>
  <c r="X81" i="3"/>
  <c r="C84" i="3"/>
  <c r="Y86" i="3"/>
  <c r="X93" i="3"/>
  <c r="AC94" i="3"/>
  <c r="AD96" i="3"/>
  <c r="G100" i="3"/>
  <c r="C103" i="3"/>
  <c r="D106" i="3"/>
  <c r="AD138" i="3"/>
  <c r="F138" i="3"/>
  <c r="AC138" i="3"/>
  <c r="AB138" i="3"/>
  <c r="AA138" i="3"/>
  <c r="B138" i="3"/>
  <c r="K41" i="4"/>
  <c r="B41" i="4"/>
  <c r="G41" i="4"/>
  <c r="F41" i="4"/>
  <c r="H41" i="4" s="1"/>
  <c r="C41" i="4"/>
  <c r="Y45" i="3"/>
  <c r="Z50" i="3"/>
  <c r="K53" i="4"/>
  <c r="C53" i="4"/>
  <c r="B53" i="4"/>
  <c r="G53" i="4"/>
  <c r="F53" i="4"/>
  <c r="H53" i="4" s="1"/>
  <c r="Y57" i="3"/>
  <c r="G63" i="3"/>
  <c r="K65" i="4"/>
  <c r="G65" i="4"/>
  <c r="F65" i="4"/>
  <c r="H65" i="4" s="1"/>
  <c r="C65" i="4"/>
  <c r="B65" i="4"/>
  <c r="Y69" i="3"/>
  <c r="G75" i="3"/>
  <c r="E77" i="3"/>
  <c r="K77" i="4"/>
  <c r="G77" i="4"/>
  <c r="F77" i="4"/>
  <c r="H77" i="4" s="1"/>
  <c r="C77" i="4"/>
  <c r="B77" i="4"/>
  <c r="Y81" i="3"/>
  <c r="D84" i="3"/>
  <c r="G87" i="3"/>
  <c r="K89" i="4"/>
  <c r="C89" i="4"/>
  <c r="B89" i="4"/>
  <c r="G89" i="4"/>
  <c r="F89" i="4"/>
  <c r="H89" i="4" s="1"/>
  <c r="Y93" i="3"/>
  <c r="F94" i="3"/>
  <c r="AD94" i="3"/>
  <c r="D103" i="3"/>
  <c r="E106" i="3"/>
  <c r="X106" i="3"/>
  <c r="AC107" i="3"/>
  <c r="AC112" i="3"/>
  <c r="F112" i="3"/>
  <c r="B112" i="3"/>
  <c r="AD112" i="3"/>
  <c r="AB112" i="3"/>
  <c r="A113" i="4"/>
  <c r="G117" i="3"/>
  <c r="Y117" i="3"/>
  <c r="C117" i="3"/>
  <c r="A371" i="4"/>
  <c r="Z375" i="3"/>
  <c r="Y375" i="3"/>
  <c r="X375" i="3"/>
  <c r="G375" i="3"/>
  <c r="E375" i="3"/>
  <c r="D375" i="3"/>
  <c r="C375" i="3"/>
  <c r="E103" i="3"/>
  <c r="G106" i="3"/>
  <c r="Y106" i="3"/>
  <c r="AD107" i="3"/>
  <c r="A108" i="4"/>
  <c r="G112" i="3"/>
  <c r="E112" i="3"/>
  <c r="Y112" i="3"/>
  <c r="D112" i="3"/>
  <c r="Z112" i="3"/>
  <c r="E139" i="4"/>
  <c r="D139" i="4"/>
  <c r="V143" i="3"/>
  <c r="J143" i="3"/>
  <c r="U143" i="3"/>
  <c r="I143" i="3"/>
  <c r="T143" i="3"/>
  <c r="H143" i="3"/>
  <c r="AE143" i="3"/>
  <c r="S143" i="3"/>
  <c r="R143" i="3"/>
  <c r="Q143" i="3"/>
  <c r="P143" i="3"/>
  <c r="W143" i="3"/>
  <c r="O143" i="3"/>
  <c r="N143" i="3"/>
  <c r="M143" i="3"/>
  <c r="G43" i="4"/>
  <c r="Y47" i="3"/>
  <c r="F55" i="4"/>
  <c r="H55" i="4" s="1"/>
  <c r="B55" i="4"/>
  <c r="K55" i="4"/>
  <c r="G55" i="4"/>
  <c r="C55" i="4"/>
  <c r="Y59" i="3"/>
  <c r="X66" i="3"/>
  <c r="F67" i="4"/>
  <c r="H67" i="4" s="1"/>
  <c r="B67" i="4"/>
  <c r="K67" i="4"/>
  <c r="G67" i="4"/>
  <c r="C67" i="4"/>
  <c r="Y71" i="3"/>
  <c r="G77" i="3"/>
  <c r="X78" i="3"/>
  <c r="C81" i="3"/>
  <c r="G79" i="4"/>
  <c r="Y83" i="3"/>
  <c r="C93" i="3"/>
  <c r="F91" i="4"/>
  <c r="H91" i="4" s="1"/>
  <c r="B91" i="4"/>
  <c r="K91" i="4"/>
  <c r="G91" i="4"/>
  <c r="C91" i="4"/>
  <c r="Y95" i="3"/>
  <c r="A94" i="4"/>
  <c r="G98" i="3"/>
  <c r="Y100" i="3"/>
  <c r="Z106" i="3"/>
  <c r="C112" i="3"/>
  <c r="AA112" i="3"/>
  <c r="D109" i="4"/>
  <c r="E109" i="4"/>
  <c r="L113" i="3"/>
  <c r="V113" i="3"/>
  <c r="J113" i="3"/>
  <c r="W113" i="3"/>
  <c r="H113" i="3"/>
  <c r="R113" i="3"/>
  <c r="AE113" i="3"/>
  <c r="Q113" i="3"/>
  <c r="O113" i="3"/>
  <c r="N113" i="3"/>
  <c r="M113" i="3"/>
  <c r="D117" i="3"/>
  <c r="K143" i="3"/>
  <c r="A151" i="4"/>
  <c r="G155" i="3"/>
  <c r="E155" i="3"/>
  <c r="D155" i="3"/>
  <c r="X155" i="3"/>
  <c r="Z155" i="3"/>
  <c r="Y155" i="3"/>
  <c r="C155" i="3"/>
  <c r="F62" i="4"/>
  <c r="H62" i="4" s="1"/>
  <c r="K62" i="4"/>
  <c r="G62" i="4"/>
  <c r="C62" i="4"/>
  <c r="B62" i="4"/>
  <c r="Y66" i="3"/>
  <c r="F74" i="4"/>
  <c r="H74" i="4" s="1"/>
  <c r="G74" i="4"/>
  <c r="C74" i="4"/>
  <c r="B74" i="4"/>
  <c r="K74" i="4"/>
  <c r="Y78" i="3"/>
  <c r="G84" i="3"/>
  <c r="F86" i="4"/>
  <c r="H86" i="4" s="1"/>
  <c r="B86" i="4"/>
  <c r="K86" i="4"/>
  <c r="G86" i="4"/>
  <c r="C86" i="4"/>
  <c r="Y90" i="3"/>
  <c r="D93" i="3"/>
  <c r="Z95" i="3"/>
  <c r="Y103" i="3"/>
  <c r="E117" i="3"/>
  <c r="L143" i="3"/>
  <c r="AD150" i="3"/>
  <c r="F150" i="3"/>
  <c r="AC150" i="3"/>
  <c r="AB150" i="3"/>
  <c r="AA150" i="3"/>
  <c r="B150" i="3"/>
  <c r="A122" i="4"/>
  <c r="G126" i="3"/>
  <c r="E126" i="3"/>
  <c r="D126" i="3"/>
  <c r="C126" i="3"/>
  <c r="Z126" i="3"/>
  <c r="Y126" i="3"/>
  <c r="X126" i="3"/>
  <c r="E125" i="4"/>
  <c r="D125" i="4"/>
  <c r="V129" i="3"/>
  <c r="J129" i="3"/>
  <c r="U129" i="3"/>
  <c r="I129" i="3"/>
  <c r="T129" i="3"/>
  <c r="H129" i="3"/>
  <c r="AE129" i="3"/>
  <c r="S129" i="3"/>
  <c r="R129" i="3"/>
  <c r="W129" i="3"/>
  <c r="Q129" i="3"/>
  <c r="P129" i="3"/>
  <c r="O129" i="3"/>
  <c r="N129" i="3"/>
  <c r="M129" i="3"/>
  <c r="L129" i="3"/>
  <c r="K129" i="3"/>
  <c r="F59" i="4"/>
  <c r="H59" i="4" s="1"/>
  <c r="C59" i="4"/>
  <c r="K59" i="4"/>
  <c r="G59" i="4"/>
  <c r="B59" i="4"/>
  <c r="Y63" i="3"/>
  <c r="D66" i="3"/>
  <c r="F71" i="4"/>
  <c r="H71" i="4" s="1"/>
  <c r="C71" i="4"/>
  <c r="B71" i="4"/>
  <c r="K71" i="4"/>
  <c r="G71" i="4"/>
  <c r="Y75" i="3"/>
  <c r="D78" i="3"/>
  <c r="F83" i="4"/>
  <c r="H83" i="4" s="1"/>
  <c r="C83" i="4"/>
  <c r="K83" i="4"/>
  <c r="G83" i="4"/>
  <c r="B83" i="4"/>
  <c r="Y87" i="3"/>
  <c r="A96" i="4"/>
  <c r="E100" i="3"/>
  <c r="A103" i="4"/>
  <c r="D107" i="3"/>
  <c r="C107" i="3"/>
  <c r="AB109" i="3"/>
  <c r="F109" i="3"/>
  <c r="AA109" i="3"/>
  <c r="B109" i="3"/>
  <c r="X117" i="3"/>
  <c r="F124" i="3"/>
  <c r="AB124" i="3"/>
  <c r="AA124" i="3"/>
  <c r="K90" i="4"/>
  <c r="G90" i="4"/>
  <c r="F90" i="4"/>
  <c r="H90" i="4" s="1"/>
  <c r="C90" i="4"/>
  <c r="B90" i="4"/>
  <c r="Y94" i="3"/>
  <c r="B107" i="3"/>
  <c r="AC109" i="3"/>
  <c r="Z117" i="3"/>
  <c r="D120" i="4"/>
  <c r="E120" i="4"/>
  <c r="U124" i="3"/>
  <c r="I124" i="3"/>
  <c r="T124" i="3"/>
  <c r="S124" i="3"/>
  <c r="W124" i="3"/>
  <c r="P124" i="3"/>
  <c r="O124" i="3"/>
  <c r="N124" i="3"/>
  <c r="M124" i="3"/>
  <c r="L124" i="3"/>
  <c r="G73" i="4"/>
  <c r="K73" i="4"/>
  <c r="F73" i="4"/>
  <c r="H73" i="4" s="1"/>
  <c r="C73" i="4"/>
  <c r="B73" i="4"/>
  <c r="Y77" i="3"/>
  <c r="X84" i="3"/>
  <c r="G85" i="4"/>
  <c r="K85" i="4"/>
  <c r="F85" i="4"/>
  <c r="H85" i="4" s="1"/>
  <c r="C85" i="4"/>
  <c r="B85" i="4"/>
  <c r="Y89" i="3"/>
  <c r="F90" i="3"/>
  <c r="Z94" i="3"/>
  <c r="G95" i="3"/>
  <c r="C100" i="3"/>
  <c r="A97" i="4"/>
  <c r="Z101" i="3"/>
  <c r="E107" i="3"/>
  <c r="AD109" i="3"/>
  <c r="I113" i="3"/>
  <c r="AC114" i="3"/>
  <c r="AA114" i="3"/>
  <c r="A115" i="4"/>
  <c r="G119" i="3"/>
  <c r="E119" i="3"/>
  <c r="D119" i="3"/>
  <c r="S133" i="3"/>
  <c r="Y150" i="3"/>
  <c r="AD157" i="3"/>
  <c r="F157" i="3"/>
  <c r="AC157" i="3"/>
  <c r="AB157" i="3"/>
  <c r="AA157" i="3"/>
  <c r="B157" i="3"/>
  <c r="AD237" i="3"/>
  <c r="F237" i="3"/>
  <c r="AC237" i="3"/>
  <c r="AB237" i="3"/>
  <c r="AA237" i="3"/>
  <c r="B237" i="3"/>
  <c r="Q114" i="3"/>
  <c r="AD119" i="3"/>
  <c r="F119" i="3"/>
  <c r="AC119" i="3"/>
  <c r="AB119" i="3"/>
  <c r="A127" i="4"/>
  <c r="G131" i="3"/>
  <c r="E131" i="3"/>
  <c r="D131" i="3"/>
  <c r="T133" i="3"/>
  <c r="AD145" i="3"/>
  <c r="F145" i="3"/>
  <c r="AC145" i="3"/>
  <c r="AB145" i="3"/>
  <c r="AA145" i="3"/>
  <c r="B145" i="3"/>
  <c r="E149" i="4"/>
  <c r="D149" i="4"/>
  <c r="L153" i="3"/>
  <c r="W153" i="3"/>
  <c r="K153" i="3"/>
  <c r="V153" i="3"/>
  <c r="J153" i="3"/>
  <c r="U153" i="3"/>
  <c r="I153" i="3"/>
  <c r="T153" i="3"/>
  <c r="H153" i="3"/>
  <c r="AE153" i="3"/>
  <c r="S153" i="3"/>
  <c r="R153" i="3"/>
  <c r="N153" i="3"/>
  <c r="E153" i="4"/>
  <c r="D153" i="4"/>
  <c r="T157" i="3"/>
  <c r="H157" i="3"/>
  <c r="AE157" i="3"/>
  <c r="S157" i="3"/>
  <c r="R157" i="3"/>
  <c r="Q157" i="3"/>
  <c r="P157" i="3"/>
  <c r="O157" i="3"/>
  <c r="N157" i="3"/>
  <c r="V157" i="3"/>
  <c r="J157" i="3"/>
  <c r="X162" i="3"/>
  <c r="AC166" i="3"/>
  <c r="F166" i="3"/>
  <c r="AD166" i="3"/>
  <c r="AB166" i="3"/>
  <c r="B166" i="3"/>
  <c r="AA166" i="3"/>
  <c r="D170" i="4"/>
  <c r="E170" i="4"/>
  <c r="W174" i="3"/>
  <c r="K174" i="3"/>
  <c r="V174" i="3"/>
  <c r="J174" i="3"/>
  <c r="U174" i="3"/>
  <c r="I174" i="3"/>
  <c r="T174" i="3"/>
  <c r="H174" i="3"/>
  <c r="R174" i="3"/>
  <c r="S174" i="3"/>
  <c r="Q174" i="3"/>
  <c r="P174" i="3"/>
  <c r="O174" i="3"/>
  <c r="N174" i="3"/>
  <c r="AE174" i="3"/>
  <c r="M174" i="3"/>
  <c r="A186" i="4"/>
  <c r="G190" i="3"/>
  <c r="E190" i="3"/>
  <c r="D190" i="3"/>
  <c r="C190" i="3"/>
  <c r="Z190" i="3"/>
  <c r="Y190" i="3"/>
  <c r="X190" i="3"/>
  <c r="AC228" i="3"/>
  <c r="AA228" i="3"/>
  <c r="AD484" i="3"/>
  <c r="AC484" i="3"/>
  <c r="AB484" i="3"/>
  <c r="A109" i="4"/>
  <c r="X113" i="3"/>
  <c r="E115" i="4"/>
  <c r="D115" i="4"/>
  <c r="T119" i="3"/>
  <c r="H119" i="3"/>
  <c r="AE119" i="3"/>
  <c r="S119" i="3"/>
  <c r="R119" i="3"/>
  <c r="Q119" i="3"/>
  <c r="P119" i="3"/>
  <c r="X131" i="3"/>
  <c r="U133" i="3"/>
  <c r="AC140" i="3"/>
  <c r="AB140" i="3"/>
  <c r="AA140" i="3"/>
  <c r="B140" i="3"/>
  <c r="E141" i="4"/>
  <c r="D141" i="4"/>
  <c r="T145" i="3"/>
  <c r="H145" i="3"/>
  <c r="AE145" i="3"/>
  <c r="S145" i="3"/>
  <c r="R145" i="3"/>
  <c r="Q145" i="3"/>
  <c r="P145" i="3"/>
  <c r="O145" i="3"/>
  <c r="N145" i="3"/>
  <c r="E162" i="4"/>
  <c r="D162" i="4"/>
  <c r="Q166" i="3"/>
  <c r="T166" i="3"/>
  <c r="S166" i="3"/>
  <c r="AE166" i="3"/>
  <c r="R166" i="3"/>
  <c r="P166" i="3"/>
  <c r="O166" i="3"/>
  <c r="N166" i="3"/>
  <c r="M166" i="3"/>
  <c r="V166" i="3"/>
  <c r="I166" i="3"/>
  <c r="A174" i="4"/>
  <c r="G178" i="3"/>
  <c r="E178" i="3"/>
  <c r="D178" i="3"/>
  <c r="C178" i="3"/>
  <c r="Z178" i="3"/>
  <c r="AD188" i="3"/>
  <c r="F188" i="3"/>
  <c r="AC188" i="3"/>
  <c r="AB188" i="3"/>
  <c r="B188" i="3"/>
  <c r="AA188" i="3"/>
  <c r="E224" i="4"/>
  <c r="D224" i="4"/>
  <c r="T228" i="3"/>
  <c r="H228" i="3"/>
  <c r="AE228" i="3"/>
  <c r="S228" i="3"/>
  <c r="R228" i="3"/>
  <c r="Q228" i="3"/>
  <c r="P228" i="3"/>
  <c r="W228" i="3"/>
  <c r="V228" i="3"/>
  <c r="U228" i="3"/>
  <c r="O228" i="3"/>
  <c r="N228" i="3"/>
  <c r="M228" i="3"/>
  <c r="L228" i="3"/>
  <c r="K228" i="3"/>
  <c r="J228" i="3"/>
  <c r="D350" i="4"/>
  <c r="E350" i="4"/>
  <c r="N354" i="3"/>
  <c r="T354" i="3"/>
  <c r="S354" i="3"/>
  <c r="AE354" i="3"/>
  <c r="R354" i="3"/>
  <c r="Q354" i="3"/>
  <c r="P354" i="3"/>
  <c r="O354" i="3"/>
  <c r="M354" i="3"/>
  <c r="L354" i="3"/>
  <c r="K354" i="3"/>
  <c r="W354" i="3"/>
  <c r="V354" i="3"/>
  <c r="U354" i="3"/>
  <c r="J354" i="3"/>
  <c r="I354" i="3"/>
  <c r="AC116" i="3"/>
  <c r="AB116" i="3"/>
  <c r="AA116" i="3"/>
  <c r="A117" i="4"/>
  <c r="E121" i="3"/>
  <c r="D121" i="3"/>
  <c r="C121" i="3"/>
  <c r="Z121" i="3"/>
  <c r="A123" i="4"/>
  <c r="X127" i="3"/>
  <c r="C131" i="3"/>
  <c r="Y131" i="3"/>
  <c r="V133" i="3"/>
  <c r="A134" i="4"/>
  <c r="G138" i="3"/>
  <c r="E138" i="3"/>
  <c r="D138" i="3"/>
  <c r="C138" i="3"/>
  <c r="Y138" i="3"/>
  <c r="A146" i="4"/>
  <c r="G150" i="3"/>
  <c r="E150" i="3"/>
  <c r="D150" i="3"/>
  <c r="C150" i="3"/>
  <c r="AD164" i="3"/>
  <c r="F164" i="3"/>
  <c r="AC164" i="3"/>
  <c r="AA164" i="3"/>
  <c r="B164" i="3"/>
  <c r="E196" i="4"/>
  <c r="D196" i="4"/>
  <c r="L200" i="3"/>
  <c r="W200" i="3"/>
  <c r="K200" i="3"/>
  <c r="V200" i="3"/>
  <c r="J200" i="3"/>
  <c r="U200" i="3"/>
  <c r="I200" i="3"/>
  <c r="T200" i="3"/>
  <c r="H200" i="3"/>
  <c r="AE200" i="3"/>
  <c r="S200" i="3"/>
  <c r="R200" i="3"/>
  <c r="Q200" i="3"/>
  <c r="P200" i="3"/>
  <c r="N200" i="3"/>
  <c r="AD202" i="3"/>
  <c r="F202" i="3"/>
  <c r="AC202" i="3"/>
  <c r="AB202" i="3"/>
  <c r="AA202" i="3"/>
  <c r="B202" i="3"/>
  <c r="D252" i="4"/>
  <c r="H354" i="3"/>
  <c r="A105" i="4"/>
  <c r="Z109" i="3"/>
  <c r="Y109" i="3"/>
  <c r="C113" i="3"/>
  <c r="N114" i="3"/>
  <c r="AD114" i="3"/>
  <c r="J119" i="3"/>
  <c r="AA119" i="3"/>
  <c r="G121" i="3"/>
  <c r="X121" i="3"/>
  <c r="AC128" i="3"/>
  <c r="AB128" i="3"/>
  <c r="AA128" i="3"/>
  <c r="B128" i="3"/>
  <c r="Z131" i="3"/>
  <c r="A129" i="4"/>
  <c r="E133" i="3"/>
  <c r="D133" i="3"/>
  <c r="C133" i="3"/>
  <c r="Z133" i="3"/>
  <c r="Z138" i="3"/>
  <c r="AD140" i="3"/>
  <c r="X143" i="3"/>
  <c r="A141" i="4"/>
  <c r="G145" i="3"/>
  <c r="E145" i="3"/>
  <c r="D145" i="3"/>
  <c r="C145" i="3"/>
  <c r="Z145" i="3"/>
  <c r="O148" i="3"/>
  <c r="I171" i="3"/>
  <c r="A236" i="4"/>
  <c r="G240" i="3"/>
  <c r="E240" i="3"/>
  <c r="D240" i="3"/>
  <c r="Z240" i="3"/>
  <c r="Y240" i="3"/>
  <c r="X240" i="3"/>
  <c r="C240" i="3"/>
  <c r="C100" i="4"/>
  <c r="K100" i="4"/>
  <c r="G100" i="4"/>
  <c r="F100" i="4"/>
  <c r="H100" i="4" s="1"/>
  <c r="B100" i="4"/>
  <c r="Y104" i="3"/>
  <c r="I110" i="3"/>
  <c r="AE110" i="3"/>
  <c r="D113" i="3"/>
  <c r="A110" i="4"/>
  <c r="E114" i="3"/>
  <c r="C114" i="3"/>
  <c r="AD116" i="3"/>
  <c r="K119" i="3"/>
  <c r="Y121" i="3"/>
  <c r="C127" i="3"/>
  <c r="Y127" i="3"/>
  <c r="G133" i="3"/>
  <c r="X133" i="3"/>
  <c r="A132" i="4"/>
  <c r="G136" i="3"/>
  <c r="E136" i="3"/>
  <c r="Y136" i="3"/>
  <c r="A135" i="4"/>
  <c r="Z139" i="3"/>
  <c r="X139" i="3"/>
  <c r="Y139" i="3"/>
  <c r="A137" i="4"/>
  <c r="X141" i="3"/>
  <c r="G141" i="3"/>
  <c r="Y141" i="3"/>
  <c r="I145" i="3"/>
  <c r="A149" i="4"/>
  <c r="X153" i="3"/>
  <c r="G153" i="3"/>
  <c r="Z153" i="3"/>
  <c r="A153" i="4"/>
  <c r="G157" i="3"/>
  <c r="E157" i="3"/>
  <c r="D157" i="3"/>
  <c r="C157" i="3"/>
  <c r="Z157" i="3"/>
  <c r="A161" i="4"/>
  <c r="X165" i="3"/>
  <c r="Y165" i="3"/>
  <c r="G165" i="3"/>
  <c r="X178" i="3"/>
  <c r="AD185" i="3"/>
  <c r="F185" i="3"/>
  <c r="AC185" i="3"/>
  <c r="AB185" i="3"/>
  <c r="AA185" i="3"/>
  <c r="B185" i="3"/>
  <c r="E129" i="4"/>
  <c r="D129" i="4"/>
  <c r="R133" i="3"/>
  <c r="Q133" i="3"/>
  <c r="P133" i="3"/>
  <c r="O133" i="3"/>
  <c r="N133" i="3"/>
  <c r="AD148" i="3"/>
  <c r="F148" i="3"/>
  <c r="AC148" i="3"/>
  <c r="A158" i="4"/>
  <c r="G162" i="3"/>
  <c r="E162" i="3"/>
  <c r="D162" i="3"/>
  <c r="C162" i="3"/>
  <c r="AC171" i="3"/>
  <c r="AA171" i="3"/>
  <c r="AB171" i="3"/>
  <c r="A172" i="4"/>
  <c r="G176" i="3"/>
  <c r="D176" i="3"/>
  <c r="Z176" i="3"/>
  <c r="E176" i="3"/>
  <c r="Y178" i="3"/>
  <c r="A118" i="4"/>
  <c r="G122" i="3"/>
  <c r="I133" i="3"/>
  <c r="AE133" i="3"/>
  <c r="A139" i="4"/>
  <c r="G143" i="3"/>
  <c r="E143" i="3"/>
  <c r="D143" i="3"/>
  <c r="K145" i="3"/>
  <c r="E144" i="4"/>
  <c r="D144" i="4"/>
  <c r="W148" i="3"/>
  <c r="K148" i="3"/>
  <c r="V148" i="3"/>
  <c r="J148" i="3"/>
  <c r="U148" i="3"/>
  <c r="I148" i="3"/>
  <c r="T148" i="3"/>
  <c r="H148" i="3"/>
  <c r="AE148" i="3"/>
  <c r="S148" i="3"/>
  <c r="R148" i="3"/>
  <c r="Q148" i="3"/>
  <c r="K157" i="3"/>
  <c r="H166" i="3"/>
  <c r="E167" i="4"/>
  <c r="D167" i="4"/>
  <c r="T171" i="3"/>
  <c r="H171" i="3"/>
  <c r="AE171" i="3"/>
  <c r="S171" i="3"/>
  <c r="R171" i="3"/>
  <c r="Q171" i="3"/>
  <c r="O171" i="3"/>
  <c r="U171" i="3"/>
  <c r="P171" i="3"/>
  <c r="N171" i="3"/>
  <c r="M171" i="3"/>
  <c r="L171" i="3"/>
  <c r="K171" i="3"/>
  <c r="J171" i="3"/>
  <c r="W171" i="3"/>
  <c r="AD186" i="3"/>
  <c r="F186" i="3"/>
  <c r="AC186" i="3"/>
  <c r="AB186" i="3"/>
  <c r="AA186" i="3"/>
  <c r="B186" i="3"/>
  <c r="X122" i="3"/>
  <c r="A125" i="4"/>
  <c r="G129" i="3"/>
  <c r="J133" i="3"/>
  <c r="J166" i="3"/>
  <c r="A177" i="4"/>
  <c r="G181" i="3"/>
  <c r="E181" i="3"/>
  <c r="D181" i="3"/>
  <c r="X181" i="3"/>
  <c r="A179" i="4"/>
  <c r="G183" i="3"/>
  <c r="E183" i="3"/>
  <c r="D183" i="3"/>
  <c r="C183" i="3"/>
  <c r="Z183" i="3"/>
  <c r="AD195" i="3"/>
  <c r="F195" i="3"/>
  <c r="AC195" i="3"/>
  <c r="AB195" i="3"/>
  <c r="AA195" i="3"/>
  <c r="Y96" i="3"/>
  <c r="E104" i="3"/>
  <c r="G104" i="4"/>
  <c r="C104" i="4"/>
  <c r="B104" i="4"/>
  <c r="K104" i="4"/>
  <c r="F104" i="4"/>
  <c r="H104" i="4" s="1"/>
  <c r="Y108" i="3"/>
  <c r="A106" i="4"/>
  <c r="G110" i="3"/>
  <c r="G114" i="3"/>
  <c r="O119" i="3"/>
  <c r="C122" i="3"/>
  <c r="Y122" i="3"/>
  <c r="A120" i="4"/>
  <c r="G124" i="3"/>
  <c r="E124" i="3"/>
  <c r="G127" i="3"/>
  <c r="X129" i="3"/>
  <c r="K133" i="3"/>
  <c r="E141" i="3"/>
  <c r="C143" i="3"/>
  <c r="M145" i="3"/>
  <c r="A144" i="4"/>
  <c r="G148" i="3"/>
  <c r="E148" i="3"/>
  <c r="AA148" i="3"/>
  <c r="M153" i="3"/>
  <c r="M157" i="3"/>
  <c r="K166" i="3"/>
  <c r="AD197" i="3"/>
  <c r="F197" i="3"/>
  <c r="AC197" i="3"/>
  <c r="AB197" i="3"/>
  <c r="AA197" i="3"/>
  <c r="B197" i="3"/>
  <c r="C156" i="4"/>
  <c r="B156" i="4"/>
  <c r="K156" i="4"/>
  <c r="F156" i="4"/>
  <c r="H156" i="4" s="1"/>
  <c r="G156" i="4"/>
  <c r="Y160" i="3"/>
  <c r="A164" i="4"/>
  <c r="C168" i="3"/>
  <c r="Z168" i="3"/>
  <c r="X168" i="3"/>
  <c r="A165" i="4"/>
  <c r="G169" i="3"/>
  <c r="E169" i="3"/>
  <c r="A167" i="4"/>
  <c r="G171" i="3"/>
  <c r="E171" i="3"/>
  <c r="C171" i="3"/>
  <c r="Q202" i="3"/>
  <c r="N202" i="3"/>
  <c r="AA311" i="3"/>
  <c r="B311" i="3"/>
  <c r="AD311" i="3"/>
  <c r="AC311" i="3"/>
  <c r="AB311" i="3"/>
  <c r="F311" i="3"/>
  <c r="G112" i="4"/>
  <c r="F112" i="4"/>
  <c r="H112" i="4" s="1"/>
  <c r="C112" i="4"/>
  <c r="B112" i="4"/>
  <c r="K112" i="4"/>
  <c r="Y116" i="3"/>
  <c r="X123" i="3"/>
  <c r="K124" i="4"/>
  <c r="Y128" i="3"/>
  <c r="G134" i="3"/>
  <c r="X135" i="3"/>
  <c r="G136" i="4"/>
  <c r="F136" i="4"/>
  <c r="H136" i="4" s="1"/>
  <c r="C136" i="4"/>
  <c r="B136" i="4"/>
  <c r="K136" i="4"/>
  <c r="Y140" i="3"/>
  <c r="G146" i="3"/>
  <c r="X147" i="3"/>
  <c r="K148" i="4"/>
  <c r="Y152" i="3"/>
  <c r="G158" i="3"/>
  <c r="X159" i="3"/>
  <c r="E160" i="3"/>
  <c r="G160" i="4"/>
  <c r="F160" i="4"/>
  <c r="H160" i="4" s="1"/>
  <c r="C160" i="4"/>
  <c r="B160" i="4"/>
  <c r="K160" i="4"/>
  <c r="Y164" i="3"/>
  <c r="A175" i="4"/>
  <c r="X179" i="3"/>
  <c r="G179" i="3"/>
  <c r="Y179" i="3"/>
  <c r="Y195" i="3"/>
  <c r="A214" i="4"/>
  <c r="D218" i="3"/>
  <c r="Z218" i="3"/>
  <c r="Y218" i="3"/>
  <c r="X218" i="3"/>
  <c r="G218" i="3"/>
  <c r="AA334" i="3"/>
  <c r="AD334" i="3"/>
  <c r="F334" i="3"/>
  <c r="AC334" i="3"/>
  <c r="AB334" i="3"/>
  <c r="B334" i="3"/>
  <c r="B119" i="4"/>
  <c r="K119" i="4"/>
  <c r="G119" i="4"/>
  <c r="C119" i="4"/>
  <c r="F119" i="4"/>
  <c r="H119" i="4" s="1"/>
  <c r="Y123" i="3"/>
  <c r="B131" i="4"/>
  <c r="K131" i="4"/>
  <c r="G131" i="4"/>
  <c r="F131" i="4"/>
  <c r="H131" i="4" s="1"/>
  <c r="C131" i="4"/>
  <c r="Y135" i="3"/>
  <c r="B143" i="4"/>
  <c r="K143" i="4"/>
  <c r="G143" i="4"/>
  <c r="F143" i="4"/>
  <c r="H143" i="4" s="1"/>
  <c r="C143" i="4"/>
  <c r="Y147" i="3"/>
  <c r="B155" i="4"/>
  <c r="K155" i="4"/>
  <c r="G155" i="4"/>
  <c r="F155" i="4"/>
  <c r="H155" i="4" s="1"/>
  <c r="C155" i="4"/>
  <c r="Y159" i="3"/>
  <c r="A162" i="4"/>
  <c r="E166" i="3"/>
  <c r="X167" i="3"/>
  <c r="G168" i="3"/>
  <c r="X169" i="3"/>
  <c r="A182" i="4"/>
  <c r="G186" i="3"/>
  <c r="Y186" i="3"/>
  <c r="A184" i="4"/>
  <c r="G188" i="3"/>
  <c r="E188" i="3"/>
  <c r="D188" i="3"/>
  <c r="AB225" i="3"/>
  <c r="C116" i="3"/>
  <c r="K114" i="4"/>
  <c r="F114" i="4"/>
  <c r="H114" i="4" s="1"/>
  <c r="B114" i="4"/>
  <c r="G114" i="4"/>
  <c r="C114" i="4"/>
  <c r="Y118" i="3"/>
  <c r="Z123" i="3"/>
  <c r="X125" i="3"/>
  <c r="C128" i="3"/>
  <c r="G126" i="4"/>
  <c r="F126" i="4"/>
  <c r="H126" i="4" s="1"/>
  <c r="C126" i="4"/>
  <c r="B126" i="4"/>
  <c r="K126" i="4"/>
  <c r="Y130" i="3"/>
  <c r="Z135" i="3"/>
  <c r="X137" i="3"/>
  <c r="C140" i="3"/>
  <c r="G138" i="4"/>
  <c r="F138" i="4"/>
  <c r="H138" i="4" s="1"/>
  <c r="C138" i="4"/>
  <c r="B138" i="4"/>
  <c r="K138" i="4"/>
  <c r="Y142" i="3"/>
  <c r="Z147" i="3"/>
  <c r="X149" i="3"/>
  <c r="C152" i="3"/>
  <c r="G150" i="4"/>
  <c r="F150" i="4"/>
  <c r="H150" i="4" s="1"/>
  <c r="C150" i="4"/>
  <c r="B150" i="4"/>
  <c r="K150" i="4"/>
  <c r="Y154" i="3"/>
  <c r="Z159" i="3"/>
  <c r="G160" i="3"/>
  <c r="X161" i="3"/>
  <c r="C164" i="3"/>
  <c r="Y167" i="3"/>
  <c r="Y169" i="3"/>
  <c r="C179" i="3"/>
  <c r="Z186" i="3"/>
  <c r="A198" i="4"/>
  <c r="G202" i="3"/>
  <c r="E202" i="3"/>
  <c r="D202" i="3"/>
  <c r="C202" i="3"/>
  <c r="Z202" i="3"/>
  <c r="D206" i="4"/>
  <c r="E206" i="4"/>
  <c r="L210" i="3"/>
  <c r="V210" i="3"/>
  <c r="J210" i="3"/>
  <c r="W210" i="3"/>
  <c r="H210" i="3"/>
  <c r="U210" i="3"/>
  <c r="T210" i="3"/>
  <c r="S210" i="3"/>
  <c r="R210" i="3"/>
  <c r="AE210" i="3"/>
  <c r="Q210" i="3"/>
  <c r="P210" i="3"/>
  <c r="O210" i="3"/>
  <c r="N210" i="3"/>
  <c r="E218" i="3"/>
  <c r="E220" i="4"/>
  <c r="D220" i="4"/>
  <c r="L224" i="3"/>
  <c r="V224" i="3"/>
  <c r="J224" i="3"/>
  <c r="U224" i="3"/>
  <c r="I224" i="3"/>
  <c r="T224" i="3"/>
  <c r="H224" i="3"/>
  <c r="W224" i="3"/>
  <c r="S224" i="3"/>
  <c r="R224" i="3"/>
  <c r="Q224" i="3"/>
  <c r="P224" i="3"/>
  <c r="AE224" i="3"/>
  <c r="O224" i="3"/>
  <c r="N224" i="3"/>
  <c r="M224" i="3"/>
  <c r="K224" i="3"/>
  <c r="C123" i="3"/>
  <c r="C121" i="4"/>
  <c r="K121" i="4"/>
  <c r="G121" i="4"/>
  <c r="F121" i="4"/>
  <c r="H121" i="4" s="1"/>
  <c r="B121" i="4"/>
  <c r="Y125" i="3"/>
  <c r="B130" i="3"/>
  <c r="C135" i="3"/>
  <c r="C133" i="4"/>
  <c r="B133" i="4"/>
  <c r="K133" i="4"/>
  <c r="F133" i="4"/>
  <c r="H133" i="4" s="1"/>
  <c r="G133" i="4"/>
  <c r="Y137" i="3"/>
  <c r="B142" i="3"/>
  <c r="C147" i="3"/>
  <c r="C145" i="4"/>
  <c r="B145" i="4"/>
  <c r="K145" i="4"/>
  <c r="G145" i="4"/>
  <c r="F145" i="4"/>
  <c r="H145" i="4" s="1"/>
  <c r="Y149" i="3"/>
  <c r="B154" i="3"/>
  <c r="C159" i="3"/>
  <c r="C157" i="4"/>
  <c r="B157" i="4"/>
  <c r="K157" i="4"/>
  <c r="F157" i="4"/>
  <c r="H157" i="4" s="1"/>
  <c r="G157" i="4"/>
  <c r="Y161" i="3"/>
  <c r="D164" i="3"/>
  <c r="C166" i="3"/>
  <c r="Z167" i="3"/>
  <c r="Y168" i="3"/>
  <c r="Z169" i="3"/>
  <c r="D179" i="3"/>
  <c r="C186" i="3"/>
  <c r="C188" i="3"/>
  <c r="K202" i="3"/>
  <c r="A204" i="4"/>
  <c r="Z208" i="3"/>
  <c r="X208" i="3"/>
  <c r="Y208" i="3"/>
  <c r="G208" i="3"/>
  <c r="E208" i="3"/>
  <c r="D208" i="3"/>
  <c r="A212" i="4"/>
  <c r="D216" i="3"/>
  <c r="Z216" i="3"/>
  <c r="Y216" i="3"/>
  <c r="X216" i="3"/>
  <c r="G216" i="3"/>
  <c r="E216" i="3"/>
  <c r="A219" i="4"/>
  <c r="G223" i="3"/>
  <c r="E223" i="3"/>
  <c r="D223" i="3"/>
  <c r="C223" i="3"/>
  <c r="Z223" i="3"/>
  <c r="Y223" i="3"/>
  <c r="X223" i="3"/>
  <c r="E272" i="4"/>
  <c r="D272" i="4"/>
  <c r="U276" i="3"/>
  <c r="I276" i="3"/>
  <c r="Q276" i="3"/>
  <c r="P276" i="3"/>
  <c r="O276" i="3"/>
  <c r="N276" i="3"/>
  <c r="W276" i="3"/>
  <c r="V276" i="3"/>
  <c r="T276" i="3"/>
  <c r="S276" i="3"/>
  <c r="R276" i="3"/>
  <c r="M276" i="3"/>
  <c r="L276" i="3"/>
  <c r="K276" i="3"/>
  <c r="AE276" i="3"/>
  <c r="K116" i="4"/>
  <c r="C116" i="4"/>
  <c r="B116" i="4"/>
  <c r="G116" i="4"/>
  <c r="F116" i="4"/>
  <c r="H116" i="4" s="1"/>
  <c r="Y120" i="3"/>
  <c r="D123" i="3"/>
  <c r="Z125" i="3"/>
  <c r="K128" i="4"/>
  <c r="G128" i="4"/>
  <c r="F128" i="4"/>
  <c r="H128" i="4" s="1"/>
  <c r="C128" i="4"/>
  <c r="B128" i="4"/>
  <c r="Y132" i="3"/>
  <c r="D135" i="3"/>
  <c r="Z137" i="3"/>
  <c r="K140" i="4"/>
  <c r="G140" i="4"/>
  <c r="F140" i="4"/>
  <c r="H140" i="4" s="1"/>
  <c r="C140" i="4"/>
  <c r="B140" i="4"/>
  <c r="Y144" i="3"/>
  <c r="D147" i="3"/>
  <c r="Z149" i="3"/>
  <c r="X151" i="3"/>
  <c r="K152" i="4"/>
  <c r="G152" i="4"/>
  <c r="F152" i="4"/>
  <c r="H152" i="4" s="1"/>
  <c r="C152" i="4"/>
  <c r="B152" i="4"/>
  <c r="Y156" i="3"/>
  <c r="D159" i="3"/>
  <c r="Z161" i="3"/>
  <c r="X163" i="3"/>
  <c r="E164" i="3"/>
  <c r="D166" i="3"/>
  <c r="E179" i="3"/>
  <c r="D186" i="3"/>
  <c r="A196" i="4"/>
  <c r="X200" i="3"/>
  <c r="G200" i="3"/>
  <c r="E200" i="3"/>
  <c r="D200" i="3"/>
  <c r="C208" i="3"/>
  <c r="E251" i="4"/>
  <c r="D251" i="4"/>
  <c r="L255" i="3"/>
  <c r="AE255" i="3"/>
  <c r="S255" i="3"/>
  <c r="W255" i="3"/>
  <c r="I255" i="3"/>
  <c r="V255" i="3"/>
  <c r="H255" i="3"/>
  <c r="U255" i="3"/>
  <c r="T255" i="3"/>
  <c r="R255" i="3"/>
  <c r="Q255" i="3"/>
  <c r="P255" i="3"/>
  <c r="O255" i="3"/>
  <c r="N255" i="3"/>
  <c r="M255" i="3"/>
  <c r="K255" i="3"/>
  <c r="J255" i="3"/>
  <c r="E301" i="4"/>
  <c r="D301" i="4"/>
  <c r="N305" i="3"/>
  <c r="K305" i="3"/>
  <c r="W305" i="3"/>
  <c r="J305" i="3"/>
  <c r="V305" i="3"/>
  <c r="I305" i="3"/>
  <c r="U305" i="3"/>
  <c r="H305" i="3"/>
  <c r="T305" i="3"/>
  <c r="S305" i="3"/>
  <c r="AE305" i="3"/>
  <c r="R305" i="3"/>
  <c r="Q305" i="3"/>
  <c r="O305" i="3"/>
  <c r="M305" i="3"/>
  <c r="L305" i="3"/>
  <c r="F147" i="4"/>
  <c r="H147" i="4" s="1"/>
  <c r="Y151" i="3"/>
  <c r="F159" i="4"/>
  <c r="H159" i="4" s="1"/>
  <c r="C159" i="4"/>
  <c r="B159" i="4"/>
  <c r="K159" i="4"/>
  <c r="G159" i="4"/>
  <c r="Y163" i="3"/>
  <c r="G163" i="4"/>
  <c r="F163" i="4"/>
  <c r="H163" i="4" s="1"/>
  <c r="C163" i="4"/>
  <c r="K163" i="4"/>
  <c r="B163" i="4"/>
  <c r="C170" i="4"/>
  <c r="K170" i="4"/>
  <c r="G170" i="4"/>
  <c r="F170" i="4"/>
  <c r="H170" i="4" s="1"/>
  <c r="B170" i="4"/>
  <c r="AB175" i="3"/>
  <c r="AA175" i="3"/>
  <c r="B175" i="3"/>
  <c r="M202" i="3"/>
  <c r="AD235" i="3"/>
  <c r="F235" i="3"/>
  <c r="AC235" i="3"/>
  <c r="AB235" i="3"/>
  <c r="AA235" i="3"/>
  <c r="AD242" i="3"/>
  <c r="F242" i="3"/>
  <c r="AC242" i="3"/>
  <c r="AB242" i="3"/>
  <c r="AA242" i="3"/>
  <c r="B242" i="3"/>
  <c r="K130" i="4"/>
  <c r="G130" i="4"/>
  <c r="F130" i="4"/>
  <c r="H130" i="4" s="1"/>
  <c r="C130" i="4"/>
  <c r="B130" i="4"/>
  <c r="Y134" i="3"/>
  <c r="K142" i="4"/>
  <c r="G142" i="4"/>
  <c r="F142" i="4"/>
  <c r="H142" i="4" s="1"/>
  <c r="C142" i="4"/>
  <c r="B142" i="4"/>
  <c r="Y146" i="3"/>
  <c r="Z151" i="3"/>
  <c r="Y158" i="3"/>
  <c r="Z163" i="3"/>
  <c r="X174" i="3"/>
  <c r="AC175" i="3"/>
  <c r="A191" i="4"/>
  <c r="G195" i="3"/>
  <c r="E195" i="3"/>
  <c r="D195" i="3"/>
  <c r="C195" i="3"/>
  <c r="W202" i="3"/>
  <c r="AC211" i="3"/>
  <c r="AA211" i="3"/>
  <c r="F211" i="3"/>
  <c r="B211" i="3"/>
  <c r="AD211" i="3"/>
  <c r="AB211" i="3"/>
  <c r="A226" i="4"/>
  <c r="E230" i="3"/>
  <c r="D230" i="3"/>
  <c r="C230" i="3"/>
  <c r="Z230" i="3"/>
  <c r="Y230" i="3"/>
  <c r="X230" i="3"/>
  <c r="G230" i="3"/>
  <c r="M235" i="3"/>
  <c r="C169" i="4"/>
  <c r="G169" i="4"/>
  <c r="Y173" i="3"/>
  <c r="X180" i="3"/>
  <c r="C181" i="4"/>
  <c r="B181" i="4"/>
  <c r="F181" i="4"/>
  <c r="H181" i="4" s="1"/>
  <c r="K181" i="4"/>
  <c r="G181" i="4"/>
  <c r="Y185" i="3"/>
  <c r="G191" i="3"/>
  <c r="X192" i="3"/>
  <c r="E193" i="3"/>
  <c r="C193" i="4"/>
  <c r="B193" i="4"/>
  <c r="K193" i="4"/>
  <c r="G193" i="4"/>
  <c r="F193" i="4"/>
  <c r="H193" i="4" s="1"/>
  <c r="Y197" i="3"/>
  <c r="F198" i="3"/>
  <c r="G203" i="3"/>
  <c r="X204" i="3"/>
  <c r="E205" i="3"/>
  <c r="E207" i="3"/>
  <c r="A205" i="4"/>
  <c r="G209" i="3"/>
  <c r="E209" i="3"/>
  <c r="D207" i="4"/>
  <c r="E208" i="4"/>
  <c r="D208" i="4"/>
  <c r="V212" i="3"/>
  <c r="J212" i="3"/>
  <c r="T212" i="3"/>
  <c r="H212" i="3"/>
  <c r="E214" i="3"/>
  <c r="X219" i="3"/>
  <c r="M221" i="3"/>
  <c r="A218" i="4"/>
  <c r="Z222" i="3"/>
  <c r="X222" i="3"/>
  <c r="G232" i="4"/>
  <c r="F232" i="4"/>
  <c r="H232" i="4" s="1"/>
  <c r="C232" i="4"/>
  <c r="B232" i="4"/>
  <c r="K232" i="4"/>
  <c r="A234" i="4"/>
  <c r="Y238" i="3"/>
  <c r="X238" i="3"/>
  <c r="G238" i="3"/>
  <c r="E238" i="4"/>
  <c r="D238" i="4"/>
  <c r="U242" i="3"/>
  <c r="I242" i="3"/>
  <c r="T242" i="3"/>
  <c r="H242" i="3"/>
  <c r="AE242" i="3"/>
  <c r="S242" i="3"/>
  <c r="R242" i="3"/>
  <c r="Q242" i="3"/>
  <c r="P242" i="3"/>
  <c r="O242" i="3"/>
  <c r="N242" i="3"/>
  <c r="A249" i="4"/>
  <c r="Z253" i="3"/>
  <c r="Y253" i="3"/>
  <c r="X253" i="3"/>
  <c r="G253" i="3"/>
  <c r="E253" i="3"/>
  <c r="D253" i="3"/>
  <c r="E314" i="4"/>
  <c r="D314" i="4"/>
  <c r="AE318" i="3"/>
  <c r="S318" i="3"/>
  <c r="O318" i="3"/>
  <c r="N318" i="3"/>
  <c r="V318" i="3"/>
  <c r="U318" i="3"/>
  <c r="T318" i="3"/>
  <c r="R318" i="3"/>
  <c r="Q318" i="3"/>
  <c r="P318" i="3"/>
  <c r="M318" i="3"/>
  <c r="L318" i="3"/>
  <c r="W318" i="3"/>
  <c r="K318" i="3"/>
  <c r="J318" i="3"/>
  <c r="I318" i="3"/>
  <c r="H318" i="3"/>
  <c r="C176" i="4"/>
  <c r="B176" i="4"/>
  <c r="K176" i="4"/>
  <c r="G176" i="4"/>
  <c r="F176" i="4"/>
  <c r="H176" i="4" s="1"/>
  <c r="Y180" i="3"/>
  <c r="B188" i="4"/>
  <c r="K188" i="4"/>
  <c r="G188" i="4"/>
  <c r="F188" i="4"/>
  <c r="H188" i="4" s="1"/>
  <c r="C188" i="4"/>
  <c r="Y192" i="3"/>
  <c r="G198" i="3"/>
  <c r="G200" i="4"/>
  <c r="K200" i="4"/>
  <c r="F200" i="4"/>
  <c r="H200" i="4" s="1"/>
  <c r="C200" i="4"/>
  <c r="B200" i="4"/>
  <c r="Y204" i="3"/>
  <c r="A206" i="4"/>
  <c r="X210" i="3"/>
  <c r="X214" i="3"/>
  <c r="Y219" i="3"/>
  <c r="N221" i="3"/>
  <c r="C222" i="3"/>
  <c r="Q226" i="3"/>
  <c r="Y245" i="3"/>
  <c r="C253" i="3"/>
  <c r="K171" i="4"/>
  <c r="G171" i="4"/>
  <c r="B171" i="4"/>
  <c r="F171" i="4"/>
  <c r="H171" i="4" s="1"/>
  <c r="C171" i="4"/>
  <c r="Y175" i="3"/>
  <c r="Z180" i="3"/>
  <c r="K183" i="4"/>
  <c r="G183" i="4"/>
  <c r="F183" i="4"/>
  <c r="H183" i="4" s="1"/>
  <c r="C183" i="4"/>
  <c r="B183" i="4"/>
  <c r="Y187" i="3"/>
  <c r="Z192" i="3"/>
  <c r="G193" i="3"/>
  <c r="C197" i="3"/>
  <c r="C195" i="4"/>
  <c r="B195" i="4"/>
  <c r="K195" i="4"/>
  <c r="G195" i="4"/>
  <c r="F195" i="4"/>
  <c r="H195" i="4" s="1"/>
  <c r="Y199" i="3"/>
  <c r="Z204" i="3"/>
  <c r="G205" i="3"/>
  <c r="C209" i="3"/>
  <c r="L212" i="3"/>
  <c r="Y214" i="3"/>
  <c r="O221" i="3"/>
  <c r="D222" i="3"/>
  <c r="A222" i="4"/>
  <c r="G226" i="3"/>
  <c r="C238" i="3"/>
  <c r="AD261" i="3"/>
  <c r="F261" i="3"/>
  <c r="B261" i="3"/>
  <c r="AC261" i="3"/>
  <c r="AB261" i="3"/>
  <c r="AA261" i="3"/>
  <c r="AD262" i="3"/>
  <c r="F262" i="3"/>
  <c r="B262" i="3"/>
  <c r="AC262" i="3"/>
  <c r="AB262" i="3"/>
  <c r="AA262" i="3"/>
  <c r="M338" i="3"/>
  <c r="K166" i="4"/>
  <c r="G166" i="4"/>
  <c r="F166" i="4"/>
  <c r="H166" i="4" s="1"/>
  <c r="C166" i="4"/>
  <c r="B166" i="4"/>
  <c r="Y170" i="3"/>
  <c r="D173" i="3"/>
  <c r="Z175" i="3"/>
  <c r="X177" i="3"/>
  <c r="C180" i="3"/>
  <c r="K178" i="4"/>
  <c r="G178" i="4"/>
  <c r="F178" i="4"/>
  <c r="H178" i="4" s="1"/>
  <c r="C178" i="4"/>
  <c r="B178" i="4"/>
  <c r="Y182" i="3"/>
  <c r="D185" i="3"/>
  <c r="B187" i="3"/>
  <c r="Z187" i="3"/>
  <c r="X189" i="3"/>
  <c r="C192" i="3"/>
  <c r="K190" i="4"/>
  <c r="G190" i="4"/>
  <c r="F190" i="4"/>
  <c r="H190" i="4" s="1"/>
  <c r="C190" i="4"/>
  <c r="B190" i="4"/>
  <c r="Y194" i="3"/>
  <c r="D197" i="3"/>
  <c r="Z199" i="3"/>
  <c r="X201" i="3"/>
  <c r="C204" i="3"/>
  <c r="A202" i="4"/>
  <c r="Z206" i="3"/>
  <c r="Y206" i="3"/>
  <c r="X207" i="3"/>
  <c r="D209" i="3"/>
  <c r="C210" i="3"/>
  <c r="M212" i="3"/>
  <c r="AC213" i="3"/>
  <c r="AA213" i="3"/>
  <c r="Z214" i="3"/>
  <c r="P221" i="3"/>
  <c r="E222" i="3"/>
  <c r="X226" i="3"/>
  <c r="A227" i="4"/>
  <c r="G231" i="3"/>
  <c r="D238" i="3"/>
  <c r="A271" i="4"/>
  <c r="D275" i="3"/>
  <c r="X275" i="3"/>
  <c r="G275" i="3"/>
  <c r="Z275" i="3"/>
  <c r="E275" i="3"/>
  <c r="Y275" i="3"/>
  <c r="C275" i="3"/>
  <c r="X172" i="3"/>
  <c r="Y177" i="3"/>
  <c r="D180" i="3"/>
  <c r="X184" i="3"/>
  <c r="AA187" i="3"/>
  <c r="G185" i="4"/>
  <c r="F185" i="4"/>
  <c r="H185" i="4" s="1"/>
  <c r="C185" i="4"/>
  <c r="B185" i="4"/>
  <c r="K185" i="4"/>
  <c r="Y189" i="3"/>
  <c r="D192" i="3"/>
  <c r="X196" i="3"/>
  <c r="E197" i="3"/>
  <c r="AA199" i="3"/>
  <c r="Y201" i="3"/>
  <c r="D204" i="3"/>
  <c r="Y207" i="3"/>
  <c r="F209" i="3"/>
  <c r="D210" i="3"/>
  <c r="A207" i="4"/>
  <c r="E211" i="3"/>
  <c r="C211" i="3"/>
  <c r="N212" i="3"/>
  <c r="A217" i="4"/>
  <c r="G221" i="3"/>
  <c r="E221" i="3"/>
  <c r="T221" i="3"/>
  <c r="Y222" i="3"/>
  <c r="E222" i="4"/>
  <c r="D222" i="4"/>
  <c r="V226" i="3"/>
  <c r="J226" i="3"/>
  <c r="U226" i="3"/>
  <c r="I226" i="3"/>
  <c r="T226" i="3"/>
  <c r="H226" i="3"/>
  <c r="AE226" i="3"/>
  <c r="S226" i="3"/>
  <c r="R226" i="3"/>
  <c r="E238" i="3"/>
  <c r="A238" i="4"/>
  <c r="G242" i="3"/>
  <c r="E242" i="3"/>
  <c r="D242" i="3"/>
  <c r="C242" i="3"/>
  <c r="Z242" i="3"/>
  <c r="AD270" i="3"/>
  <c r="AD283" i="3"/>
  <c r="AB283" i="3"/>
  <c r="AA283" i="3"/>
  <c r="B283" i="3"/>
  <c r="A289" i="4"/>
  <c r="G293" i="3"/>
  <c r="E293" i="3"/>
  <c r="D293" i="3"/>
  <c r="C293" i="3"/>
  <c r="Z293" i="3"/>
  <c r="Y293" i="3"/>
  <c r="X293" i="3"/>
  <c r="B168" i="4"/>
  <c r="C168" i="4"/>
  <c r="K168" i="4"/>
  <c r="G168" i="4"/>
  <c r="F168" i="4"/>
  <c r="H168" i="4" s="1"/>
  <c r="Y172" i="3"/>
  <c r="E180" i="3"/>
  <c r="C180" i="4"/>
  <c r="Y184" i="3"/>
  <c r="X191" i="3"/>
  <c r="E192" i="3"/>
  <c r="B192" i="4"/>
  <c r="K192" i="4"/>
  <c r="G192" i="4"/>
  <c r="F192" i="4"/>
  <c r="H192" i="4" s="1"/>
  <c r="C192" i="4"/>
  <c r="Y196" i="3"/>
  <c r="X203" i="3"/>
  <c r="E204" i="3"/>
  <c r="E210" i="3"/>
  <c r="R211" i="3"/>
  <c r="A208" i="4"/>
  <c r="X212" i="3"/>
  <c r="O212" i="3"/>
  <c r="G222" i="3"/>
  <c r="A220" i="4"/>
  <c r="X224" i="3"/>
  <c r="E227" i="4"/>
  <c r="J242" i="3"/>
  <c r="A241" i="4"/>
  <c r="X245" i="3"/>
  <c r="G245" i="3"/>
  <c r="E245" i="3"/>
  <c r="AC283" i="3"/>
  <c r="M309" i="3"/>
  <c r="AA384" i="3"/>
  <c r="B384" i="3"/>
  <c r="AD384" i="3"/>
  <c r="AC384" i="3"/>
  <c r="AB384" i="3"/>
  <c r="F384" i="3"/>
  <c r="B187" i="4"/>
  <c r="Y191" i="3"/>
  <c r="G199" i="4"/>
  <c r="F199" i="4"/>
  <c r="H199" i="4" s="1"/>
  <c r="C199" i="4"/>
  <c r="B199" i="4"/>
  <c r="K199" i="4"/>
  <c r="Y203" i="3"/>
  <c r="A229" i="4"/>
  <c r="G233" i="3"/>
  <c r="E233" i="3"/>
  <c r="AD249" i="3"/>
  <c r="F249" i="3"/>
  <c r="B249" i="3"/>
  <c r="AC249" i="3"/>
  <c r="AB249" i="3"/>
  <c r="A255" i="4"/>
  <c r="C259" i="3"/>
  <c r="Z259" i="3"/>
  <c r="Y259" i="3"/>
  <c r="X259" i="3"/>
  <c r="G259" i="3"/>
  <c r="E259" i="3"/>
  <c r="A261" i="4"/>
  <c r="Z265" i="3"/>
  <c r="Y265" i="3"/>
  <c r="X265" i="3"/>
  <c r="G265" i="3"/>
  <c r="E265" i="3"/>
  <c r="O267" i="3"/>
  <c r="Z191" i="3"/>
  <c r="X193" i="3"/>
  <c r="C194" i="4"/>
  <c r="B194" i="4"/>
  <c r="K194" i="4"/>
  <c r="G194" i="4"/>
  <c r="F194" i="4"/>
  <c r="H194" i="4" s="1"/>
  <c r="Y198" i="3"/>
  <c r="X205" i="3"/>
  <c r="G210" i="3"/>
  <c r="A215" i="4"/>
  <c r="G219" i="3"/>
  <c r="B216" i="4"/>
  <c r="K216" i="4"/>
  <c r="C216" i="4"/>
  <c r="G216" i="4"/>
  <c r="F216" i="4"/>
  <c r="H216" i="4" s="1"/>
  <c r="X233" i="3"/>
  <c r="AD250" i="3"/>
  <c r="F250" i="3"/>
  <c r="B250" i="3"/>
  <c r="AC250" i="3"/>
  <c r="AB250" i="3"/>
  <c r="AA250" i="3"/>
  <c r="C265" i="3"/>
  <c r="A278" i="4"/>
  <c r="C282" i="3"/>
  <c r="G282" i="3"/>
  <c r="Z282" i="3"/>
  <c r="E282" i="3"/>
  <c r="Y282" i="3"/>
  <c r="D282" i="3"/>
  <c r="X282" i="3"/>
  <c r="E305" i="4"/>
  <c r="D305" i="4"/>
  <c r="V309" i="3"/>
  <c r="J309" i="3"/>
  <c r="Q309" i="3"/>
  <c r="I309" i="3"/>
  <c r="W309" i="3"/>
  <c r="H309" i="3"/>
  <c r="U309" i="3"/>
  <c r="T309" i="3"/>
  <c r="S309" i="3"/>
  <c r="R309" i="3"/>
  <c r="AE309" i="3"/>
  <c r="P309" i="3"/>
  <c r="O309" i="3"/>
  <c r="L309" i="3"/>
  <c r="K309" i="3"/>
  <c r="B317" i="3"/>
  <c r="AD317" i="3"/>
  <c r="AC317" i="3"/>
  <c r="AB317" i="3"/>
  <c r="F317" i="3"/>
  <c r="AA317" i="3"/>
  <c r="AD326" i="3"/>
  <c r="F326" i="3"/>
  <c r="AB326" i="3"/>
  <c r="B326" i="3"/>
  <c r="AC326" i="3"/>
  <c r="AA326" i="3"/>
  <c r="K189" i="4"/>
  <c r="F189" i="4"/>
  <c r="H189" i="4" s="1"/>
  <c r="G189" i="4"/>
  <c r="C189" i="4"/>
  <c r="B189" i="4"/>
  <c r="Y193" i="3"/>
  <c r="K201" i="4"/>
  <c r="F201" i="4"/>
  <c r="H201" i="4" s="1"/>
  <c r="G201" i="4"/>
  <c r="C201" i="4"/>
  <c r="B201" i="4"/>
  <c r="Y205" i="3"/>
  <c r="A203" i="4"/>
  <c r="G207" i="3"/>
  <c r="G210" i="4"/>
  <c r="F210" i="4"/>
  <c r="H210" i="4" s="1"/>
  <c r="C210" i="4"/>
  <c r="B210" i="4"/>
  <c r="K210" i="4"/>
  <c r="E217" i="4"/>
  <c r="D217" i="4"/>
  <c r="U221" i="3"/>
  <c r="I221" i="3"/>
  <c r="AE221" i="3"/>
  <c r="S221" i="3"/>
  <c r="R221" i="3"/>
  <c r="Q221" i="3"/>
  <c r="A224" i="4"/>
  <c r="G228" i="3"/>
  <c r="E228" i="3"/>
  <c r="D228" i="3"/>
  <c r="C233" i="3"/>
  <c r="Y233" i="3"/>
  <c r="A231" i="4"/>
  <c r="G235" i="3"/>
  <c r="E235" i="3"/>
  <c r="D235" i="3"/>
  <c r="C235" i="3"/>
  <c r="M242" i="3"/>
  <c r="AA249" i="3"/>
  <c r="D259" i="3"/>
  <c r="D265" i="3"/>
  <c r="A284" i="4"/>
  <c r="G288" i="3"/>
  <c r="E288" i="3"/>
  <c r="D288" i="3"/>
  <c r="C288" i="3"/>
  <c r="Z288" i="3"/>
  <c r="Y288" i="3"/>
  <c r="X288" i="3"/>
  <c r="U326" i="3"/>
  <c r="T326" i="3"/>
  <c r="D246" i="4"/>
  <c r="E246" i="4"/>
  <c r="W250" i="3"/>
  <c r="K250" i="3"/>
  <c r="R250" i="3"/>
  <c r="A250" i="4"/>
  <c r="G254" i="3"/>
  <c r="Z254" i="3"/>
  <c r="E258" i="4"/>
  <c r="D258" i="4"/>
  <c r="W262" i="3"/>
  <c r="K262" i="3"/>
  <c r="R262" i="3"/>
  <c r="A265" i="4"/>
  <c r="E269" i="3"/>
  <c r="D269" i="3"/>
  <c r="C269" i="3"/>
  <c r="A273" i="4"/>
  <c r="Z277" i="3"/>
  <c r="G277" i="3"/>
  <c r="E306" i="4"/>
  <c r="D306" i="4"/>
  <c r="O310" i="3"/>
  <c r="V310" i="3"/>
  <c r="J310" i="3"/>
  <c r="U310" i="3"/>
  <c r="T310" i="3"/>
  <c r="S310" i="3"/>
  <c r="R310" i="3"/>
  <c r="AE310" i="3"/>
  <c r="Q310" i="3"/>
  <c r="P310" i="3"/>
  <c r="N310" i="3"/>
  <c r="M310" i="3"/>
  <c r="AC315" i="3"/>
  <c r="Q317" i="3"/>
  <c r="G209" i="4"/>
  <c r="F209" i="4"/>
  <c r="H209" i="4" s="1"/>
  <c r="C209" i="4"/>
  <c r="B209" i="4"/>
  <c r="K209" i="4"/>
  <c r="Y213" i="3"/>
  <c r="X220" i="3"/>
  <c r="G221" i="4"/>
  <c r="B221" i="4"/>
  <c r="Y225" i="3"/>
  <c r="X232" i="3"/>
  <c r="F233" i="4"/>
  <c r="H233" i="4" s="1"/>
  <c r="K233" i="4"/>
  <c r="G233" i="4"/>
  <c r="C233" i="4"/>
  <c r="B233" i="4"/>
  <c r="Y237" i="3"/>
  <c r="G243" i="3"/>
  <c r="X244" i="3"/>
  <c r="X246" i="3"/>
  <c r="L250" i="3"/>
  <c r="Z250" i="3"/>
  <c r="X251" i="3"/>
  <c r="G252" i="3"/>
  <c r="C254" i="3"/>
  <c r="A251" i="4"/>
  <c r="X255" i="3"/>
  <c r="G255" i="3"/>
  <c r="L262" i="3"/>
  <c r="Z262" i="3"/>
  <c r="X263" i="3"/>
  <c r="G264" i="3"/>
  <c r="C277" i="3"/>
  <c r="X277" i="3"/>
  <c r="O279" i="3"/>
  <c r="AD284" i="3"/>
  <c r="F284" i="3"/>
  <c r="AB303" i="3"/>
  <c r="F303" i="3"/>
  <c r="AD303" i="3"/>
  <c r="AC303" i="3"/>
  <c r="B303" i="3"/>
  <c r="AA303" i="3"/>
  <c r="W315" i="3"/>
  <c r="R315" i="3"/>
  <c r="AC316" i="3"/>
  <c r="AB316" i="3"/>
  <c r="F316" i="3"/>
  <c r="B316" i="3"/>
  <c r="AD316" i="3"/>
  <c r="AA316" i="3"/>
  <c r="A341" i="4"/>
  <c r="G345" i="3"/>
  <c r="E345" i="3"/>
  <c r="D345" i="3"/>
  <c r="C345" i="3"/>
  <c r="Z345" i="3"/>
  <c r="Y345" i="3"/>
  <c r="X345" i="3"/>
  <c r="U356" i="3"/>
  <c r="AA441" i="3"/>
  <c r="B441" i="3"/>
  <c r="AD441" i="3"/>
  <c r="AC441" i="3"/>
  <c r="AB441" i="3"/>
  <c r="F441" i="3"/>
  <c r="Y220" i="3"/>
  <c r="K228" i="4"/>
  <c r="G228" i="4"/>
  <c r="F228" i="4"/>
  <c r="H228" i="4" s="1"/>
  <c r="B228" i="4"/>
  <c r="C228" i="4"/>
  <c r="Y232" i="3"/>
  <c r="K240" i="4"/>
  <c r="G240" i="4"/>
  <c r="F240" i="4"/>
  <c r="H240" i="4" s="1"/>
  <c r="C240" i="4"/>
  <c r="B240" i="4"/>
  <c r="Y244" i="3"/>
  <c r="Y246" i="3"/>
  <c r="G247" i="3"/>
  <c r="M250" i="3"/>
  <c r="Y251" i="3"/>
  <c r="D254" i="3"/>
  <c r="X258" i="3"/>
  <c r="M262" i="3"/>
  <c r="Y263" i="3"/>
  <c r="A264" i="4"/>
  <c r="E268" i="3"/>
  <c r="X268" i="3"/>
  <c r="D277" i="3"/>
  <c r="Y277" i="3"/>
  <c r="P279" i="3"/>
  <c r="AD286" i="3"/>
  <c r="F286" i="3"/>
  <c r="AC286" i="3"/>
  <c r="AB286" i="3"/>
  <c r="X298" i="3"/>
  <c r="D299" i="4"/>
  <c r="E299" i="4"/>
  <c r="P303" i="3"/>
  <c r="U303" i="3"/>
  <c r="H303" i="3"/>
  <c r="T303" i="3"/>
  <c r="S303" i="3"/>
  <c r="AE303" i="3"/>
  <c r="R303" i="3"/>
  <c r="Q303" i="3"/>
  <c r="O303" i="3"/>
  <c r="N303" i="3"/>
  <c r="M303" i="3"/>
  <c r="Q316" i="3"/>
  <c r="F211" i="4"/>
  <c r="Y215" i="3"/>
  <c r="Z220" i="3"/>
  <c r="K223" i="4"/>
  <c r="G223" i="4"/>
  <c r="F223" i="4"/>
  <c r="H223" i="4" s="1"/>
  <c r="C223" i="4"/>
  <c r="B223" i="4"/>
  <c r="Y227" i="3"/>
  <c r="Z232" i="3"/>
  <c r="X234" i="3"/>
  <c r="Y239" i="3"/>
  <c r="Z244" i="3"/>
  <c r="N250" i="3"/>
  <c r="X252" i="3"/>
  <c r="E254" i="3"/>
  <c r="C255" i="3"/>
  <c r="A252" i="4"/>
  <c r="E256" i="3"/>
  <c r="X256" i="3"/>
  <c r="Y258" i="3"/>
  <c r="N262" i="3"/>
  <c r="X264" i="3"/>
  <c r="S268" i="3"/>
  <c r="G269" i="3"/>
  <c r="X269" i="3"/>
  <c r="E277" i="3"/>
  <c r="U279" i="3"/>
  <c r="AA284" i="3"/>
  <c r="A282" i="4"/>
  <c r="G286" i="3"/>
  <c r="E286" i="3"/>
  <c r="D286" i="3"/>
  <c r="Y286" i="3"/>
  <c r="Y291" i="3"/>
  <c r="Y298" i="3"/>
  <c r="AA315" i="3"/>
  <c r="A379" i="4"/>
  <c r="C383" i="3"/>
  <c r="Z383" i="3"/>
  <c r="Y383" i="3"/>
  <c r="G383" i="3"/>
  <c r="X383" i="3"/>
  <c r="F230" i="4"/>
  <c r="H230" i="4" s="1"/>
  <c r="Y234" i="3"/>
  <c r="A242" i="4"/>
  <c r="C246" i="3"/>
  <c r="X247" i="3"/>
  <c r="G246" i="4"/>
  <c r="F246" i="4"/>
  <c r="H246" i="4" s="1"/>
  <c r="C246" i="4"/>
  <c r="B246" i="4"/>
  <c r="K246" i="4"/>
  <c r="O250" i="3"/>
  <c r="Y252" i="3"/>
  <c r="G258" i="4"/>
  <c r="F258" i="4"/>
  <c r="H258" i="4" s="1"/>
  <c r="C258" i="4"/>
  <c r="B258" i="4"/>
  <c r="K258" i="4"/>
  <c r="O262" i="3"/>
  <c r="Y264" i="3"/>
  <c r="C268" i="3"/>
  <c r="Y269" i="3"/>
  <c r="A275" i="4"/>
  <c r="X279" i="3"/>
  <c r="G279" i="3"/>
  <c r="E279" i="3"/>
  <c r="V279" i="3"/>
  <c r="F300" i="3"/>
  <c r="AD300" i="3"/>
  <c r="AC300" i="3"/>
  <c r="AB300" i="3"/>
  <c r="B300" i="3"/>
  <c r="A298" i="4"/>
  <c r="Z302" i="3"/>
  <c r="Y302" i="3"/>
  <c r="X302" i="3"/>
  <c r="G302" i="3"/>
  <c r="E302" i="3"/>
  <c r="A301" i="4"/>
  <c r="Z305" i="3"/>
  <c r="X305" i="3"/>
  <c r="G305" i="3"/>
  <c r="E305" i="3"/>
  <c r="D305" i="3"/>
  <c r="I319" i="3"/>
  <c r="E325" i="4"/>
  <c r="D325" i="4"/>
  <c r="N329" i="3"/>
  <c r="V329" i="3"/>
  <c r="J329" i="3"/>
  <c r="U329" i="3"/>
  <c r="I329" i="3"/>
  <c r="AE329" i="3"/>
  <c r="S329" i="3"/>
  <c r="R329" i="3"/>
  <c r="W329" i="3"/>
  <c r="T329" i="3"/>
  <c r="Q329" i="3"/>
  <c r="P329" i="3"/>
  <c r="O329" i="3"/>
  <c r="M329" i="3"/>
  <c r="L329" i="3"/>
  <c r="I331" i="3"/>
  <c r="D383" i="3"/>
  <c r="K213" i="4"/>
  <c r="G213" i="4"/>
  <c r="F213" i="4"/>
  <c r="H213" i="4" s="1"/>
  <c r="C213" i="4"/>
  <c r="B213" i="4"/>
  <c r="Y217" i="3"/>
  <c r="D220" i="3"/>
  <c r="F225" i="4"/>
  <c r="H225" i="4" s="1"/>
  <c r="Y229" i="3"/>
  <c r="D232" i="3"/>
  <c r="Z234" i="3"/>
  <c r="X236" i="3"/>
  <c r="F237" i="4"/>
  <c r="H237" i="4" s="1"/>
  <c r="K237" i="4"/>
  <c r="G237" i="4"/>
  <c r="C237" i="4"/>
  <c r="B237" i="4"/>
  <c r="Y241" i="3"/>
  <c r="D244" i="3"/>
  <c r="Y247" i="3"/>
  <c r="P250" i="3"/>
  <c r="AE250" i="3"/>
  <c r="A253" i="4"/>
  <c r="E257" i="3"/>
  <c r="P262" i="3"/>
  <c r="AE262" i="3"/>
  <c r="D268" i="3"/>
  <c r="Z269" i="3"/>
  <c r="AA286" i="3"/>
  <c r="C305" i="3"/>
  <c r="F306" i="3"/>
  <c r="AD306" i="3"/>
  <c r="AC306" i="3"/>
  <c r="AB306" i="3"/>
  <c r="B306" i="3"/>
  <c r="AA306" i="3"/>
  <c r="J319" i="3"/>
  <c r="A346" i="4"/>
  <c r="G350" i="3"/>
  <c r="E350" i="3"/>
  <c r="D350" i="3"/>
  <c r="C350" i="3"/>
  <c r="Z350" i="3"/>
  <c r="Y350" i="3"/>
  <c r="X350" i="3"/>
  <c r="AD352" i="3"/>
  <c r="F352" i="3"/>
  <c r="AC352" i="3"/>
  <c r="AB352" i="3"/>
  <c r="AA352" i="3"/>
  <c r="B352" i="3"/>
  <c r="E383" i="3"/>
  <c r="Y236" i="3"/>
  <c r="Q250" i="3"/>
  <c r="A247" i="4"/>
  <c r="D251" i="3"/>
  <c r="Q262" i="3"/>
  <c r="A259" i="4"/>
  <c r="D263" i="3"/>
  <c r="A263" i="4"/>
  <c r="X267" i="3"/>
  <c r="G267" i="3"/>
  <c r="E267" i="3"/>
  <c r="Q268" i="3"/>
  <c r="A270" i="4"/>
  <c r="G274" i="3"/>
  <c r="E274" i="3"/>
  <c r="D274" i="3"/>
  <c r="E275" i="4"/>
  <c r="D275" i="4"/>
  <c r="L279" i="3"/>
  <c r="T279" i="3"/>
  <c r="H279" i="3"/>
  <c r="AE279" i="3"/>
  <c r="S279" i="3"/>
  <c r="R279" i="3"/>
  <c r="Q279" i="3"/>
  <c r="A277" i="4"/>
  <c r="E281" i="3"/>
  <c r="D281" i="3"/>
  <c r="C281" i="3"/>
  <c r="A283" i="4"/>
  <c r="D287" i="3"/>
  <c r="Z287" i="3"/>
  <c r="X287" i="3"/>
  <c r="Y287" i="3"/>
  <c r="K296" i="4"/>
  <c r="G296" i="4"/>
  <c r="C296" i="4"/>
  <c r="F296" i="4"/>
  <c r="H296" i="4" s="1"/>
  <c r="B296" i="4"/>
  <c r="AA300" i="3"/>
  <c r="C302" i="3"/>
  <c r="H310" i="3"/>
  <c r="K319" i="3"/>
  <c r="E327" i="4"/>
  <c r="D327" i="4"/>
  <c r="L331" i="3"/>
  <c r="T331" i="3"/>
  <c r="H331" i="3"/>
  <c r="AE331" i="3"/>
  <c r="S331" i="3"/>
  <c r="Q331" i="3"/>
  <c r="P331" i="3"/>
  <c r="W331" i="3"/>
  <c r="V331" i="3"/>
  <c r="U331" i="3"/>
  <c r="R331" i="3"/>
  <c r="O331" i="3"/>
  <c r="N331" i="3"/>
  <c r="M331" i="3"/>
  <c r="K331" i="3"/>
  <c r="G239" i="4"/>
  <c r="K239" i="4"/>
  <c r="F239" i="4"/>
  <c r="H239" i="4" s="1"/>
  <c r="C239" i="4"/>
  <c r="B239" i="4"/>
  <c r="Y243" i="3"/>
  <c r="S250" i="3"/>
  <c r="X254" i="3"/>
  <c r="A254" i="4"/>
  <c r="C258" i="3"/>
  <c r="S262" i="3"/>
  <c r="X274" i="3"/>
  <c r="A272" i="4"/>
  <c r="E276" i="3"/>
  <c r="D276" i="3"/>
  <c r="C276" i="3"/>
  <c r="Z276" i="3"/>
  <c r="X281" i="3"/>
  <c r="C287" i="3"/>
  <c r="A287" i="4"/>
  <c r="X291" i="3"/>
  <c r="G291" i="3"/>
  <c r="E291" i="3"/>
  <c r="A294" i="4"/>
  <c r="G298" i="3"/>
  <c r="E298" i="3"/>
  <c r="D298" i="3"/>
  <c r="A304" i="4"/>
  <c r="E308" i="3"/>
  <c r="X308" i="3"/>
  <c r="Z308" i="3"/>
  <c r="Y308" i="3"/>
  <c r="G308" i="3"/>
  <c r="D308" i="3"/>
  <c r="C308" i="3"/>
  <c r="I310" i="3"/>
  <c r="A310" i="4"/>
  <c r="Y314" i="3"/>
  <c r="X314" i="3"/>
  <c r="G314" i="3"/>
  <c r="E314" i="3"/>
  <c r="D314" i="3"/>
  <c r="C314" i="3"/>
  <c r="K243" i="4"/>
  <c r="G243" i="4"/>
  <c r="F243" i="4"/>
  <c r="H243" i="4" s="1"/>
  <c r="C243" i="4"/>
  <c r="B243" i="4"/>
  <c r="T250" i="3"/>
  <c r="C251" i="3"/>
  <c r="A248" i="4"/>
  <c r="D252" i="3"/>
  <c r="Y254" i="3"/>
  <c r="T262" i="3"/>
  <c r="C263" i="3"/>
  <c r="A260" i="4"/>
  <c r="D264" i="3"/>
  <c r="C267" i="3"/>
  <c r="A266" i="4"/>
  <c r="C270" i="3"/>
  <c r="AB271" i="3"/>
  <c r="AA271" i="3"/>
  <c r="B271" i="3"/>
  <c r="C274" i="3"/>
  <c r="Y274" i="3"/>
  <c r="X276" i="3"/>
  <c r="I279" i="3"/>
  <c r="G281" i="3"/>
  <c r="Y281" i="3"/>
  <c r="E287" i="3"/>
  <c r="J303" i="3"/>
  <c r="K310" i="3"/>
  <c r="E315" i="4"/>
  <c r="D315" i="4"/>
  <c r="L319" i="3"/>
  <c r="T319" i="3"/>
  <c r="H319" i="3"/>
  <c r="AE319" i="3"/>
  <c r="S319" i="3"/>
  <c r="W319" i="3"/>
  <c r="V319" i="3"/>
  <c r="U319" i="3"/>
  <c r="R319" i="3"/>
  <c r="Q319" i="3"/>
  <c r="P319" i="3"/>
  <c r="O319" i="3"/>
  <c r="N319" i="3"/>
  <c r="T321" i="3"/>
  <c r="AD338" i="3"/>
  <c r="F338" i="3"/>
  <c r="AC338" i="3"/>
  <c r="AB338" i="3"/>
  <c r="AA338" i="3"/>
  <c r="B338" i="3"/>
  <c r="A356" i="4"/>
  <c r="G360" i="3"/>
  <c r="Z360" i="3"/>
  <c r="Y360" i="3"/>
  <c r="X360" i="3"/>
  <c r="E360" i="3"/>
  <c r="D360" i="3"/>
  <c r="A368" i="4"/>
  <c r="G372" i="3"/>
  <c r="C372" i="3"/>
  <c r="Z372" i="3"/>
  <c r="Y372" i="3"/>
  <c r="X372" i="3"/>
  <c r="E372" i="3"/>
  <c r="E376" i="4"/>
  <c r="D376" i="4"/>
  <c r="L380" i="3"/>
  <c r="W380" i="3"/>
  <c r="K380" i="3"/>
  <c r="AE380" i="3"/>
  <c r="S380" i="3"/>
  <c r="Q380" i="3"/>
  <c r="U380" i="3"/>
  <c r="T380" i="3"/>
  <c r="R380" i="3"/>
  <c r="P380" i="3"/>
  <c r="O380" i="3"/>
  <c r="N380" i="3"/>
  <c r="M380" i="3"/>
  <c r="J380" i="3"/>
  <c r="I380" i="3"/>
  <c r="Y271" i="3"/>
  <c r="B279" i="4"/>
  <c r="Y283" i="3"/>
  <c r="G289" i="3"/>
  <c r="C291" i="4"/>
  <c r="G291" i="4"/>
  <c r="F291" i="4"/>
  <c r="H291" i="4" s="1"/>
  <c r="B291" i="4"/>
  <c r="K291" i="4"/>
  <c r="Y295" i="3"/>
  <c r="F296" i="3"/>
  <c r="E302" i="4"/>
  <c r="D302" i="4"/>
  <c r="AE306" i="3"/>
  <c r="S306" i="3"/>
  <c r="G307" i="3"/>
  <c r="A305" i="4"/>
  <c r="E309" i="3"/>
  <c r="Y311" i="3"/>
  <c r="AD325" i="3"/>
  <c r="F325" i="3"/>
  <c r="B325" i="3"/>
  <c r="O327" i="3"/>
  <c r="A326" i="4"/>
  <c r="G330" i="3"/>
  <c r="C330" i="3"/>
  <c r="Z330" i="3"/>
  <c r="X330" i="3"/>
  <c r="A339" i="4"/>
  <c r="X343" i="3"/>
  <c r="G343" i="3"/>
  <c r="E343" i="3"/>
  <c r="D343" i="3"/>
  <c r="A366" i="4"/>
  <c r="E370" i="3"/>
  <c r="Z370" i="3"/>
  <c r="Y370" i="3"/>
  <c r="X370" i="3"/>
  <c r="G370" i="3"/>
  <c r="D370" i="3"/>
  <c r="C370" i="3"/>
  <c r="B262" i="4"/>
  <c r="Y266" i="3"/>
  <c r="Z271" i="3"/>
  <c r="K274" i="4"/>
  <c r="G274" i="4"/>
  <c r="F274" i="4"/>
  <c r="H274" i="4" s="1"/>
  <c r="C274" i="4"/>
  <c r="B274" i="4"/>
  <c r="Y278" i="3"/>
  <c r="Z283" i="3"/>
  <c r="G286" i="4"/>
  <c r="F286" i="4"/>
  <c r="H286" i="4" s="1"/>
  <c r="C286" i="4"/>
  <c r="B286" i="4"/>
  <c r="K286" i="4"/>
  <c r="Y290" i="3"/>
  <c r="Z295" i="3"/>
  <c r="X301" i="3"/>
  <c r="A299" i="4"/>
  <c r="D303" i="3"/>
  <c r="M306" i="3"/>
  <c r="A311" i="4"/>
  <c r="D315" i="3"/>
  <c r="A318" i="4"/>
  <c r="C322" i="3"/>
  <c r="Q327" i="3"/>
  <c r="D330" i="3"/>
  <c r="C360" i="3"/>
  <c r="A364" i="4"/>
  <c r="X368" i="3"/>
  <c r="G368" i="3"/>
  <c r="Z368" i="3"/>
  <c r="Y368" i="3"/>
  <c r="E368" i="3"/>
  <c r="D368" i="3"/>
  <c r="C368" i="3"/>
  <c r="D372" i="3"/>
  <c r="Y249" i="3"/>
  <c r="F257" i="4"/>
  <c r="H257" i="4" s="1"/>
  <c r="C257" i="4"/>
  <c r="B257" i="4"/>
  <c r="K257" i="4"/>
  <c r="G257" i="4"/>
  <c r="Y261" i="3"/>
  <c r="Z266" i="3"/>
  <c r="C271" i="3"/>
  <c r="Y273" i="3"/>
  <c r="Z278" i="3"/>
  <c r="X280" i="3"/>
  <c r="C283" i="3"/>
  <c r="Y285" i="3"/>
  <c r="B290" i="3"/>
  <c r="Z290" i="3"/>
  <c r="X292" i="3"/>
  <c r="C295" i="3"/>
  <c r="B293" i="4"/>
  <c r="C293" i="4"/>
  <c r="K293" i="4"/>
  <c r="F293" i="4"/>
  <c r="H293" i="4" s="1"/>
  <c r="G293" i="4"/>
  <c r="Y297" i="3"/>
  <c r="Y301" i="3"/>
  <c r="X304" i="3"/>
  <c r="A302" i="4"/>
  <c r="G306" i="3"/>
  <c r="N306" i="3"/>
  <c r="C309" i="3"/>
  <c r="A306" i="4"/>
  <c r="C310" i="3"/>
  <c r="A315" i="4"/>
  <c r="X319" i="3"/>
  <c r="G319" i="3"/>
  <c r="A317" i="4"/>
  <c r="E321" i="3"/>
  <c r="B322" i="3"/>
  <c r="AD324" i="3"/>
  <c r="F324" i="3"/>
  <c r="AA325" i="3"/>
  <c r="A323" i="4"/>
  <c r="D327" i="3"/>
  <c r="X327" i="3"/>
  <c r="R327" i="3"/>
  <c r="E330" i="3"/>
  <c r="Y330" i="3"/>
  <c r="C343" i="3"/>
  <c r="K276" i="4"/>
  <c r="G276" i="4"/>
  <c r="F276" i="4"/>
  <c r="H276" i="4" s="1"/>
  <c r="C276" i="4"/>
  <c r="B276" i="4"/>
  <c r="Y280" i="3"/>
  <c r="D283" i="3"/>
  <c r="K288" i="4"/>
  <c r="G288" i="4"/>
  <c r="F288" i="4"/>
  <c r="H288" i="4" s="1"/>
  <c r="B288" i="4"/>
  <c r="C288" i="4"/>
  <c r="Y292" i="3"/>
  <c r="D295" i="3"/>
  <c r="X299" i="3"/>
  <c r="Z301" i="3"/>
  <c r="C303" i="3"/>
  <c r="Y304" i="3"/>
  <c r="O306" i="3"/>
  <c r="D309" i="3"/>
  <c r="A312" i="4"/>
  <c r="D316" i="3"/>
  <c r="D322" i="3"/>
  <c r="AB325" i="3"/>
  <c r="S327" i="3"/>
  <c r="G295" i="4"/>
  <c r="C295" i="4"/>
  <c r="K295" i="4"/>
  <c r="F295" i="4"/>
  <c r="H295" i="4" s="1"/>
  <c r="B295" i="4"/>
  <c r="Y299" i="3"/>
  <c r="F297" i="4"/>
  <c r="H297" i="4" s="1"/>
  <c r="G297" i="4"/>
  <c r="C297" i="4"/>
  <c r="B297" i="4"/>
  <c r="K297" i="4"/>
  <c r="Y307" i="3"/>
  <c r="A307" i="4"/>
  <c r="C311" i="3"/>
  <c r="A313" i="4"/>
  <c r="Z317" i="3"/>
  <c r="A314" i="4"/>
  <c r="G318" i="3"/>
  <c r="C318" i="3"/>
  <c r="Z318" i="3"/>
  <c r="T327" i="3"/>
  <c r="A334" i="4"/>
  <c r="G338" i="3"/>
  <c r="E338" i="3"/>
  <c r="D338" i="3"/>
  <c r="C338" i="3"/>
  <c r="A352" i="4"/>
  <c r="X356" i="3"/>
  <c r="G356" i="3"/>
  <c r="E356" i="3"/>
  <c r="D356" i="3"/>
  <c r="C356" i="3"/>
  <c r="A372" i="4"/>
  <c r="D376" i="3"/>
  <c r="C376" i="3"/>
  <c r="Z376" i="3"/>
  <c r="Y376" i="3"/>
  <c r="X376" i="3"/>
  <c r="G376" i="3"/>
  <c r="AD389" i="3"/>
  <c r="F389" i="3"/>
  <c r="AB389" i="3"/>
  <c r="AA389" i="3"/>
  <c r="B389" i="3"/>
  <c r="K424" i="3"/>
  <c r="I424" i="3"/>
  <c r="T424" i="3"/>
  <c r="Q424" i="3"/>
  <c r="X289" i="3"/>
  <c r="B290" i="4"/>
  <c r="K290" i="4"/>
  <c r="F290" i="4"/>
  <c r="H290" i="4" s="1"/>
  <c r="C290" i="4"/>
  <c r="G290" i="4"/>
  <c r="Y294" i="3"/>
  <c r="Z299" i="3"/>
  <c r="G300" i="4"/>
  <c r="F300" i="4"/>
  <c r="H300" i="4" s="1"/>
  <c r="C300" i="4"/>
  <c r="B300" i="4"/>
  <c r="K300" i="4"/>
  <c r="C317" i="3"/>
  <c r="D318" i="3"/>
  <c r="F322" i="3"/>
  <c r="AB323" i="3"/>
  <c r="AA323" i="3"/>
  <c r="E385" i="4"/>
  <c r="D385" i="4"/>
  <c r="U389" i="3"/>
  <c r="I389" i="3"/>
  <c r="T389" i="3"/>
  <c r="H389" i="3"/>
  <c r="AE389" i="3"/>
  <c r="S389" i="3"/>
  <c r="R389" i="3"/>
  <c r="P389" i="3"/>
  <c r="O389" i="3"/>
  <c r="N389" i="3"/>
  <c r="W389" i="3"/>
  <c r="V389" i="3"/>
  <c r="Q389" i="3"/>
  <c r="M389" i="3"/>
  <c r="L389" i="3"/>
  <c r="K389" i="3"/>
  <c r="J389" i="3"/>
  <c r="B403" i="3"/>
  <c r="AD403" i="3"/>
  <c r="AC403" i="3"/>
  <c r="AB403" i="3"/>
  <c r="AA403" i="3"/>
  <c r="F403" i="3"/>
  <c r="F285" i="4"/>
  <c r="H285" i="4" s="1"/>
  <c r="C285" i="4"/>
  <c r="B285" i="4"/>
  <c r="K285" i="4"/>
  <c r="G285" i="4"/>
  <c r="Y289" i="3"/>
  <c r="C299" i="3"/>
  <c r="C301" i="3"/>
  <c r="A303" i="4"/>
  <c r="X307" i="3"/>
  <c r="A322" i="4"/>
  <c r="G326" i="3"/>
  <c r="D326" i="3"/>
  <c r="E323" i="4"/>
  <c r="D323" i="4"/>
  <c r="P327" i="3"/>
  <c r="L327" i="3"/>
  <c r="W327" i="3"/>
  <c r="K327" i="3"/>
  <c r="U327" i="3"/>
  <c r="I327" i="3"/>
  <c r="A325" i="4"/>
  <c r="Z329" i="3"/>
  <c r="G329" i="3"/>
  <c r="A327" i="4"/>
  <c r="X331" i="3"/>
  <c r="G331" i="3"/>
  <c r="E331" i="3"/>
  <c r="D331" i="3"/>
  <c r="AD333" i="3"/>
  <c r="F333" i="3"/>
  <c r="AC333" i="3"/>
  <c r="AA333" i="3"/>
  <c r="B333" i="3"/>
  <c r="AD340" i="3"/>
  <c r="F340" i="3"/>
  <c r="AC340" i="3"/>
  <c r="AB340" i="3"/>
  <c r="AA340" i="3"/>
  <c r="B340" i="3"/>
  <c r="Y343" i="3"/>
  <c r="AD362" i="3"/>
  <c r="F362" i="3"/>
  <c r="AC362" i="3"/>
  <c r="B362" i="3"/>
  <c r="AB362" i="3"/>
  <c r="A367" i="4"/>
  <c r="C371" i="3"/>
  <c r="Z371" i="3"/>
  <c r="Y371" i="3"/>
  <c r="X371" i="3"/>
  <c r="G371" i="3"/>
  <c r="E371" i="3"/>
  <c r="E376" i="3"/>
  <c r="AC389" i="3"/>
  <c r="J403" i="3"/>
  <c r="P403" i="3"/>
  <c r="T403" i="3"/>
  <c r="B244" i="4"/>
  <c r="G244" i="4"/>
  <c r="F244" i="4"/>
  <c r="H244" i="4" s="1"/>
  <c r="C244" i="4"/>
  <c r="K244" i="4"/>
  <c r="Y248" i="3"/>
  <c r="C256" i="4"/>
  <c r="B256" i="4"/>
  <c r="K256" i="4"/>
  <c r="G256" i="4"/>
  <c r="F256" i="4"/>
  <c r="H256" i="4" s="1"/>
  <c r="Y260" i="3"/>
  <c r="G266" i="3"/>
  <c r="C268" i="4"/>
  <c r="Y272" i="3"/>
  <c r="F273" i="3"/>
  <c r="G278" i="3"/>
  <c r="E280" i="3"/>
  <c r="C280" i="4"/>
  <c r="B280" i="4"/>
  <c r="K280" i="4"/>
  <c r="G280" i="4"/>
  <c r="F280" i="4"/>
  <c r="H280" i="4" s="1"/>
  <c r="Y284" i="3"/>
  <c r="F285" i="3"/>
  <c r="Z289" i="3"/>
  <c r="G290" i="3"/>
  <c r="E292" i="3"/>
  <c r="C294" i="3"/>
  <c r="K292" i="4"/>
  <c r="G292" i="4"/>
  <c r="F292" i="4"/>
  <c r="H292" i="4" s="1"/>
  <c r="B292" i="4"/>
  <c r="C292" i="4"/>
  <c r="Y296" i="3"/>
  <c r="F297" i="3"/>
  <c r="D299" i="3"/>
  <c r="D301" i="3"/>
  <c r="C304" i="3"/>
  <c r="T306" i="3"/>
  <c r="X309" i="3"/>
  <c r="G310" i="3"/>
  <c r="E311" i="3"/>
  <c r="B312" i="3"/>
  <c r="E317" i="3"/>
  <c r="X321" i="3"/>
  <c r="Y322" i="3"/>
  <c r="AC323" i="3"/>
  <c r="G327" i="3"/>
  <c r="Z327" i="3"/>
  <c r="C329" i="3"/>
  <c r="X329" i="3"/>
  <c r="A329" i="4"/>
  <c r="E333" i="3"/>
  <c r="C333" i="3"/>
  <c r="Z333" i="3"/>
  <c r="Y333" i="3"/>
  <c r="Z343" i="3"/>
  <c r="A365" i="4"/>
  <c r="E369" i="3"/>
  <c r="D369" i="3"/>
  <c r="X369" i="3"/>
  <c r="Z369" i="3"/>
  <c r="Y369" i="3"/>
  <c r="G369" i="3"/>
  <c r="C369" i="3"/>
  <c r="D371" i="3"/>
  <c r="A411" i="4"/>
  <c r="Z415" i="3"/>
  <c r="Y415" i="3"/>
  <c r="G415" i="3"/>
  <c r="X415" i="3"/>
  <c r="E415" i="3"/>
  <c r="K324" i="4"/>
  <c r="G324" i="4"/>
  <c r="F324" i="4"/>
  <c r="H324" i="4" s="1"/>
  <c r="C324" i="4"/>
  <c r="B324" i="4"/>
  <c r="Y328" i="3"/>
  <c r="G334" i="3"/>
  <c r="AC336" i="3"/>
  <c r="K336" i="4"/>
  <c r="G336" i="4"/>
  <c r="B336" i="4"/>
  <c r="F336" i="4"/>
  <c r="H336" i="4" s="1"/>
  <c r="C336" i="4"/>
  <c r="Y340" i="3"/>
  <c r="B348" i="4"/>
  <c r="K348" i="4"/>
  <c r="G348" i="4"/>
  <c r="C348" i="4"/>
  <c r="F348" i="4"/>
  <c r="H348" i="4" s="1"/>
  <c r="Y352" i="3"/>
  <c r="X354" i="3"/>
  <c r="E353" i="4"/>
  <c r="D353" i="4"/>
  <c r="Q357" i="3"/>
  <c r="P357" i="3"/>
  <c r="H379" i="3"/>
  <c r="W379" i="3"/>
  <c r="A378" i="4"/>
  <c r="E382" i="3"/>
  <c r="C382" i="3"/>
  <c r="A385" i="4"/>
  <c r="G389" i="3"/>
  <c r="D389" i="3"/>
  <c r="C389" i="3"/>
  <c r="Z389" i="3"/>
  <c r="A392" i="4"/>
  <c r="C396" i="3"/>
  <c r="Z396" i="3"/>
  <c r="Y396" i="3"/>
  <c r="X396" i="3"/>
  <c r="G396" i="3"/>
  <c r="E396" i="3"/>
  <c r="D396" i="3"/>
  <c r="A425" i="4"/>
  <c r="X429" i="3"/>
  <c r="G429" i="3"/>
  <c r="E429" i="3"/>
  <c r="D429" i="3"/>
  <c r="Z429" i="3"/>
  <c r="Y429" i="3"/>
  <c r="C429" i="3"/>
  <c r="AB446" i="3"/>
  <c r="AA446" i="3"/>
  <c r="F446" i="3"/>
  <c r="B446" i="3"/>
  <c r="AD446" i="3"/>
  <c r="AC446" i="3"/>
  <c r="G319" i="4"/>
  <c r="F319" i="4"/>
  <c r="H319" i="4" s="1"/>
  <c r="C319" i="4"/>
  <c r="B319" i="4"/>
  <c r="K319" i="4"/>
  <c r="Y323" i="3"/>
  <c r="Z328" i="3"/>
  <c r="K331" i="4"/>
  <c r="Y335" i="3"/>
  <c r="F336" i="3"/>
  <c r="Z340" i="3"/>
  <c r="G341" i="3"/>
  <c r="X342" i="3"/>
  <c r="G343" i="4"/>
  <c r="F343" i="4"/>
  <c r="H343" i="4" s="1"/>
  <c r="C343" i="4"/>
  <c r="B343" i="4"/>
  <c r="K343" i="4"/>
  <c r="Y347" i="3"/>
  <c r="Z352" i="3"/>
  <c r="G353" i="3"/>
  <c r="L357" i="3"/>
  <c r="V358" i="3"/>
  <c r="J358" i="3"/>
  <c r="A361" i="4"/>
  <c r="D365" i="3"/>
  <c r="A363" i="4"/>
  <c r="G367" i="3"/>
  <c r="Z367" i="3"/>
  <c r="AD379" i="3"/>
  <c r="F379" i="3"/>
  <c r="B379" i="3"/>
  <c r="A383" i="4"/>
  <c r="D387" i="3"/>
  <c r="E389" i="3"/>
  <c r="E442" i="4"/>
  <c r="D442" i="4"/>
  <c r="T446" i="3"/>
  <c r="H446" i="3"/>
  <c r="P446" i="3"/>
  <c r="O446" i="3"/>
  <c r="W446" i="3"/>
  <c r="V446" i="3"/>
  <c r="U446" i="3"/>
  <c r="S446" i="3"/>
  <c r="R446" i="3"/>
  <c r="Q446" i="3"/>
  <c r="AE446" i="3"/>
  <c r="N446" i="3"/>
  <c r="M446" i="3"/>
  <c r="L446" i="3"/>
  <c r="K446" i="3"/>
  <c r="J446" i="3"/>
  <c r="I446" i="3"/>
  <c r="E458" i="4"/>
  <c r="D458" i="4"/>
  <c r="P462" i="3"/>
  <c r="O462" i="3"/>
  <c r="L462" i="3"/>
  <c r="W462" i="3"/>
  <c r="K462" i="3"/>
  <c r="U462" i="3"/>
  <c r="I462" i="3"/>
  <c r="T462" i="3"/>
  <c r="H462" i="3"/>
  <c r="V462" i="3"/>
  <c r="S462" i="3"/>
  <c r="R462" i="3"/>
  <c r="Q462" i="3"/>
  <c r="N462" i="3"/>
  <c r="M462" i="3"/>
  <c r="J462" i="3"/>
  <c r="AE462" i="3"/>
  <c r="G338" i="4"/>
  <c r="F338" i="4"/>
  <c r="H338" i="4" s="1"/>
  <c r="C338" i="4"/>
  <c r="B338" i="4"/>
  <c r="K338" i="4"/>
  <c r="Y342" i="3"/>
  <c r="A350" i="4"/>
  <c r="Z354" i="3"/>
  <c r="G359" i="4"/>
  <c r="F359" i="4"/>
  <c r="H359" i="4" s="1"/>
  <c r="C359" i="4"/>
  <c r="B359" i="4"/>
  <c r="K359" i="4"/>
  <c r="A360" i="4"/>
  <c r="D364" i="3"/>
  <c r="C364" i="3"/>
  <c r="E373" i="4"/>
  <c r="D373" i="4"/>
  <c r="U377" i="3"/>
  <c r="I377" i="3"/>
  <c r="T377" i="3"/>
  <c r="H377" i="3"/>
  <c r="P377" i="3"/>
  <c r="E375" i="4"/>
  <c r="D375" i="4"/>
  <c r="AE379" i="3"/>
  <c r="S379" i="3"/>
  <c r="R379" i="3"/>
  <c r="N379" i="3"/>
  <c r="A391" i="4"/>
  <c r="E395" i="3"/>
  <c r="Z395" i="3"/>
  <c r="Y395" i="3"/>
  <c r="X395" i="3"/>
  <c r="G395" i="3"/>
  <c r="AD412" i="3"/>
  <c r="F412" i="3"/>
  <c r="AA412" i="3"/>
  <c r="B412" i="3"/>
  <c r="AC412" i="3"/>
  <c r="AB412" i="3"/>
  <c r="F309" i="4"/>
  <c r="H309" i="4" s="1"/>
  <c r="C309" i="4"/>
  <c r="K309" i="4"/>
  <c r="G309" i="4"/>
  <c r="B309" i="4"/>
  <c r="Y313" i="3"/>
  <c r="X320" i="3"/>
  <c r="C323" i="3"/>
  <c r="G321" i="4"/>
  <c r="F321" i="4"/>
  <c r="H321" i="4" s="1"/>
  <c r="C321" i="4"/>
  <c r="B321" i="4"/>
  <c r="K321" i="4"/>
  <c r="Y325" i="3"/>
  <c r="D328" i="3"/>
  <c r="X332" i="3"/>
  <c r="C335" i="3"/>
  <c r="AA335" i="3"/>
  <c r="G333" i="4"/>
  <c r="Y337" i="3"/>
  <c r="D340" i="3"/>
  <c r="Z342" i="3"/>
  <c r="X344" i="3"/>
  <c r="C347" i="3"/>
  <c r="AA347" i="3"/>
  <c r="B345" i="4"/>
  <c r="K345" i="4"/>
  <c r="G345" i="4"/>
  <c r="F345" i="4"/>
  <c r="H345" i="4" s="1"/>
  <c r="C345" i="4"/>
  <c r="Y349" i="3"/>
  <c r="D352" i="3"/>
  <c r="N357" i="3"/>
  <c r="M358" i="3"/>
  <c r="AA359" i="3"/>
  <c r="B359" i="3"/>
  <c r="C365" i="3"/>
  <c r="D367" i="3"/>
  <c r="K377" i="3"/>
  <c r="K379" i="3"/>
  <c r="AA379" i="3"/>
  <c r="A377" i="4"/>
  <c r="E381" i="3"/>
  <c r="D381" i="3"/>
  <c r="X381" i="3"/>
  <c r="X382" i="3"/>
  <c r="C387" i="3"/>
  <c r="X387" i="3"/>
  <c r="K412" i="3"/>
  <c r="T412" i="3"/>
  <c r="L412" i="3"/>
  <c r="C316" i="4"/>
  <c r="B316" i="4"/>
  <c r="K316" i="4"/>
  <c r="G316" i="4"/>
  <c r="F316" i="4"/>
  <c r="H316" i="4" s="1"/>
  <c r="Y320" i="3"/>
  <c r="D323" i="3"/>
  <c r="E328" i="3"/>
  <c r="C328" i="4"/>
  <c r="B328" i="4"/>
  <c r="K328" i="4"/>
  <c r="G328" i="4"/>
  <c r="F328" i="4"/>
  <c r="H328" i="4" s="1"/>
  <c r="Y332" i="3"/>
  <c r="D335" i="3"/>
  <c r="AB335" i="3"/>
  <c r="X339" i="3"/>
  <c r="E340" i="3"/>
  <c r="C342" i="3"/>
  <c r="G340" i="4"/>
  <c r="Y344" i="3"/>
  <c r="D347" i="3"/>
  <c r="AB347" i="3"/>
  <c r="B349" i="3"/>
  <c r="X351" i="3"/>
  <c r="E352" i="3"/>
  <c r="C354" i="3"/>
  <c r="X355" i="3"/>
  <c r="A353" i="4"/>
  <c r="E357" i="3"/>
  <c r="D357" i="3"/>
  <c r="O357" i="3"/>
  <c r="AE357" i="3"/>
  <c r="AB358" i="3"/>
  <c r="E355" i="4"/>
  <c r="D355" i="4"/>
  <c r="O359" i="3"/>
  <c r="N359" i="3"/>
  <c r="C363" i="3"/>
  <c r="E364" i="3"/>
  <c r="E365" i="3"/>
  <c r="E367" i="3"/>
  <c r="AD374" i="3"/>
  <c r="F374" i="3"/>
  <c r="AC374" i="3"/>
  <c r="L377" i="3"/>
  <c r="L379" i="3"/>
  <c r="AB379" i="3"/>
  <c r="G382" i="3"/>
  <c r="Y382" i="3"/>
  <c r="E387" i="3"/>
  <c r="Y387" i="3"/>
  <c r="Y392" i="3"/>
  <c r="C395" i="3"/>
  <c r="K335" i="4"/>
  <c r="G335" i="4"/>
  <c r="F335" i="4"/>
  <c r="H335" i="4" s="1"/>
  <c r="C335" i="4"/>
  <c r="B335" i="4"/>
  <c r="Y339" i="3"/>
  <c r="D342" i="3"/>
  <c r="AA349" i="3"/>
  <c r="G347" i="4"/>
  <c r="F347" i="4"/>
  <c r="H347" i="4" s="1"/>
  <c r="C347" i="4"/>
  <c r="B347" i="4"/>
  <c r="K347" i="4"/>
  <c r="Y351" i="3"/>
  <c r="D354" i="3"/>
  <c r="K354" i="4"/>
  <c r="G354" i="4"/>
  <c r="F354" i="4"/>
  <c r="H354" i="4" s="1"/>
  <c r="C354" i="4"/>
  <c r="B354" i="4"/>
  <c r="O358" i="3"/>
  <c r="D363" i="3"/>
  <c r="F366" i="3"/>
  <c r="M377" i="3"/>
  <c r="AC378" i="3"/>
  <c r="M379" i="3"/>
  <c r="AC379" i="3"/>
  <c r="Z382" i="3"/>
  <c r="G387" i="3"/>
  <c r="Z387" i="3"/>
  <c r="D395" i="3"/>
  <c r="AC407" i="3"/>
  <c r="AD423" i="3"/>
  <c r="F423" i="3"/>
  <c r="AC423" i="3"/>
  <c r="AB423" i="3"/>
  <c r="AA423" i="3"/>
  <c r="B423" i="3"/>
  <c r="F330" i="4"/>
  <c r="H330" i="4" s="1"/>
  <c r="C330" i="4"/>
  <c r="Y334" i="3"/>
  <c r="F335" i="3"/>
  <c r="Z339" i="3"/>
  <c r="G340" i="3"/>
  <c r="X341" i="3"/>
  <c r="E342" i="3"/>
  <c r="K342" i="4"/>
  <c r="C342" i="4"/>
  <c r="B342" i="4"/>
  <c r="G342" i="4"/>
  <c r="F342" i="4"/>
  <c r="H342" i="4" s="1"/>
  <c r="Y346" i="3"/>
  <c r="F347" i="3"/>
  <c r="AB349" i="3"/>
  <c r="Z351" i="3"/>
  <c r="G352" i="3"/>
  <c r="X353" i="3"/>
  <c r="E354" i="3"/>
  <c r="S357" i="3"/>
  <c r="B358" i="3"/>
  <c r="E363" i="3"/>
  <c r="G364" i="3"/>
  <c r="G365" i="3"/>
  <c r="X365" i="3"/>
  <c r="X367" i="3"/>
  <c r="N377" i="3"/>
  <c r="O379" i="3"/>
  <c r="A376" i="4"/>
  <c r="X380" i="3"/>
  <c r="G380" i="3"/>
  <c r="E380" i="3"/>
  <c r="A388" i="4"/>
  <c r="X392" i="3"/>
  <c r="G392" i="3"/>
  <c r="E392" i="3"/>
  <c r="W407" i="3"/>
  <c r="U407" i="3"/>
  <c r="F337" i="4"/>
  <c r="H337" i="4" s="1"/>
  <c r="C337" i="4"/>
  <c r="B337" i="4"/>
  <c r="K337" i="4"/>
  <c r="G337" i="4"/>
  <c r="Y341" i="3"/>
  <c r="B346" i="3"/>
  <c r="AC349" i="3"/>
  <c r="C351" i="3"/>
  <c r="F349" i="4"/>
  <c r="H349" i="4" s="1"/>
  <c r="C349" i="4"/>
  <c r="B349" i="4"/>
  <c r="K349" i="4"/>
  <c r="G349" i="4"/>
  <c r="Y353" i="3"/>
  <c r="A351" i="4"/>
  <c r="G355" i="3"/>
  <c r="T357" i="3"/>
  <c r="C358" i="3"/>
  <c r="Q358" i="3"/>
  <c r="AE358" i="3"/>
  <c r="G363" i="3"/>
  <c r="X363" i="3"/>
  <c r="X364" i="3"/>
  <c r="Y365" i="3"/>
  <c r="Y367" i="3"/>
  <c r="O377" i="3"/>
  <c r="AE377" i="3"/>
  <c r="P379" i="3"/>
  <c r="AB388" i="3"/>
  <c r="AA388" i="3"/>
  <c r="AB398" i="3"/>
  <c r="AA404" i="3"/>
  <c r="B404" i="3"/>
  <c r="AD404" i="3"/>
  <c r="AC404" i="3"/>
  <c r="AB404" i="3"/>
  <c r="AA416" i="3"/>
  <c r="B416" i="3"/>
  <c r="AD416" i="3"/>
  <c r="AC416" i="3"/>
  <c r="Y300" i="3"/>
  <c r="G308" i="4"/>
  <c r="C308" i="4"/>
  <c r="B308" i="4"/>
  <c r="K308" i="4"/>
  <c r="F308" i="4"/>
  <c r="H308" i="4" s="1"/>
  <c r="Y312" i="3"/>
  <c r="E320" i="3"/>
  <c r="G320" i="4"/>
  <c r="F320" i="4"/>
  <c r="H320" i="4" s="1"/>
  <c r="C320" i="4"/>
  <c r="B320" i="4"/>
  <c r="K320" i="4"/>
  <c r="Y324" i="3"/>
  <c r="E332" i="3"/>
  <c r="C334" i="3"/>
  <c r="G332" i="4"/>
  <c r="F332" i="4"/>
  <c r="H332" i="4" s="1"/>
  <c r="C332" i="4"/>
  <c r="B332" i="4"/>
  <c r="K332" i="4"/>
  <c r="Y336" i="3"/>
  <c r="D339" i="3"/>
  <c r="Z341" i="3"/>
  <c r="G342" i="3"/>
  <c r="E344" i="3"/>
  <c r="C346" i="3"/>
  <c r="K344" i="4"/>
  <c r="G344" i="4"/>
  <c r="F344" i="4"/>
  <c r="H344" i="4" s="1"/>
  <c r="B344" i="4"/>
  <c r="C344" i="4"/>
  <c r="Y348" i="3"/>
  <c r="F349" i="3"/>
  <c r="D351" i="3"/>
  <c r="Z353" i="3"/>
  <c r="G354" i="3"/>
  <c r="G357" i="3"/>
  <c r="U357" i="3"/>
  <c r="D358" i="3"/>
  <c r="A355" i="4"/>
  <c r="C359" i="3"/>
  <c r="Z359" i="3"/>
  <c r="Q359" i="3"/>
  <c r="AE359" i="3"/>
  <c r="Y363" i="3"/>
  <c r="Y364" i="3"/>
  <c r="Z365" i="3"/>
  <c r="AA366" i="3"/>
  <c r="A373" i="4"/>
  <c r="D377" i="3"/>
  <c r="Q377" i="3"/>
  <c r="A375" i="4"/>
  <c r="G379" i="3"/>
  <c r="Z379" i="3"/>
  <c r="Q379" i="3"/>
  <c r="C380" i="3"/>
  <c r="Z381" i="3"/>
  <c r="AD386" i="3"/>
  <c r="F386" i="3"/>
  <c r="AC386" i="3"/>
  <c r="C392" i="3"/>
  <c r="A389" i="4"/>
  <c r="X393" i="3"/>
  <c r="E393" i="3"/>
  <c r="D393" i="3"/>
  <c r="C393" i="3"/>
  <c r="Z393" i="3"/>
  <c r="Y393" i="3"/>
  <c r="E400" i="4"/>
  <c r="D400" i="4"/>
  <c r="AE404" i="3"/>
  <c r="S404" i="3"/>
  <c r="O404" i="3"/>
  <c r="N404" i="3"/>
  <c r="U404" i="3"/>
  <c r="T404" i="3"/>
  <c r="R404" i="3"/>
  <c r="Q404" i="3"/>
  <c r="P404" i="3"/>
  <c r="M404" i="3"/>
  <c r="L404" i="3"/>
  <c r="K404" i="3"/>
  <c r="AE416" i="3"/>
  <c r="S416" i="3"/>
  <c r="T416" i="3"/>
  <c r="M416" i="3"/>
  <c r="L416" i="3"/>
  <c r="A405" i="4"/>
  <c r="D409" i="3"/>
  <c r="C409" i="3"/>
  <c r="X409" i="3"/>
  <c r="AD411" i="3"/>
  <c r="F411" i="3"/>
  <c r="B411" i="3"/>
  <c r="AD431" i="3"/>
  <c r="A450" i="4"/>
  <c r="X454" i="3"/>
  <c r="G454" i="3"/>
  <c r="Z454" i="3"/>
  <c r="Y454" i="3"/>
  <c r="E454" i="3"/>
  <c r="D454" i="3"/>
  <c r="C454" i="3"/>
  <c r="E469" i="4"/>
  <c r="D469" i="4"/>
  <c r="R473" i="3"/>
  <c r="K473" i="3"/>
  <c r="W473" i="3"/>
  <c r="J473" i="3"/>
  <c r="V473" i="3"/>
  <c r="I473" i="3"/>
  <c r="U473" i="3"/>
  <c r="H473" i="3"/>
  <c r="T473" i="3"/>
  <c r="S473" i="3"/>
  <c r="AE473" i="3"/>
  <c r="Q473" i="3"/>
  <c r="P473" i="3"/>
  <c r="O473" i="3"/>
  <c r="M473" i="3"/>
  <c r="L473" i="3"/>
  <c r="K380" i="4"/>
  <c r="G380" i="4"/>
  <c r="F380" i="4"/>
  <c r="H380" i="4" s="1"/>
  <c r="C380" i="4"/>
  <c r="B380" i="4"/>
  <c r="Y384" i="3"/>
  <c r="X391" i="3"/>
  <c r="A393" i="4"/>
  <c r="C397" i="3"/>
  <c r="AD400" i="3"/>
  <c r="F400" i="3"/>
  <c r="E397" i="4"/>
  <c r="D397" i="4"/>
  <c r="P401" i="3"/>
  <c r="L401" i="3"/>
  <c r="W401" i="3"/>
  <c r="K401" i="3"/>
  <c r="U402" i="3"/>
  <c r="B414" i="3"/>
  <c r="E427" i="4"/>
  <c r="O431" i="3"/>
  <c r="AA445" i="3"/>
  <c r="F445" i="3"/>
  <c r="B445" i="3"/>
  <c r="AD445" i="3"/>
  <c r="AC445" i="3"/>
  <c r="AB445" i="3"/>
  <c r="G387" i="4"/>
  <c r="K387" i="4"/>
  <c r="F387" i="4"/>
  <c r="H387" i="4" s="1"/>
  <c r="C387" i="4"/>
  <c r="B387" i="4"/>
  <c r="Y391" i="3"/>
  <c r="AD399" i="3"/>
  <c r="F399" i="3"/>
  <c r="D396" i="4"/>
  <c r="E396" i="4"/>
  <c r="W400" i="3"/>
  <c r="K400" i="3"/>
  <c r="AE400" i="3"/>
  <c r="S400" i="3"/>
  <c r="R400" i="3"/>
  <c r="E409" i="3"/>
  <c r="AA411" i="3"/>
  <c r="A409" i="4"/>
  <c r="D413" i="3"/>
  <c r="X413" i="3"/>
  <c r="A413" i="4"/>
  <c r="X417" i="3"/>
  <c r="G417" i="3"/>
  <c r="D417" i="3"/>
  <c r="AD419" i="3"/>
  <c r="F419" i="3"/>
  <c r="AC419" i="3"/>
  <c r="AA419" i="3"/>
  <c r="B419" i="3"/>
  <c r="A420" i="4"/>
  <c r="G424" i="3"/>
  <c r="D424" i="3"/>
  <c r="C424" i="3"/>
  <c r="E441" i="4"/>
  <c r="D441" i="4"/>
  <c r="O445" i="3"/>
  <c r="W445" i="3"/>
  <c r="K445" i="3"/>
  <c r="V445" i="3"/>
  <c r="J445" i="3"/>
  <c r="U445" i="3"/>
  <c r="T445" i="3"/>
  <c r="S445" i="3"/>
  <c r="R445" i="3"/>
  <c r="Q445" i="3"/>
  <c r="AE445" i="3"/>
  <c r="P445" i="3"/>
  <c r="N445" i="3"/>
  <c r="M445" i="3"/>
  <c r="L445" i="3"/>
  <c r="A453" i="4"/>
  <c r="C457" i="3"/>
  <c r="Z457" i="3"/>
  <c r="G457" i="3"/>
  <c r="Y457" i="3"/>
  <c r="X457" i="3"/>
  <c r="E457" i="3"/>
  <c r="C358" i="4"/>
  <c r="K358" i="4"/>
  <c r="B358" i="4"/>
  <c r="G358" i="4"/>
  <c r="F358" i="4"/>
  <c r="H358" i="4" s="1"/>
  <c r="Y362" i="3"/>
  <c r="C370" i="4"/>
  <c r="B370" i="4"/>
  <c r="K370" i="4"/>
  <c r="F370" i="4"/>
  <c r="H370" i="4" s="1"/>
  <c r="G370" i="4"/>
  <c r="Y374" i="3"/>
  <c r="C384" i="3"/>
  <c r="C382" i="4"/>
  <c r="B382" i="4"/>
  <c r="K382" i="4"/>
  <c r="G382" i="4"/>
  <c r="F382" i="4"/>
  <c r="H382" i="4" s="1"/>
  <c r="Y386" i="3"/>
  <c r="Z391" i="3"/>
  <c r="D397" i="3"/>
  <c r="J400" i="3"/>
  <c r="J401" i="3"/>
  <c r="A404" i="4"/>
  <c r="C408" i="3"/>
  <c r="G408" i="3"/>
  <c r="AB411" i="3"/>
  <c r="A415" i="4"/>
  <c r="E419" i="3"/>
  <c r="C419" i="3"/>
  <c r="Z419" i="3"/>
  <c r="Y419" i="3"/>
  <c r="K424" i="4"/>
  <c r="G424" i="4"/>
  <c r="F424" i="4"/>
  <c r="H424" i="4" s="1"/>
  <c r="C424" i="4"/>
  <c r="B424" i="4"/>
  <c r="AA440" i="3"/>
  <c r="K482" i="4"/>
  <c r="G482" i="4"/>
  <c r="F482" i="4"/>
  <c r="H482" i="4" s="1"/>
  <c r="C482" i="4"/>
  <c r="B482" i="4"/>
  <c r="A401" i="4"/>
  <c r="X405" i="3"/>
  <c r="G405" i="3"/>
  <c r="A403" i="4"/>
  <c r="E407" i="3"/>
  <c r="G409" i="3"/>
  <c r="Y409" i="3"/>
  <c r="AC411" i="3"/>
  <c r="AC414" i="3"/>
  <c r="AB414" i="3"/>
  <c r="A433" i="4"/>
  <c r="X437" i="3"/>
  <c r="G437" i="3"/>
  <c r="E437" i="3"/>
  <c r="D437" i="3"/>
  <c r="C437" i="3"/>
  <c r="N440" i="3"/>
  <c r="T440" i="3"/>
  <c r="M440" i="3"/>
  <c r="AE449" i="3"/>
  <c r="Q449" i="3"/>
  <c r="AD461" i="3"/>
  <c r="F461" i="3"/>
  <c r="AB461" i="3"/>
  <c r="AA461" i="3"/>
  <c r="AC461" i="3"/>
  <c r="B461" i="3"/>
  <c r="D464" i="4"/>
  <c r="I468" i="3"/>
  <c r="T468" i="3"/>
  <c r="N468" i="3"/>
  <c r="L468" i="3"/>
  <c r="K468" i="3"/>
  <c r="A488" i="4"/>
  <c r="G492" i="3"/>
  <c r="E492" i="3"/>
  <c r="Z492" i="3"/>
  <c r="Y492" i="3"/>
  <c r="X492" i="3"/>
  <c r="D492" i="3"/>
  <c r="G384" i="4"/>
  <c r="F384" i="4"/>
  <c r="H384" i="4" s="1"/>
  <c r="C384" i="4"/>
  <c r="B384" i="4"/>
  <c r="K384" i="4"/>
  <c r="Y388" i="3"/>
  <c r="D391" i="3"/>
  <c r="M400" i="3"/>
  <c r="Z409" i="3"/>
  <c r="E413" i="3"/>
  <c r="E417" i="3"/>
  <c r="Y417" i="3"/>
  <c r="D437" i="4"/>
  <c r="E437" i="4"/>
  <c r="AE441" i="3"/>
  <c r="S441" i="3"/>
  <c r="O441" i="3"/>
  <c r="N441" i="3"/>
  <c r="U441" i="3"/>
  <c r="T441" i="3"/>
  <c r="R441" i="3"/>
  <c r="Q441" i="3"/>
  <c r="P441" i="3"/>
  <c r="M441" i="3"/>
  <c r="L441" i="3"/>
  <c r="K441" i="3"/>
  <c r="J441" i="3"/>
  <c r="AC444" i="3"/>
  <c r="AA444" i="3"/>
  <c r="A461" i="4"/>
  <c r="G465" i="3"/>
  <c r="C465" i="3"/>
  <c r="Z465" i="3"/>
  <c r="X465" i="3"/>
  <c r="E465" i="3"/>
  <c r="A477" i="4"/>
  <c r="Y481" i="3"/>
  <c r="X481" i="3"/>
  <c r="G481" i="3"/>
  <c r="E481" i="3"/>
  <c r="D481" i="3"/>
  <c r="C481" i="3"/>
  <c r="Z481" i="3"/>
  <c r="A399" i="4"/>
  <c r="Z403" i="3"/>
  <c r="A400" i="4"/>
  <c r="G404" i="3"/>
  <c r="C404" i="3"/>
  <c r="Z404" i="3"/>
  <c r="C405" i="3"/>
  <c r="C407" i="3"/>
  <c r="A408" i="4"/>
  <c r="G412" i="3"/>
  <c r="C412" i="3"/>
  <c r="Y413" i="3"/>
  <c r="AA414" i="3"/>
  <c r="A412" i="4"/>
  <c r="G416" i="3"/>
  <c r="C416" i="3"/>
  <c r="Z416" i="3"/>
  <c r="Z417" i="3"/>
  <c r="V444" i="3"/>
  <c r="J444" i="3"/>
  <c r="R444" i="3"/>
  <c r="Q444" i="3"/>
  <c r="T444" i="3"/>
  <c r="O444" i="3"/>
  <c r="AE444" i="3"/>
  <c r="L444" i="3"/>
  <c r="K444" i="3"/>
  <c r="D465" i="3"/>
  <c r="C492" i="3"/>
  <c r="E362" i="3"/>
  <c r="G362" i="4"/>
  <c r="F362" i="4"/>
  <c r="H362" i="4" s="1"/>
  <c r="C362" i="4"/>
  <c r="K362" i="4"/>
  <c r="B362" i="4"/>
  <c r="Y366" i="3"/>
  <c r="E374" i="3"/>
  <c r="G374" i="4"/>
  <c r="F374" i="4"/>
  <c r="H374" i="4" s="1"/>
  <c r="C374" i="4"/>
  <c r="K374" i="4"/>
  <c r="B374" i="4"/>
  <c r="Y378" i="3"/>
  <c r="G384" i="3"/>
  <c r="E386" i="3"/>
  <c r="C388" i="3"/>
  <c r="F386" i="4"/>
  <c r="H386" i="4" s="1"/>
  <c r="K386" i="4"/>
  <c r="G386" i="4"/>
  <c r="C386" i="4"/>
  <c r="B386" i="4"/>
  <c r="Y390" i="3"/>
  <c r="A390" i="4"/>
  <c r="E394" i="3"/>
  <c r="X394" i="3"/>
  <c r="O400" i="3"/>
  <c r="A397" i="4"/>
  <c r="D401" i="3"/>
  <c r="X401" i="3"/>
  <c r="Q401" i="3"/>
  <c r="A398" i="4"/>
  <c r="E402" i="3"/>
  <c r="D402" i="3"/>
  <c r="C403" i="3"/>
  <c r="D404" i="3"/>
  <c r="D405" i="3"/>
  <c r="D407" i="3"/>
  <c r="F408" i="3"/>
  <c r="Y408" i="3"/>
  <c r="G413" i="3"/>
  <c r="Z413" i="3"/>
  <c r="AD414" i="3"/>
  <c r="D416" i="3"/>
  <c r="A427" i="4"/>
  <c r="G431" i="3"/>
  <c r="E431" i="3"/>
  <c r="D431" i="3"/>
  <c r="C431" i="3"/>
  <c r="Z431" i="3"/>
  <c r="H441" i="3"/>
  <c r="F447" i="3"/>
  <c r="B447" i="3"/>
  <c r="AD447" i="3"/>
  <c r="AC447" i="3"/>
  <c r="AB447" i="3"/>
  <c r="AD448" i="3"/>
  <c r="F448" i="3"/>
  <c r="B448" i="3"/>
  <c r="AC448" i="3"/>
  <c r="AB448" i="3"/>
  <c r="B357" i="4"/>
  <c r="K357" i="4"/>
  <c r="G357" i="4"/>
  <c r="F357" i="4"/>
  <c r="H357" i="4" s="1"/>
  <c r="C357" i="4"/>
  <c r="Y361" i="3"/>
  <c r="Z366" i="3"/>
  <c r="Y373" i="3"/>
  <c r="Z378" i="3"/>
  <c r="B381" i="4"/>
  <c r="K381" i="4"/>
  <c r="G381" i="4"/>
  <c r="F381" i="4"/>
  <c r="H381" i="4" s="1"/>
  <c r="C381" i="4"/>
  <c r="Y385" i="3"/>
  <c r="D388" i="3"/>
  <c r="Z390" i="3"/>
  <c r="G391" i="3"/>
  <c r="X397" i="3"/>
  <c r="A396" i="4"/>
  <c r="G400" i="3"/>
  <c r="P400" i="3"/>
  <c r="R401" i="3"/>
  <c r="D403" i="3"/>
  <c r="E404" i="3"/>
  <c r="E405" i="3"/>
  <c r="G407" i="3"/>
  <c r="Z408" i="3"/>
  <c r="D412" i="3"/>
  <c r="E416" i="3"/>
  <c r="Y437" i="3"/>
  <c r="I441" i="3"/>
  <c r="AA448" i="3"/>
  <c r="A458" i="4"/>
  <c r="D462" i="3"/>
  <c r="C462" i="3"/>
  <c r="X462" i="3"/>
  <c r="G462" i="3"/>
  <c r="Y465" i="3"/>
  <c r="D472" i="4"/>
  <c r="E472" i="4"/>
  <c r="U476" i="3"/>
  <c r="I476" i="3"/>
  <c r="W476" i="3"/>
  <c r="J476" i="3"/>
  <c r="V476" i="3"/>
  <c r="H476" i="3"/>
  <c r="T476" i="3"/>
  <c r="S476" i="3"/>
  <c r="AE476" i="3"/>
  <c r="R476" i="3"/>
  <c r="Q476" i="3"/>
  <c r="P476" i="3"/>
  <c r="O476" i="3"/>
  <c r="N476" i="3"/>
  <c r="M476" i="3"/>
  <c r="L476" i="3"/>
  <c r="K476" i="3"/>
  <c r="F410" i="4"/>
  <c r="H410" i="4" s="1"/>
  <c r="C410" i="4"/>
  <c r="G410" i="4"/>
  <c r="B410" i="4"/>
  <c r="K410" i="4"/>
  <c r="Y414" i="3"/>
  <c r="G420" i="3"/>
  <c r="X421" i="3"/>
  <c r="AC422" i="3"/>
  <c r="K422" i="4"/>
  <c r="G422" i="4"/>
  <c r="C422" i="4"/>
  <c r="B422" i="4"/>
  <c r="F422" i="4"/>
  <c r="H422" i="4" s="1"/>
  <c r="Y426" i="3"/>
  <c r="G432" i="3"/>
  <c r="X433" i="3"/>
  <c r="Q434" i="3"/>
  <c r="T436" i="3"/>
  <c r="J438" i="3"/>
  <c r="W438" i="3"/>
  <c r="A452" i="4"/>
  <c r="E456" i="3"/>
  <c r="F417" i="4"/>
  <c r="H417" i="4" s="1"/>
  <c r="B417" i="4"/>
  <c r="G417" i="4"/>
  <c r="C417" i="4"/>
  <c r="K417" i="4"/>
  <c r="Y421" i="3"/>
  <c r="F422" i="3"/>
  <c r="X428" i="3"/>
  <c r="F429" i="4"/>
  <c r="H429" i="4" s="1"/>
  <c r="B429" i="4"/>
  <c r="G429" i="4"/>
  <c r="C429" i="4"/>
  <c r="K429" i="4"/>
  <c r="Y433" i="3"/>
  <c r="A436" i="4"/>
  <c r="Z440" i="3"/>
  <c r="A448" i="4"/>
  <c r="Z452" i="3"/>
  <c r="A449" i="4"/>
  <c r="G453" i="3"/>
  <c r="C453" i="3"/>
  <c r="Z453" i="3"/>
  <c r="AD460" i="3"/>
  <c r="A462" i="4"/>
  <c r="X466" i="3"/>
  <c r="G466" i="3"/>
  <c r="E466" i="3"/>
  <c r="D466" i="3"/>
  <c r="Y466" i="3"/>
  <c r="A464" i="4"/>
  <c r="G468" i="3"/>
  <c r="E468" i="3"/>
  <c r="C468" i="3"/>
  <c r="Z468" i="3"/>
  <c r="E476" i="4"/>
  <c r="D476" i="4"/>
  <c r="Q480" i="3"/>
  <c r="P480" i="3"/>
  <c r="O480" i="3"/>
  <c r="N480" i="3"/>
  <c r="M480" i="3"/>
  <c r="L480" i="3"/>
  <c r="K480" i="3"/>
  <c r="W480" i="3"/>
  <c r="J480" i="3"/>
  <c r="V480" i="3"/>
  <c r="I480" i="3"/>
  <c r="U480" i="3"/>
  <c r="H480" i="3"/>
  <c r="AD501" i="3"/>
  <c r="F501" i="3"/>
  <c r="AC501" i="3"/>
  <c r="AB501" i="3"/>
  <c r="AA501" i="3"/>
  <c r="B501" i="3"/>
  <c r="Y428" i="3"/>
  <c r="E434" i="4"/>
  <c r="D434" i="4"/>
  <c r="P438" i="3"/>
  <c r="A446" i="4"/>
  <c r="D450" i="3"/>
  <c r="X450" i="3"/>
  <c r="A447" i="4"/>
  <c r="E451" i="3"/>
  <c r="D451" i="3"/>
  <c r="AC463" i="3"/>
  <c r="AB463" i="3"/>
  <c r="B463" i="3"/>
  <c r="Z466" i="3"/>
  <c r="AD497" i="3"/>
  <c r="F497" i="3"/>
  <c r="AC497" i="3"/>
  <c r="AB497" i="3"/>
  <c r="AA497" i="3"/>
  <c r="E497" i="4"/>
  <c r="D497" i="4"/>
  <c r="T501" i="3"/>
  <c r="H501" i="3"/>
  <c r="AE501" i="3"/>
  <c r="S501" i="3"/>
  <c r="R501" i="3"/>
  <c r="Q501" i="3"/>
  <c r="P501" i="3"/>
  <c r="O501" i="3"/>
  <c r="N501" i="3"/>
  <c r="V501" i="3"/>
  <c r="U501" i="3"/>
  <c r="M501" i="3"/>
  <c r="L501" i="3"/>
  <c r="K501" i="3"/>
  <c r="J501" i="3"/>
  <c r="I501" i="3"/>
  <c r="C395" i="4"/>
  <c r="K395" i="4"/>
  <c r="G395" i="4"/>
  <c r="B395" i="4"/>
  <c r="F395" i="4"/>
  <c r="H395" i="4" s="1"/>
  <c r="Y399" i="3"/>
  <c r="X406" i="3"/>
  <c r="C407" i="4"/>
  <c r="B407" i="4"/>
  <c r="K407" i="4"/>
  <c r="F407" i="4"/>
  <c r="H407" i="4" s="1"/>
  <c r="G407" i="4"/>
  <c r="Y411" i="3"/>
  <c r="D414" i="3"/>
  <c r="X418" i="3"/>
  <c r="C421" i="3"/>
  <c r="G419" i="4"/>
  <c r="C419" i="4"/>
  <c r="B419" i="4"/>
  <c r="F419" i="4"/>
  <c r="H419" i="4" s="1"/>
  <c r="K419" i="4"/>
  <c r="Y423" i="3"/>
  <c r="D426" i="3"/>
  <c r="Z428" i="3"/>
  <c r="X430" i="3"/>
  <c r="C433" i="3"/>
  <c r="H434" i="3"/>
  <c r="U434" i="3"/>
  <c r="B435" i="3"/>
  <c r="AB435" i="3"/>
  <c r="J436" i="3"/>
  <c r="W436" i="3"/>
  <c r="M438" i="3"/>
  <c r="H439" i="3"/>
  <c r="V439" i="3"/>
  <c r="D440" i="3"/>
  <c r="A445" i="4"/>
  <c r="G449" i="3"/>
  <c r="D452" i="3"/>
  <c r="E453" i="3"/>
  <c r="D456" i="3"/>
  <c r="AA463" i="3"/>
  <c r="C466" i="3"/>
  <c r="P497" i="3"/>
  <c r="G402" i="4"/>
  <c r="C402" i="4"/>
  <c r="B402" i="4"/>
  <c r="F402" i="4"/>
  <c r="H402" i="4" s="1"/>
  <c r="K402" i="4"/>
  <c r="Y406" i="3"/>
  <c r="E414" i="3"/>
  <c r="B414" i="4"/>
  <c r="K414" i="4"/>
  <c r="G414" i="4"/>
  <c r="F414" i="4"/>
  <c r="H414" i="4" s="1"/>
  <c r="C414" i="4"/>
  <c r="Y418" i="3"/>
  <c r="D421" i="3"/>
  <c r="X425" i="3"/>
  <c r="E426" i="3"/>
  <c r="C428" i="3"/>
  <c r="C426" i="4"/>
  <c r="B426" i="4"/>
  <c r="K426" i="4"/>
  <c r="G426" i="4"/>
  <c r="F426" i="4"/>
  <c r="H426" i="4" s="1"/>
  <c r="Y430" i="3"/>
  <c r="D433" i="3"/>
  <c r="I434" i="3"/>
  <c r="V434" i="3"/>
  <c r="X436" i="3"/>
  <c r="A434" i="4"/>
  <c r="D438" i="3"/>
  <c r="N438" i="3"/>
  <c r="AA438" i="3"/>
  <c r="J439" i="3"/>
  <c r="E440" i="3"/>
  <c r="A438" i="4"/>
  <c r="X442" i="3"/>
  <c r="G442" i="3"/>
  <c r="A441" i="4"/>
  <c r="C445" i="3"/>
  <c r="A442" i="4"/>
  <c r="D446" i="3"/>
  <c r="C446" i="3"/>
  <c r="C450" i="3"/>
  <c r="C451" i="3"/>
  <c r="E452" i="3"/>
  <c r="G456" i="3"/>
  <c r="X456" i="3"/>
  <c r="F463" i="3"/>
  <c r="AD463" i="3"/>
  <c r="F421" i="4"/>
  <c r="H421" i="4" s="1"/>
  <c r="K421" i="4"/>
  <c r="G421" i="4"/>
  <c r="C421" i="4"/>
  <c r="B421" i="4"/>
  <c r="Y425" i="3"/>
  <c r="D428" i="3"/>
  <c r="E433" i="3"/>
  <c r="E432" i="4"/>
  <c r="D432" i="4"/>
  <c r="R436" i="3"/>
  <c r="B438" i="3"/>
  <c r="O438" i="3"/>
  <c r="AC438" i="3"/>
  <c r="A437" i="4"/>
  <c r="G441" i="3"/>
  <c r="Z441" i="3"/>
  <c r="A440" i="4"/>
  <c r="E444" i="3"/>
  <c r="E450" i="3"/>
  <c r="Y456" i="3"/>
  <c r="A469" i="4"/>
  <c r="X473" i="3"/>
  <c r="G473" i="3"/>
  <c r="E473" i="3"/>
  <c r="D473" i="3"/>
  <c r="C473" i="3"/>
  <c r="R480" i="3"/>
  <c r="F416" i="4"/>
  <c r="H416" i="4" s="1"/>
  <c r="C416" i="4"/>
  <c r="B416" i="4"/>
  <c r="G416" i="4"/>
  <c r="K416" i="4"/>
  <c r="Y420" i="3"/>
  <c r="Z425" i="3"/>
  <c r="X427" i="3"/>
  <c r="E428" i="3"/>
  <c r="K428" i="4"/>
  <c r="C428" i="4"/>
  <c r="B428" i="4"/>
  <c r="G428" i="4"/>
  <c r="F428" i="4"/>
  <c r="H428" i="4" s="1"/>
  <c r="Y432" i="3"/>
  <c r="M436" i="3"/>
  <c r="Z436" i="3"/>
  <c r="Q438" i="3"/>
  <c r="AD438" i="3"/>
  <c r="D435" i="4"/>
  <c r="E435" i="4"/>
  <c r="U439" i="3"/>
  <c r="I439" i="3"/>
  <c r="G440" i="3"/>
  <c r="C441" i="3"/>
  <c r="G451" i="3"/>
  <c r="G452" i="3"/>
  <c r="X452" i="3"/>
  <c r="X453" i="3"/>
  <c r="Z456" i="3"/>
  <c r="A457" i="4"/>
  <c r="G461" i="3"/>
  <c r="D461" i="3"/>
  <c r="C461" i="3"/>
  <c r="Y461" i="3"/>
  <c r="B464" i="3"/>
  <c r="AD464" i="3"/>
  <c r="F464" i="3"/>
  <c r="S480" i="3"/>
  <c r="K423" i="4"/>
  <c r="G423" i="4"/>
  <c r="F423" i="4"/>
  <c r="H423" i="4" s="1"/>
  <c r="C423" i="4"/>
  <c r="B423" i="4"/>
  <c r="Y427" i="3"/>
  <c r="B432" i="3"/>
  <c r="G433" i="3"/>
  <c r="E430" i="4"/>
  <c r="D430" i="4"/>
  <c r="T434" i="3"/>
  <c r="C432" i="4"/>
  <c r="B432" i="4"/>
  <c r="K432" i="4"/>
  <c r="G432" i="4"/>
  <c r="F432" i="4"/>
  <c r="H432" i="4" s="1"/>
  <c r="N436" i="3"/>
  <c r="R438" i="3"/>
  <c r="AE438" i="3"/>
  <c r="M439" i="3"/>
  <c r="D441" i="3"/>
  <c r="C444" i="3"/>
  <c r="G450" i="3"/>
  <c r="X451" i="3"/>
  <c r="Y452" i="3"/>
  <c r="Y453" i="3"/>
  <c r="Z461" i="3"/>
  <c r="AA464" i="3"/>
  <c r="T480" i="3"/>
  <c r="AD499" i="3"/>
  <c r="F499" i="3"/>
  <c r="AC499" i="3"/>
  <c r="AB499" i="3"/>
  <c r="AA499" i="3"/>
  <c r="B499" i="3"/>
  <c r="B394" i="4"/>
  <c r="K394" i="4"/>
  <c r="G394" i="4"/>
  <c r="F394" i="4"/>
  <c r="H394" i="4" s="1"/>
  <c r="C394" i="4"/>
  <c r="Y398" i="3"/>
  <c r="E406" i="3"/>
  <c r="B406" i="4"/>
  <c r="K406" i="4"/>
  <c r="G406" i="4"/>
  <c r="F406" i="4"/>
  <c r="H406" i="4" s="1"/>
  <c r="C406" i="4"/>
  <c r="Y410" i="3"/>
  <c r="E418" i="3"/>
  <c r="C420" i="3"/>
  <c r="G418" i="4"/>
  <c r="F418" i="4"/>
  <c r="H418" i="4" s="1"/>
  <c r="C418" i="4"/>
  <c r="K418" i="4"/>
  <c r="B418" i="4"/>
  <c r="Y422" i="3"/>
  <c r="D425" i="3"/>
  <c r="Z427" i="3"/>
  <c r="G428" i="3"/>
  <c r="E430" i="3"/>
  <c r="C432" i="3"/>
  <c r="G430" i="4"/>
  <c r="F430" i="4"/>
  <c r="H430" i="4" s="1"/>
  <c r="C430" i="4"/>
  <c r="K430" i="4"/>
  <c r="B430" i="4"/>
  <c r="M434" i="3"/>
  <c r="Z434" i="3"/>
  <c r="O436" i="3"/>
  <c r="F438" i="3"/>
  <c r="S438" i="3"/>
  <c r="K435" i="4"/>
  <c r="C435" i="4"/>
  <c r="B435" i="4"/>
  <c r="F435" i="4"/>
  <c r="H435" i="4" s="1"/>
  <c r="G435" i="4"/>
  <c r="N439" i="3"/>
  <c r="E441" i="3"/>
  <c r="E442" i="3"/>
  <c r="D444" i="3"/>
  <c r="G446" i="3"/>
  <c r="X449" i="3"/>
  <c r="Y450" i="3"/>
  <c r="Y451" i="3"/>
  <c r="E461" i="3"/>
  <c r="AB464" i="3"/>
  <c r="X468" i="3"/>
  <c r="A474" i="4"/>
  <c r="G478" i="3"/>
  <c r="Z478" i="3"/>
  <c r="Y478" i="3"/>
  <c r="X478" i="3"/>
  <c r="E478" i="3"/>
  <c r="D478" i="3"/>
  <c r="G459" i="4"/>
  <c r="Y463" i="3"/>
  <c r="F475" i="3"/>
  <c r="K472" i="4"/>
  <c r="C472" i="4"/>
  <c r="B472" i="4"/>
  <c r="G472" i="4"/>
  <c r="F472" i="4"/>
  <c r="H472" i="4" s="1"/>
  <c r="S483" i="3"/>
  <c r="A483" i="4"/>
  <c r="D487" i="3"/>
  <c r="A486" i="4"/>
  <c r="G490" i="3"/>
  <c r="C487" i="4"/>
  <c r="B487" i="4"/>
  <c r="K487" i="4"/>
  <c r="G487" i="4"/>
  <c r="F487" i="4"/>
  <c r="H487" i="4" s="1"/>
  <c r="G454" i="4"/>
  <c r="F454" i="4"/>
  <c r="H454" i="4" s="1"/>
  <c r="C454" i="4"/>
  <c r="B454" i="4"/>
  <c r="K454" i="4"/>
  <c r="Y458" i="3"/>
  <c r="Z463" i="3"/>
  <c r="G464" i="3"/>
  <c r="G466" i="4"/>
  <c r="F466" i="4"/>
  <c r="H466" i="4" s="1"/>
  <c r="C466" i="4"/>
  <c r="K466" i="4"/>
  <c r="B466" i="4"/>
  <c r="Y470" i="3"/>
  <c r="E470" i="4"/>
  <c r="D470" i="4"/>
  <c r="W474" i="3"/>
  <c r="K474" i="3"/>
  <c r="A475" i="4"/>
  <c r="X479" i="3"/>
  <c r="U483" i="3"/>
  <c r="B484" i="4"/>
  <c r="K484" i="4"/>
  <c r="G484" i="4"/>
  <c r="F484" i="4"/>
  <c r="H484" i="4" s="1"/>
  <c r="C484" i="4"/>
  <c r="A490" i="4"/>
  <c r="G494" i="3"/>
  <c r="E494" i="3"/>
  <c r="D494" i="3"/>
  <c r="C494" i="3"/>
  <c r="A497" i="4"/>
  <c r="G501" i="3"/>
  <c r="E501" i="3"/>
  <c r="D501" i="3"/>
  <c r="C501" i="3"/>
  <c r="Z501" i="3"/>
  <c r="A485" i="4"/>
  <c r="D489" i="3"/>
  <c r="Z489" i="3"/>
  <c r="AD494" i="3"/>
  <c r="F494" i="3"/>
  <c r="AC494" i="3"/>
  <c r="AB494" i="3"/>
  <c r="AA494" i="3"/>
  <c r="A495" i="4"/>
  <c r="G499" i="3"/>
  <c r="E499" i="3"/>
  <c r="D499" i="3"/>
  <c r="Y499" i="3"/>
  <c r="K444" i="4"/>
  <c r="G444" i="4"/>
  <c r="F444" i="4"/>
  <c r="H444" i="4" s="1"/>
  <c r="C444" i="4"/>
  <c r="B444" i="4"/>
  <c r="Y448" i="3"/>
  <c r="C458" i="3"/>
  <c r="G456" i="4"/>
  <c r="K456" i="4"/>
  <c r="F456" i="4"/>
  <c r="H456" i="4" s="1"/>
  <c r="C456" i="4"/>
  <c r="B456" i="4"/>
  <c r="Y460" i="3"/>
  <c r="D463" i="3"/>
  <c r="C470" i="3"/>
  <c r="AA470" i="3"/>
  <c r="G468" i="4"/>
  <c r="K468" i="4"/>
  <c r="F468" i="4"/>
  <c r="H468" i="4" s="1"/>
  <c r="C468" i="4"/>
  <c r="B468" i="4"/>
  <c r="Y472" i="3"/>
  <c r="K470" i="4"/>
  <c r="G470" i="4"/>
  <c r="F470" i="4"/>
  <c r="H470" i="4" s="1"/>
  <c r="C470" i="4"/>
  <c r="B470" i="4"/>
  <c r="N474" i="3"/>
  <c r="AA474" i="3"/>
  <c r="I475" i="3"/>
  <c r="V475" i="3"/>
  <c r="D476" i="3"/>
  <c r="C479" i="3"/>
  <c r="X480" i="3"/>
  <c r="A478" i="4"/>
  <c r="C482" i="3"/>
  <c r="J483" i="3"/>
  <c r="W483" i="3"/>
  <c r="Y485" i="3"/>
  <c r="E487" i="3"/>
  <c r="C489" i="3"/>
  <c r="D490" i="3"/>
  <c r="Y494" i="3"/>
  <c r="Z499" i="3"/>
  <c r="Y504" i="3"/>
  <c r="F506" i="3"/>
  <c r="C439" i="4"/>
  <c r="G439" i="4"/>
  <c r="F439" i="4"/>
  <c r="H439" i="4" s="1"/>
  <c r="B439" i="4"/>
  <c r="K439" i="4"/>
  <c r="Y443" i="3"/>
  <c r="Z448" i="3"/>
  <c r="C451" i="4"/>
  <c r="B451" i="4"/>
  <c r="K451" i="4"/>
  <c r="F451" i="4"/>
  <c r="H451" i="4" s="1"/>
  <c r="G451" i="4"/>
  <c r="Y455" i="3"/>
  <c r="D458" i="3"/>
  <c r="Z460" i="3"/>
  <c r="E463" i="3"/>
  <c r="C463" i="4"/>
  <c r="B463" i="4"/>
  <c r="K463" i="4"/>
  <c r="G463" i="4"/>
  <c r="F463" i="4"/>
  <c r="H463" i="4" s="1"/>
  <c r="Y467" i="3"/>
  <c r="D470" i="3"/>
  <c r="AB470" i="3"/>
  <c r="Z472" i="3"/>
  <c r="O474" i="3"/>
  <c r="J475" i="3"/>
  <c r="E476" i="3"/>
  <c r="AA477" i="3"/>
  <c r="D479" i="3"/>
  <c r="AC482" i="3"/>
  <c r="X483" i="3"/>
  <c r="Z485" i="3"/>
  <c r="G487" i="3"/>
  <c r="E489" i="3"/>
  <c r="E490" i="3"/>
  <c r="Z494" i="3"/>
  <c r="C499" i="3"/>
  <c r="H506" i="3"/>
  <c r="AD508" i="3"/>
  <c r="AA508" i="3"/>
  <c r="B508" i="3"/>
  <c r="A473" i="4"/>
  <c r="Z477" i="3"/>
  <c r="AB477" i="3"/>
  <c r="D479" i="4"/>
  <c r="E479" i="4"/>
  <c r="T483" i="3"/>
  <c r="H483" i="3"/>
  <c r="K481" i="4"/>
  <c r="F481" i="4"/>
  <c r="H481" i="4" s="1"/>
  <c r="C481" i="4"/>
  <c r="B481" i="4"/>
  <c r="G481" i="4"/>
  <c r="AA485" i="3"/>
  <c r="G489" i="3"/>
  <c r="X490" i="3"/>
  <c r="A491" i="4"/>
  <c r="X495" i="3"/>
  <c r="AC496" i="3"/>
  <c r="AB496" i="3"/>
  <c r="AA496" i="3"/>
  <c r="B496" i="3"/>
  <c r="B465" i="4"/>
  <c r="Y469" i="3"/>
  <c r="F470" i="3"/>
  <c r="Q474" i="3"/>
  <c r="D471" i="4"/>
  <c r="E471" i="4"/>
  <c r="P475" i="3"/>
  <c r="G476" i="3"/>
  <c r="C477" i="3"/>
  <c r="AC477" i="3"/>
  <c r="A476" i="4"/>
  <c r="E480" i="3"/>
  <c r="M483" i="3"/>
  <c r="Z483" i="3"/>
  <c r="Y490" i="3"/>
  <c r="AD496" i="3"/>
  <c r="K460" i="4"/>
  <c r="G460" i="4"/>
  <c r="F460" i="4"/>
  <c r="H460" i="4" s="1"/>
  <c r="C460" i="4"/>
  <c r="B460" i="4"/>
  <c r="Y464" i="3"/>
  <c r="Z469" i="3"/>
  <c r="G470" i="3"/>
  <c r="R474" i="3"/>
  <c r="AE474" i="3"/>
  <c r="D477" i="3"/>
  <c r="AD477" i="3"/>
  <c r="G479" i="3"/>
  <c r="G479" i="4"/>
  <c r="F479" i="4"/>
  <c r="H479" i="4" s="1"/>
  <c r="C479" i="4"/>
  <c r="B479" i="4"/>
  <c r="K479" i="4"/>
  <c r="N483" i="3"/>
  <c r="C485" i="3"/>
  <c r="AC485" i="3"/>
  <c r="AA486" i="3"/>
  <c r="X487" i="3"/>
  <c r="X489" i="3"/>
  <c r="Z490" i="3"/>
  <c r="C495" i="3"/>
  <c r="Y495" i="3"/>
  <c r="A500" i="4"/>
  <c r="X504" i="3"/>
  <c r="G504" i="3"/>
  <c r="E504" i="3"/>
  <c r="G431" i="4"/>
  <c r="K431" i="4"/>
  <c r="B431" i="4"/>
  <c r="F431" i="4"/>
  <c r="H431" i="4" s="1"/>
  <c r="C431" i="4"/>
  <c r="Y435" i="3"/>
  <c r="E443" i="3"/>
  <c r="G443" i="4"/>
  <c r="K443" i="4"/>
  <c r="F443" i="4"/>
  <c r="H443" i="4" s="1"/>
  <c r="B443" i="4"/>
  <c r="C443" i="4"/>
  <c r="Y447" i="3"/>
  <c r="E455" i="3"/>
  <c r="G455" i="4"/>
  <c r="Y459" i="3"/>
  <c r="Z464" i="3"/>
  <c r="E467" i="3"/>
  <c r="C469" i="3"/>
  <c r="G467" i="4"/>
  <c r="F467" i="4"/>
  <c r="H467" i="4" s="1"/>
  <c r="C467" i="4"/>
  <c r="B467" i="4"/>
  <c r="K467" i="4"/>
  <c r="Y471" i="3"/>
  <c r="S474" i="3"/>
  <c r="A471" i="4"/>
  <c r="D475" i="3"/>
  <c r="N475" i="3"/>
  <c r="AA475" i="3"/>
  <c r="E477" i="3"/>
  <c r="C480" i="3"/>
  <c r="G482" i="3"/>
  <c r="O483" i="3"/>
  <c r="D485" i="3"/>
  <c r="Y487" i="3"/>
  <c r="Y489" i="3"/>
  <c r="D495" i="3"/>
  <c r="Z495" i="3"/>
  <c r="A493" i="4"/>
  <c r="G497" i="3"/>
  <c r="A502" i="4"/>
  <c r="G506" i="3"/>
  <c r="E506" i="3"/>
  <c r="D506" i="3"/>
  <c r="C506" i="3"/>
  <c r="G480" i="4"/>
  <c r="K480" i="4"/>
  <c r="F480" i="4"/>
  <c r="H480" i="4" s="1"/>
  <c r="C480" i="4"/>
  <c r="B480" i="4"/>
  <c r="Y484" i="3"/>
  <c r="X491" i="3"/>
  <c r="G492" i="4"/>
  <c r="F492" i="4"/>
  <c r="H492" i="4" s="1"/>
  <c r="C492" i="4"/>
  <c r="B492" i="4"/>
  <c r="K492" i="4"/>
  <c r="Y496" i="3"/>
  <c r="G504" i="4"/>
  <c r="F504" i="4"/>
  <c r="H504" i="4" s="1"/>
  <c r="K504" i="4"/>
  <c r="C504" i="4"/>
  <c r="B504" i="4"/>
  <c r="Y508" i="3"/>
  <c r="Y491" i="3"/>
  <c r="Z496" i="3"/>
  <c r="C499" i="4"/>
  <c r="K499" i="4"/>
  <c r="F499" i="4"/>
  <c r="H499" i="4" s="1"/>
  <c r="G499" i="4"/>
  <c r="Y503" i="3"/>
  <c r="Z508" i="3"/>
  <c r="G509" i="3"/>
  <c r="Y486" i="3"/>
  <c r="Z491" i="3"/>
  <c r="X493" i="3"/>
  <c r="C496" i="3"/>
  <c r="K494" i="4"/>
  <c r="G494" i="4"/>
  <c r="F494" i="4"/>
  <c r="H494" i="4" s="1"/>
  <c r="C494" i="4"/>
  <c r="B494" i="4"/>
  <c r="Y498" i="3"/>
  <c r="B503" i="3"/>
  <c r="Z503" i="3"/>
  <c r="X505" i="3"/>
  <c r="C508" i="3"/>
  <c r="G489" i="4"/>
  <c r="F489" i="4"/>
  <c r="H489" i="4" s="1"/>
  <c r="B489" i="4"/>
  <c r="K489" i="4"/>
  <c r="C489" i="4"/>
  <c r="Y493" i="3"/>
  <c r="AA503" i="3"/>
  <c r="G501" i="4"/>
  <c r="F501" i="4"/>
  <c r="H501" i="4" s="1"/>
  <c r="C501" i="4"/>
  <c r="B501" i="4"/>
  <c r="K501" i="4"/>
  <c r="Y505" i="3"/>
  <c r="D508" i="3"/>
  <c r="Y488" i="3"/>
  <c r="D491" i="3"/>
  <c r="Z493" i="3"/>
  <c r="E496" i="3"/>
  <c r="B496" i="4"/>
  <c r="K496" i="4"/>
  <c r="G496" i="4"/>
  <c r="F496" i="4"/>
  <c r="H496" i="4" s="1"/>
  <c r="C496" i="4"/>
  <c r="Y500" i="3"/>
  <c r="D503" i="3"/>
  <c r="AB503" i="3"/>
  <c r="Z505" i="3"/>
  <c r="X507" i="3"/>
  <c r="E508" i="3"/>
  <c r="AC503" i="3"/>
  <c r="G503" i="4"/>
  <c r="F503" i="4"/>
  <c r="H503" i="4" s="1"/>
  <c r="C503" i="4"/>
  <c r="B503" i="4"/>
  <c r="K503" i="4"/>
  <c r="Y507" i="3"/>
  <c r="B498" i="4"/>
  <c r="K498" i="4"/>
  <c r="Y502" i="3"/>
  <c r="F503" i="3"/>
  <c r="D505" i="3"/>
  <c r="Z507" i="3"/>
  <c r="G508" i="3"/>
  <c r="X509" i="3"/>
  <c r="K505" i="4"/>
  <c r="G505" i="4"/>
  <c r="F505" i="4"/>
  <c r="H505" i="4" s="1"/>
  <c r="C505" i="4"/>
  <c r="B505" i="4"/>
  <c r="Y509" i="3"/>
  <c r="AB63" i="3" l="1"/>
  <c r="H445" i="3"/>
  <c r="AA312" i="3"/>
  <c r="AB312" i="3"/>
  <c r="V119" i="3"/>
  <c r="AE41" i="3"/>
  <c r="G267" i="4"/>
  <c r="C197" i="4"/>
  <c r="AC160" i="3"/>
  <c r="M477" i="3"/>
  <c r="F444" i="3"/>
  <c r="AC358" i="3"/>
  <c r="B331" i="4"/>
  <c r="K267" i="4"/>
  <c r="F221" i="4"/>
  <c r="H221" i="4" s="1"/>
  <c r="I221" i="4" s="1"/>
  <c r="B197" i="4"/>
  <c r="F160" i="3"/>
  <c r="Q475" i="3"/>
  <c r="AD15" i="3"/>
  <c r="F15" i="3"/>
  <c r="W166" i="3"/>
  <c r="AD444" i="3"/>
  <c r="K333" i="4"/>
  <c r="C331" i="4"/>
  <c r="B267" i="4"/>
  <c r="F197" i="4"/>
  <c r="H197" i="4" s="1"/>
  <c r="AD160" i="3"/>
  <c r="F498" i="3"/>
  <c r="K303" i="3"/>
  <c r="G330" i="4"/>
  <c r="J330" i="4" s="1"/>
  <c r="B333" i="4"/>
  <c r="F331" i="4"/>
  <c r="H331" i="4" s="1"/>
  <c r="C267" i="4"/>
  <c r="G197" i="4"/>
  <c r="AB160" i="3"/>
  <c r="S475" i="3"/>
  <c r="AB498" i="3"/>
  <c r="AC260" i="3"/>
  <c r="J434" i="3"/>
  <c r="G369" i="4"/>
  <c r="K330" i="4"/>
  <c r="C333" i="4"/>
  <c r="AA160" i="3"/>
  <c r="AB40" i="3"/>
  <c r="V88" i="3"/>
  <c r="T475" i="3"/>
  <c r="AC498" i="3"/>
  <c r="AC278" i="3"/>
  <c r="W88" i="3"/>
  <c r="AD498" i="3"/>
  <c r="B498" i="3"/>
  <c r="U475" i="3"/>
  <c r="AA435" i="3"/>
  <c r="M475" i="3"/>
  <c r="AB444" i="3"/>
  <c r="K221" i="4"/>
  <c r="AC40" i="3"/>
  <c r="AC435" i="3"/>
  <c r="B114" i="3"/>
  <c r="V64" i="3"/>
  <c r="AD130" i="3"/>
  <c r="L475" i="3"/>
  <c r="B399" i="3"/>
  <c r="F40" i="3"/>
  <c r="B40" i="3"/>
  <c r="V303" i="3"/>
  <c r="S209" i="3"/>
  <c r="R397" i="3"/>
  <c r="L202" i="3"/>
  <c r="P202" i="3"/>
  <c r="V124" i="3"/>
  <c r="N107" i="3"/>
  <c r="W68" i="3"/>
  <c r="R68" i="3"/>
  <c r="Y12" i="3"/>
  <c r="H12" i="3" s="1"/>
  <c r="O67" i="3"/>
  <c r="K107" i="3"/>
  <c r="S338" i="3"/>
  <c r="T202" i="3"/>
  <c r="J183" i="3"/>
  <c r="Q124" i="3"/>
  <c r="L68" i="3"/>
  <c r="W107" i="3"/>
  <c r="R52" i="3"/>
  <c r="D64" i="4"/>
  <c r="J67" i="3"/>
  <c r="M53" i="3"/>
  <c r="R67" i="3"/>
  <c r="V221" i="3"/>
  <c r="V338" i="3"/>
  <c r="I202" i="3"/>
  <c r="T183" i="3"/>
  <c r="R124" i="3"/>
  <c r="V67" i="3"/>
  <c r="I68" i="3"/>
  <c r="O107" i="3"/>
  <c r="S67" i="3"/>
  <c r="E64" i="4"/>
  <c r="Q52" i="3"/>
  <c r="D63" i="4"/>
  <c r="V202" i="3"/>
  <c r="I176" i="3"/>
  <c r="W53" i="3"/>
  <c r="T67" i="3"/>
  <c r="T107" i="3"/>
  <c r="S52" i="3"/>
  <c r="M67" i="3"/>
  <c r="E63" i="4"/>
  <c r="U262" i="3"/>
  <c r="AE442" i="3"/>
  <c r="U209" i="3"/>
  <c r="E198" i="4"/>
  <c r="J124" i="3"/>
  <c r="AE124" i="3"/>
  <c r="M68" i="3"/>
  <c r="U52" i="3"/>
  <c r="D103" i="4"/>
  <c r="S68" i="3"/>
  <c r="K256" i="3"/>
  <c r="O114" i="3"/>
  <c r="K124" i="3"/>
  <c r="W67" i="3"/>
  <c r="V52" i="3"/>
  <c r="E103" i="4"/>
  <c r="AE101" i="3"/>
  <c r="M256" i="3"/>
  <c r="P482" i="3"/>
  <c r="O482" i="3"/>
  <c r="U397" i="3"/>
  <c r="T317" i="3"/>
  <c r="P326" i="3"/>
  <c r="P235" i="3"/>
  <c r="U202" i="3"/>
  <c r="N256" i="3"/>
  <c r="I53" i="3"/>
  <c r="H53" i="3"/>
  <c r="T53" i="3"/>
  <c r="P101" i="3"/>
  <c r="L88" i="3"/>
  <c r="E493" i="4"/>
  <c r="E252" i="4"/>
  <c r="AE482" i="3"/>
  <c r="D478" i="4"/>
  <c r="V397" i="3"/>
  <c r="U317" i="3"/>
  <c r="H326" i="3"/>
  <c r="R326" i="3"/>
  <c r="E231" i="4"/>
  <c r="J202" i="3"/>
  <c r="O256" i="3"/>
  <c r="U53" i="3"/>
  <c r="N101" i="3"/>
  <c r="H88" i="3"/>
  <c r="E478" i="4"/>
  <c r="I326" i="3"/>
  <c r="S326" i="3"/>
  <c r="P256" i="3"/>
  <c r="K53" i="3"/>
  <c r="R482" i="3"/>
  <c r="I397" i="3"/>
  <c r="T482" i="3"/>
  <c r="W397" i="3"/>
  <c r="AE355" i="3"/>
  <c r="V326" i="3"/>
  <c r="AE326" i="3"/>
  <c r="I270" i="3"/>
  <c r="O202" i="3"/>
  <c r="D198" i="4"/>
  <c r="AE256" i="3"/>
  <c r="I60" i="3"/>
  <c r="E56" i="4"/>
  <c r="J326" i="3"/>
  <c r="K326" i="3"/>
  <c r="R256" i="3"/>
  <c r="O397" i="3"/>
  <c r="K405" i="3"/>
  <c r="L326" i="3"/>
  <c r="W326" i="3"/>
  <c r="H256" i="3"/>
  <c r="S256" i="3"/>
  <c r="L53" i="3"/>
  <c r="Q53" i="3"/>
  <c r="S397" i="3"/>
  <c r="H397" i="3"/>
  <c r="M405" i="3"/>
  <c r="M326" i="3"/>
  <c r="D322" i="4"/>
  <c r="R202" i="3"/>
  <c r="I256" i="3"/>
  <c r="T256" i="3"/>
  <c r="P162" i="3"/>
  <c r="O53" i="3"/>
  <c r="N53" i="3"/>
  <c r="S53" i="3"/>
  <c r="N482" i="3"/>
  <c r="P397" i="3"/>
  <c r="T397" i="3"/>
  <c r="T405" i="3"/>
  <c r="N326" i="3"/>
  <c r="E322" i="4"/>
  <c r="S202" i="3"/>
  <c r="J256" i="3"/>
  <c r="U256" i="3"/>
  <c r="Q162" i="3"/>
  <c r="AE53" i="3"/>
  <c r="I114" i="3"/>
  <c r="M397" i="3"/>
  <c r="Q397" i="3"/>
  <c r="D393" i="4"/>
  <c r="S381" i="3"/>
  <c r="L405" i="3"/>
  <c r="O326" i="3"/>
  <c r="AE202" i="3"/>
  <c r="V256" i="3"/>
  <c r="L256" i="3"/>
  <c r="D49" i="4"/>
  <c r="J397" i="3"/>
  <c r="AE397" i="3"/>
  <c r="W256" i="3"/>
  <c r="V53" i="3"/>
  <c r="M98" i="3"/>
  <c r="E49" i="4"/>
  <c r="W358" i="3"/>
  <c r="AE381" i="3"/>
  <c r="Q497" i="3"/>
  <c r="I506" i="3"/>
  <c r="Q407" i="3"/>
  <c r="M355" i="3"/>
  <c r="E401" i="4"/>
  <c r="B426" i="3"/>
  <c r="F378" i="3"/>
  <c r="B257" i="3"/>
  <c r="F402" i="3"/>
  <c r="M356" i="3"/>
  <c r="V356" i="3"/>
  <c r="AD315" i="3"/>
  <c r="D205" i="4"/>
  <c r="T267" i="3"/>
  <c r="K270" i="3"/>
  <c r="J270" i="3"/>
  <c r="AE231" i="3"/>
  <c r="AC310" i="3"/>
  <c r="AD209" i="3"/>
  <c r="R162" i="3"/>
  <c r="AA98" i="3"/>
  <c r="AD46" i="3"/>
  <c r="V355" i="3"/>
  <c r="K381" i="3"/>
  <c r="T506" i="3"/>
  <c r="D427" i="4"/>
  <c r="T381" i="3"/>
  <c r="W497" i="3"/>
  <c r="J381" i="3"/>
  <c r="AD407" i="3"/>
  <c r="U506" i="3"/>
  <c r="AA458" i="3"/>
  <c r="R497" i="3"/>
  <c r="R431" i="3"/>
  <c r="F337" i="3"/>
  <c r="V381" i="3"/>
  <c r="AC337" i="3"/>
  <c r="R407" i="3"/>
  <c r="O405" i="3"/>
  <c r="D401" i="4"/>
  <c r="AB426" i="3"/>
  <c r="AA402" i="3"/>
  <c r="N356" i="3"/>
  <c r="J356" i="3"/>
  <c r="B315" i="3"/>
  <c r="E205" i="4"/>
  <c r="U267" i="3"/>
  <c r="L270" i="3"/>
  <c r="V270" i="3"/>
  <c r="H231" i="3"/>
  <c r="AD310" i="3"/>
  <c r="R209" i="3"/>
  <c r="P209" i="3"/>
  <c r="O209" i="3"/>
  <c r="L162" i="3"/>
  <c r="S162" i="3"/>
  <c r="AA484" i="3"/>
  <c r="L101" i="3"/>
  <c r="J107" i="3"/>
  <c r="P107" i="3"/>
  <c r="F11" i="3"/>
  <c r="AC11" i="3"/>
  <c r="I61" i="3"/>
  <c r="L60" i="3"/>
  <c r="N49" i="3"/>
  <c r="K60" i="3"/>
  <c r="D97" i="4"/>
  <c r="I67" i="3"/>
  <c r="K49" i="3"/>
  <c r="AD500" i="3"/>
  <c r="N381" i="3"/>
  <c r="D493" i="4"/>
  <c r="F407" i="3"/>
  <c r="AB310" i="3"/>
  <c r="Q431" i="3"/>
  <c r="H381" i="3"/>
  <c r="E351" i="4"/>
  <c r="N405" i="3"/>
  <c r="J506" i="3"/>
  <c r="S497" i="3"/>
  <c r="S431" i="3"/>
  <c r="L381" i="3"/>
  <c r="L407" i="3"/>
  <c r="J407" i="3"/>
  <c r="AB378" i="3"/>
  <c r="W355" i="3"/>
  <c r="P405" i="3"/>
  <c r="AC426" i="3"/>
  <c r="AB257" i="3"/>
  <c r="AD402" i="3"/>
  <c r="O356" i="3"/>
  <c r="W356" i="3"/>
  <c r="F315" i="3"/>
  <c r="V267" i="3"/>
  <c r="M270" i="3"/>
  <c r="W270" i="3"/>
  <c r="T231" i="3"/>
  <c r="B310" i="3"/>
  <c r="AE162" i="3"/>
  <c r="B484" i="3"/>
  <c r="AA89" i="3"/>
  <c r="B89" i="3"/>
  <c r="L107" i="3"/>
  <c r="H107" i="3"/>
  <c r="L67" i="3"/>
  <c r="U61" i="3"/>
  <c r="AA100" i="3"/>
  <c r="E97" i="4"/>
  <c r="U67" i="3"/>
  <c r="O60" i="3"/>
  <c r="W49" i="3"/>
  <c r="AA132" i="3"/>
  <c r="AA71" i="3"/>
  <c r="AE431" i="3"/>
  <c r="P381" i="3"/>
  <c r="M407" i="3"/>
  <c r="V407" i="3"/>
  <c r="AD378" i="3"/>
  <c r="J355" i="3"/>
  <c r="Q405" i="3"/>
  <c r="F426" i="3"/>
  <c r="AA257" i="3"/>
  <c r="B402" i="3"/>
  <c r="P356" i="3"/>
  <c r="L356" i="3"/>
  <c r="Q267" i="3"/>
  <c r="AE270" i="3"/>
  <c r="O270" i="3"/>
  <c r="I231" i="3"/>
  <c r="F310" i="3"/>
  <c r="H162" i="3"/>
  <c r="AD98" i="3"/>
  <c r="AB89" i="3"/>
  <c r="AA32" i="3"/>
  <c r="AA75" i="3"/>
  <c r="F75" i="3"/>
  <c r="P60" i="3"/>
  <c r="AB134" i="3"/>
  <c r="AA134" i="3"/>
  <c r="H431" i="3"/>
  <c r="Q381" i="3"/>
  <c r="N407" i="3"/>
  <c r="D403" i="4"/>
  <c r="AA337" i="3"/>
  <c r="R405" i="3"/>
  <c r="AD426" i="3"/>
  <c r="AB402" i="3"/>
  <c r="Q356" i="3"/>
  <c r="D352" i="4"/>
  <c r="R267" i="3"/>
  <c r="N270" i="3"/>
  <c r="D266" i="4"/>
  <c r="U231" i="3"/>
  <c r="T162" i="3"/>
  <c r="V176" i="3"/>
  <c r="B98" i="3"/>
  <c r="AC89" i="3"/>
  <c r="AA46" i="3"/>
  <c r="AD75" i="3"/>
  <c r="R60" i="3"/>
  <c r="AB142" i="3"/>
  <c r="AC458" i="3"/>
  <c r="B134" i="3"/>
  <c r="U405" i="3"/>
  <c r="J405" i="3"/>
  <c r="T355" i="3"/>
  <c r="R356" i="3"/>
  <c r="E352" i="4"/>
  <c r="S267" i="3"/>
  <c r="P270" i="3"/>
  <c r="E266" i="4"/>
  <c r="J231" i="3"/>
  <c r="I267" i="3"/>
  <c r="P231" i="3"/>
  <c r="AC136" i="3"/>
  <c r="I162" i="3"/>
  <c r="J176" i="3"/>
  <c r="T60" i="3"/>
  <c r="H60" i="3"/>
  <c r="S60" i="3"/>
  <c r="AD458" i="3"/>
  <c r="D351" i="4"/>
  <c r="I356" i="3"/>
  <c r="AE209" i="3"/>
  <c r="F46" i="3"/>
  <c r="I381" i="3"/>
  <c r="O506" i="3"/>
  <c r="AA476" i="3"/>
  <c r="E502" i="4"/>
  <c r="E403" i="4"/>
  <c r="I407" i="3"/>
  <c r="Q506" i="3"/>
  <c r="AA459" i="3"/>
  <c r="AD459" i="3"/>
  <c r="L497" i="3"/>
  <c r="I497" i="3"/>
  <c r="AB476" i="3"/>
  <c r="I431" i="3"/>
  <c r="E377" i="4"/>
  <c r="O407" i="3"/>
  <c r="V405" i="3"/>
  <c r="U355" i="3"/>
  <c r="AE356" i="3"/>
  <c r="J267" i="3"/>
  <c r="AE267" i="3"/>
  <c r="Q270" i="3"/>
  <c r="V231" i="3"/>
  <c r="Q231" i="3"/>
  <c r="B318" i="3"/>
  <c r="F136" i="3"/>
  <c r="U162" i="3"/>
  <c r="N176" i="3"/>
  <c r="AC134" i="3"/>
  <c r="AC124" i="3"/>
  <c r="AE61" i="3"/>
  <c r="AC32" i="3"/>
  <c r="J61" i="3"/>
  <c r="AB20" i="3"/>
  <c r="R107" i="3"/>
  <c r="N60" i="3"/>
  <c r="O61" i="3"/>
  <c r="O49" i="3"/>
  <c r="B62" i="3"/>
  <c r="AA51" i="3"/>
  <c r="S101" i="3"/>
  <c r="AA92" i="3"/>
  <c r="AE60" i="3"/>
  <c r="L52" i="3"/>
  <c r="AC500" i="3"/>
  <c r="L242" i="3"/>
  <c r="F187" i="3"/>
  <c r="B458" i="3"/>
  <c r="P431" i="3"/>
  <c r="K356" i="3"/>
  <c r="U270" i="3"/>
  <c r="AA20" i="3"/>
  <c r="D502" i="4"/>
  <c r="T431" i="3"/>
  <c r="R506" i="3"/>
  <c r="M497" i="3"/>
  <c r="U497" i="3"/>
  <c r="AC476" i="3"/>
  <c r="U431" i="3"/>
  <c r="N355" i="3"/>
  <c r="P407" i="3"/>
  <c r="AA407" i="3"/>
  <c r="S405" i="3"/>
  <c r="H355" i="3"/>
  <c r="S356" i="3"/>
  <c r="K267" i="3"/>
  <c r="L267" i="3"/>
  <c r="I209" i="3"/>
  <c r="R270" i="3"/>
  <c r="K231" i="3"/>
  <c r="V209" i="3"/>
  <c r="H267" i="3"/>
  <c r="T209" i="3"/>
  <c r="K162" i="3"/>
  <c r="D158" i="4"/>
  <c r="AD134" i="3"/>
  <c r="O176" i="3"/>
  <c r="B75" i="3"/>
  <c r="N61" i="3"/>
  <c r="M61" i="3"/>
  <c r="AC20" i="3"/>
  <c r="U60" i="3"/>
  <c r="B46" i="3"/>
  <c r="AA39" i="3"/>
  <c r="S107" i="3"/>
  <c r="B51" i="3"/>
  <c r="P67" i="3"/>
  <c r="E57" i="4"/>
  <c r="AA11" i="3"/>
  <c r="AC75" i="3"/>
  <c r="AB62" i="3"/>
  <c r="H67" i="3"/>
  <c r="T101" i="3"/>
  <c r="J60" i="3"/>
  <c r="F51" i="3"/>
  <c r="AC266" i="3"/>
  <c r="V242" i="3"/>
  <c r="AB243" i="3"/>
  <c r="R114" i="3"/>
  <c r="F458" i="3"/>
  <c r="S231" i="3"/>
  <c r="H497" i="3"/>
  <c r="K497" i="3"/>
  <c r="B476" i="3"/>
  <c r="AE407" i="3"/>
  <c r="AA378" i="3"/>
  <c r="S506" i="3"/>
  <c r="N497" i="3"/>
  <c r="J497" i="3"/>
  <c r="K431" i="3"/>
  <c r="AD476" i="3"/>
  <c r="J431" i="3"/>
  <c r="S407" i="3"/>
  <c r="AB407" i="3"/>
  <c r="AE405" i="3"/>
  <c r="T356" i="3"/>
  <c r="M267" i="3"/>
  <c r="D263" i="4"/>
  <c r="H270" i="3"/>
  <c r="W231" i="3"/>
  <c r="H209" i="3"/>
  <c r="W162" i="3"/>
  <c r="E158" i="4"/>
  <c r="AE176" i="3"/>
  <c r="AD124" i="3"/>
  <c r="F32" i="3"/>
  <c r="K101" i="3"/>
  <c r="W60" i="3"/>
  <c r="U107" i="3"/>
  <c r="R49" i="3"/>
  <c r="B20" i="3"/>
  <c r="D57" i="4"/>
  <c r="U101" i="3"/>
  <c r="V60" i="3"/>
  <c r="AC243" i="3"/>
  <c r="P267" i="3"/>
  <c r="V506" i="3"/>
  <c r="AE497" i="3"/>
  <c r="AC459" i="3"/>
  <c r="P506" i="3"/>
  <c r="T497" i="3"/>
  <c r="AB337" i="3"/>
  <c r="O497" i="3"/>
  <c r="N431" i="3"/>
  <c r="O355" i="3"/>
  <c r="B337" i="3"/>
  <c r="N267" i="3"/>
  <c r="E263" i="4"/>
  <c r="T270" i="3"/>
  <c r="T176" i="3"/>
  <c r="F20" i="3"/>
  <c r="V107" i="3"/>
  <c r="Q60" i="3"/>
  <c r="B32" i="3"/>
  <c r="M60" i="3"/>
  <c r="O52" i="3"/>
  <c r="S61" i="3"/>
  <c r="M49" i="3"/>
  <c r="W101" i="3"/>
  <c r="AB297" i="3"/>
  <c r="AA241" i="3"/>
  <c r="R316" i="3"/>
  <c r="P188" i="3"/>
  <c r="K183" i="3"/>
  <c r="D179" i="4"/>
  <c r="W442" i="3"/>
  <c r="L424" i="3"/>
  <c r="U424" i="3"/>
  <c r="W321" i="3"/>
  <c r="S316" i="3"/>
  <c r="U114" i="3"/>
  <c r="U110" i="3"/>
  <c r="I188" i="3"/>
  <c r="D110" i="4"/>
  <c r="L183" i="3"/>
  <c r="E179" i="4"/>
  <c r="S114" i="3"/>
  <c r="H442" i="3"/>
  <c r="P394" i="3"/>
  <c r="U477" i="3"/>
  <c r="N479" i="3"/>
  <c r="Q477" i="3"/>
  <c r="M442" i="3"/>
  <c r="L442" i="3"/>
  <c r="M444" i="3"/>
  <c r="D440" i="4"/>
  <c r="Q394" i="3"/>
  <c r="R358" i="3"/>
  <c r="N358" i="3"/>
  <c r="I358" i="3"/>
  <c r="M424" i="3"/>
  <c r="J424" i="3"/>
  <c r="H321" i="3"/>
  <c r="T316" i="3"/>
  <c r="E106" i="4"/>
  <c r="E184" i="4"/>
  <c r="E110" i="4"/>
  <c r="M183" i="3"/>
  <c r="K181" i="3"/>
  <c r="K114" i="3"/>
  <c r="U321" i="3"/>
  <c r="L394" i="3"/>
  <c r="T479" i="3"/>
  <c r="R477" i="3"/>
  <c r="N442" i="3"/>
  <c r="E438" i="4"/>
  <c r="N444" i="3"/>
  <c r="E440" i="4"/>
  <c r="D390" i="4"/>
  <c r="U358" i="3"/>
  <c r="N424" i="3"/>
  <c r="V424" i="3"/>
  <c r="Q321" i="3"/>
  <c r="P316" i="3"/>
  <c r="O110" i="3"/>
  <c r="D106" i="4"/>
  <c r="L114" i="3"/>
  <c r="N183" i="3"/>
  <c r="O181" i="3"/>
  <c r="H101" i="3"/>
  <c r="M114" i="3"/>
  <c r="P477" i="3"/>
  <c r="D438" i="4"/>
  <c r="E390" i="4"/>
  <c r="R321" i="3"/>
  <c r="I316" i="3"/>
  <c r="U183" i="3"/>
  <c r="AE114" i="3"/>
  <c r="O183" i="3"/>
  <c r="Q181" i="3"/>
  <c r="J114" i="3"/>
  <c r="I477" i="3"/>
  <c r="N477" i="3"/>
  <c r="P442" i="3"/>
  <c r="O424" i="3"/>
  <c r="W424" i="3"/>
  <c r="J321" i="3"/>
  <c r="I321" i="3"/>
  <c r="U316" i="3"/>
  <c r="I257" i="3"/>
  <c r="P183" i="3"/>
  <c r="R181" i="3"/>
  <c r="V477" i="3"/>
  <c r="D473" i="4"/>
  <c r="Q442" i="3"/>
  <c r="P444" i="3"/>
  <c r="D354" i="4"/>
  <c r="P424" i="3"/>
  <c r="D420" i="4"/>
  <c r="N321" i="3"/>
  <c r="V321" i="3"/>
  <c r="L321" i="3"/>
  <c r="K321" i="3"/>
  <c r="L316" i="3"/>
  <c r="D312" i="4"/>
  <c r="AE257" i="3"/>
  <c r="Q183" i="3"/>
  <c r="T181" i="3"/>
  <c r="M101" i="3"/>
  <c r="I262" i="3"/>
  <c r="O477" i="3"/>
  <c r="H316" i="3"/>
  <c r="S477" i="3"/>
  <c r="T442" i="3"/>
  <c r="E475" i="4"/>
  <c r="J477" i="3"/>
  <c r="E473" i="4"/>
  <c r="R442" i="3"/>
  <c r="O394" i="3"/>
  <c r="S444" i="3"/>
  <c r="P358" i="3"/>
  <c r="E354" i="4"/>
  <c r="R424" i="3"/>
  <c r="E420" i="4"/>
  <c r="AE321" i="3"/>
  <c r="D317" i="4"/>
  <c r="M316" i="3"/>
  <c r="E312" i="4"/>
  <c r="V257" i="3"/>
  <c r="R183" i="3"/>
  <c r="I181" i="3"/>
  <c r="O101" i="3"/>
  <c r="H358" i="3"/>
  <c r="W477" i="3"/>
  <c r="U442" i="3"/>
  <c r="S424" i="3"/>
  <c r="O321" i="3"/>
  <c r="E317" i="4"/>
  <c r="N316" i="3"/>
  <c r="S183" i="3"/>
  <c r="D177" i="4"/>
  <c r="L358" i="3"/>
  <c r="K442" i="3"/>
  <c r="AE477" i="3"/>
  <c r="O442" i="3"/>
  <c r="T477" i="3"/>
  <c r="H477" i="3"/>
  <c r="K477" i="3"/>
  <c r="V442" i="3"/>
  <c r="AE424" i="3"/>
  <c r="P321" i="3"/>
  <c r="O316" i="3"/>
  <c r="V183" i="3"/>
  <c r="AE183" i="3"/>
  <c r="J101" i="3"/>
  <c r="S358" i="3"/>
  <c r="S321" i="3"/>
  <c r="I183" i="3"/>
  <c r="H183" i="3"/>
  <c r="Q101" i="3"/>
  <c r="V101" i="3"/>
  <c r="T358" i="3"/>
  <c r="L440" i="3"/>
  <c r="K440" i="3"/>
  <c r="F144" i="3"/>
  <c r="AC144" i="3"/>
  <c r="H412" i="3"/>
  <c r="I412" i="3"/>
  <c r="H416" i="3"/>
  <c r="I416" i="3"/>
  <c r="B472" i="3"/>
  <c r="M449" i="3"/>
  <c r="H440" i="3"/>
  <c r="L402" i="3"/>
  <c r="B424" i="3"/>
  <c r="N315" i="3"/>
  <c r="P315" i="3"/>
  <c r="C187" i="4"/>
  <c r="B180" i="4"/>
  <c r="O338" i="3"/>
  <c r="K338" i="3"/>
  <c r="Q235" i="3"/>
  <c r="H257" i="3"/>
  <c r="R257" i="3"/>
  <c r="AC225" i="3"/>
  <c r="O188" i="3"/>
  <c r="U188" i="3"/>
  <c r="AD152" i="3"/>
  <c r="K79" i="4"/>
  <c r="F43" i="4"/>
  <c r="H43" i="4" s="1"/>
  <c r="AD176" i="3"/>
  <c r="O98" i="3"/>
  <c r="AA28" i="3"/>
  <c r="AC241" i="3"/>
  <c r="F465" i="4"/>
  <c r="H465" i="4" s="1"/>
  <c r="J465" i="4" s="1"/>
  <c r="J449" i="3"/>
  <c r="M412" i="3"/>
  <c r="K403" i="3"/>
  <c r="G211" i="4"/>
  <c r="AB508" i="3"/>
  <c r="AA506" i="3"/>
  <c r="AC460" i="3"/>
  <c r="U479" i="3"/>
  <c r="M468" i="3"/>
  <c r="U468" i="3"/>
  <c r="N449" i="3"/>
  <c r="W449" i="3"/>
  <c r="U440" i="3"/>
  <c r="P402" i="3"/>
  <c r="P416" i="3"/>
  <c r="D412" i="4"/>
  <c r="F340" i="4"/>
  <c r="H340" i="4" s="1"/>
  <c r="J340" i="4" s="1"/>
  <c r="N412" i="3"/>
  <c r="E408" i="4"/>
  <c r="F348" i="3"/>
  <c r="L403" i="3"/>
  <c r="N403" i="3"/>
  <c r="AA424" i="3"/>
  <c r="F262" i="4"/>
  <c r="H262" i="4" s="1"/>
  <c r="B225" i="4"/>
  <c r="H211" i="4"/>
  <c r="O315" i="3"/>
  <c r="D311" i="4"/>
  <c r="F187" i="4"/>
  <c r="H187" i="4" s="1"/>
  <c r="P338" i="3"/>
  <c r="W338" i="3"/>
  <c r="J235" i="3"/>
  <c r="R235" i="3"/>
  <c r="T257" i="3"/>
  <c r="S257" i="3"/>
  <c r="Q176" i="3"/>
  <c r="J188" i="3"/>
  <c r="K188" i="3"/>
  <c r="S181" i="3"/>
  <c r="K176" i="3"/>
  <c r="U176" i="3"/>
  <c r="B79" i="4"/>
  <c r="P98" i="3"/>
  <c r="AC33" i="3"/>
  <c r="P88" i="3"/>
  <c r="N88" i="3"/>
  <c r="B241" i="3"/>
  <c r="L310" i="3"/>
  <c r="W310" i="3"/>
  <c r="W404" i="3"/>
  <c r="J404" i="3"/>
  <c r="V404" i="3"/>
  <c r="H479" i="3"/>
  <c r="V403" i="3"/>
  <c r="AC508" i="3"/>
  <c r="AB506" i="3"/>
  <c r="B460" i="3"/>
  <c r="L479" i="3"/>
  <c r="C369" i="4"/>
  <c r="P468" i="3"/>
  <c r="J468" i="3"/>
  <c r="O449" i="3"/>
  <c r="D445" i="4"/>
  <c r="I440" i="3"/>
  <c r="Q402" i="3"/>
  <c r="Q416" i="3"/>
  <c r="E412" i="4"/>
  <c r="P412" i="3"/>
  <c r="D408" i="4"/>
  <c r="M403" i="3"/>
  <c r="D399" i="4"/>
  <c r="AD424" i="3"/>
  <c r="G262" i="4"/>
  <c r="C225" i="4"/>
  <c r="Q315" i="3"/>
  <c r="E311" i="4"/>
  <c r="G187" i="4"/>
  <c r="J187" i="4" s="1"/>
  <c r="Q338" i="3"/>
  <c r="D334" i="4"/>
  <c r="K235" i="3"/>
  <c r="S235" i="3"/>
  <c r="U257" i="3"/>
  <c r="Q257" i="3"/>
  <c r="L188" i="3"/>
  <c r="W188" i="3"/>
  <c r="AE181" i="3"/>
  <c r="L176" i="3"/>
  <c r="D172" i="4"/>
  <c r="F79" i="4"/>
  <c r="H79" i="4" s="1"/>
  <c r="T98" i="3"/>
  <c r="F101" i="3"/>
  <c r="Y16" i="3"/>
  <c r="H16" i="3" s="1"/>
  <c r="Q98" i="3"/>
  <c r="AC36" i="3"/>
  <c r="Q88" i="3"/>
  <c r="O88" i="3"/>
  <c r="F241" i="3"/>
  <c r="AD408" i="3"/>
  <c r="AC408" i="3"/>
  <c r="AB408" i="3"/>
  <c r="L221" i="3"/>
  <c r="K221" i="3"/>
  <c r="H221" i="3"/>
  <c r="H455" i="4"/>
  <c r="J455" i="4" s="1"/>
  <c r="K449" i="3"/>
  <c r="AC377" i="3"/>
  <c r="K340" i="4"/>
  <c r="W412" i="3"/>
  <c r="C262" i="4"/>
  <c r="C279" i="4"/>
  <c r="K225" i="4"/>
  <c r="AA270" i="3"/>
  <c r="AC472" i="3"/>
  <c r="AD474" i="3"/>
  <c r="AC506" i="3"/>
  <c r="F459" i="4"/>
  <c r="H459" i="4" s="1"/>
  <c r="J459" i="4" s="1"/>
  <c r="F460" i="3"/>
  <c r="M479" i="3"/>
  <c r="D475" i="4"/>
  <c r="F369" i="4"/>
  <c r="H369" i="4" s="1"/>
  <c r="R402" i="3"/>
  <c r="W468" i="3"/>
  <c r="V468" i="3"/>
  <c r="P449" i="3"/>
  <c r="E445" i="4"/>
  <c r="V440" i="3"/>
  <c r="I402" i="3"/>
  <c r="R416" i="3"/>
  <c r="AA398" i="3"/>
  <c r="AD377" i="3"/>
  <c r="Q412" i="3"/>
  <c r="O403" i="3"/>
  <c r="E399" i="4"/>
  <c r="G269" i="4"/>
  <c r="G230" i="4"/>
  <c r="AE315" i="3"/>
  <c r="R338" i="3"/>
  <c r="E334" i="4"/>
  <c r="L235" i="3"/>
  <c r="AE235" i="3"/>
  <c r="W257" i="3"/>
  <c r="J257" i="3"/>
  <c r="M188" i="3"/>
  <c r="D184" i="4"/>
  <c r="H181" i="3"/>
  <c r="M176" i="3"/>
  <c r="E172" i="4"/>
  <c r="B29" i="3"/>
  <c r="U98" i="3"/>
  <c r="AB28" i="3"/>
  <c r="AA33" i="3"/>
  <c r="K52" i="3"/>
  <c r="S88" i="3"/>
  <c r="R88" i="3"/>
  <c r="J440" i="3"/>
  <c r="AD241" i="3"/>
  <c r="AA36" i="3"/>
  <c r="B313" i="3"/>
  <c r="AB313" i="3"/>
  <c r="B459" i="4"/>
  <c r="O468" i="3"/>
  <c r="O440" i="3"/>
  <c r="D398" i="4"/>
  <c r="U416" i="3"/>
  <c r="AC398" i="3"/>
  <c r="U412" i="3"/>
  <c r="AE403" i="3"/>
  <c r="K281" i="4"/>
  <c r="K269" i="4"/>
  <c r="B295" i="3"/>
  <c r="K230" i="4"/>
  <c r="K235" i="4"/>
  <c r="S315" i="3"/>
  <c r="AE338" i="3"/>
  <c r="N235" i="3"/>
  <c r="D231" i="4"/>
  <c r="AB173" i="3"/>
  <c r="K257" i="3"/>
  <c r="D253" i="4"/>
  <c r="B124" i="4"/>
  <c r="Q188" i="3"/>
  <c r="K82" i="4"/>
  <c r="V98" i="3"/>
  <c r="B33" i="3"/>
  <c r="AE88" i="3"/>
  <c r="T88" i="3"/>
  <c r="AB36" i="3"/>
  <c r="K355" i="3"/>
  <c r="R355" i="3"/>
  <c r="Q355" i="3"/>
  <c r="P355" i="3"/>
  <c r="L355" i="3"/>
  <c r="I355" i="3"/>
  <c r="AD142" i="3"/>
  <c r="AC142" i="3"/>
  <c r="R381" i="3"/>
  <c r="W381" i="3"/>
  <c r="O381" i="3"/>
  <c r="AB420" i="3"/>
  <c r="F420" i="3"/>
  <c r="B221" i="3"/>
  <c r="AB221" i="3"/>
  <c r="AA221" i="3"/>
  <c r="AB472" i="3"/>
  <c r="AD506" i="3"/>
  <c r="D436" i="4"/>
  <c r="AB440" i="3"/>
  <c r="C459" i="4"/>
  <c r="P479" i="3"/>
  <c r="B369" i="4"/>
  <c r="Q468" i="3"/>
  <c r="U449" i="3"/>
  <c r="P440" i="3"/>
  <c r="E436" i="4"/>
  <c r="AC440" i="3"/>
  <c r="E398" i="4"/>
  <c r="V416" i="3"/>
  <c r="B398" i="3"/>
  <c r="V412" i="3"/>
  <c r="Q403" i="3"/>
  <c r="F313" i="3"/>
  <c r="B269" i="4"/>
  <c r="G245" i="4"/>
  <c r="J245" i="4" s="1"/>
  <c r="AA295" i="3"/>
  <c r="B230" i="4"/>
  <c r="B235" i="4"/>
  <c r="T315" i="3"/>
  <c r="AC221" i="3"/>
  <c r="K173" i="4"/>
  <c r="H338" i="3"/>
  <c r="T235" i="3"/>
  <c r="F154" i="4"/>
  <c r="AC173" i="3"/>
  <c r="L257" i="3"/>
  <c r="E253" i="4"/>
  <c r="C124" i="4"/>
  <c r="F171" i="3"/>
  <c r="R188" i="3"/>
  <c r="L181" i="3"/>
  <c r="U181" i="3"/>
  <c r="P176" i="3"/>
  <c r="C82" i="4"/>
  <c r="K13" i="4"/>
  <c r="S98" i="3"/>
  <c r="AC28" i="3"/>
  <c r="AB21" i="3"/>
  <c r="M52" i="3"/>
  <c r="AA21" i="3"/>
  <c r="AD29" i="3"/>
  <c r="B21" i="3"/>
  <c r="N52" i="3"/>
  <c r="J88" i="3"/>
  <c r="E84" i="4"/>
  <c r="H235" i="3"/>
  <c r="AB144" i="3"/>
  <c r="AC132" i="3"/>
  <c r="AD243" i="3"/>
  <c r="F243" i="3"/>
  <c r="F77" i="3"/>
  <c r="AA77" i="3"/>
  <c r="I479" i="3"/>
  <c r="O479" i="3"/>
  <c r="T449" i="3"/>
  <c r="B455" i="4"/>
  <c r="Q479" i="3"/>
  <c r="R468" i="3"/>
  <c r="V449" i="3"/>
  <c r="Q440" i="3"/>
  <c r="AD440" i="3"/>
  <c r="K416" i="3"/>
  <c r="AD398" i="3"/>
  <c r="O412" i="3"/>
  <c r="R403" i="3"/>
  <c r="AD313" i="3"/>
  <c r="B281" i="4"/>
  <c r="C269" i="4"/>
  <c r="K245" i="4"/>
  <c r="G279" i="4"/>
  <c r="AB295" i="3"/>
  <c r="F235" i="4"/>
  <c r="H235" i="4" s="1"/>
  <c r="U315" i="3"/>
  <c r="F221" i="3"/>
  <c r="B173" i="4"/>
  <c r="T338" i="3"/>
  <c r="U235" i="3"/>
  <c r="G154" i="4"/>
  <c r="G147" i="4"/>
  <c r="J147" i="4" s="1"/>
  <c r="M257" i="3"/>
  <c r="AD225" i="3"/>
  <c r="F124" i="4"/>
  <c r="H124" i="4" s="1"/>
  <c r="J124" i="4" s="1"/>
  <c r="AD171" i="3"/>
  <c r="S188" i="3"/>
  <c r="M181" i="3"/>
  <c r="J181" i="3"/>
  <c r="R176" i="3"/>
  <c r="F82" i="4"/>
  <c r="H82" i="4" s="1"/>
  <c r="B176" i="3"/>
  <c r="B25" i="4"/>
  <c r="AE98" i="3"/>
  <c r="AE52" i="3"/>
  <c r="AD36" i="3"/>
  <c r="B28" i="3"/>
  <c r="I52" i="3"/>
  <c r="D48" i="4"/>
  <c r="M88" i="3"/>
  <c r="D84" i="4"/>
  <c r="I235" i="3"/>
  <c r="AA144" i="3"/>
  <c r="B132" i="3"/>
  <c r="N402" i="3"/>
  <c r="M402" i="3"/>
  <c r="K402" i="3"/>
  <c r="J402" i="3"/>
  <c r="H402" i="3"/>
  <c r="AE402" i="3"/>
  <c r="E464" i="4"/>
  <c r="F472" i="3"/>
  <c r="C455" i="4"/>
  <c r="K465" i="4"/>
  <c r="AB474" i="3"/>
  <c r="J479" i="3"/>
  <c r="R479" i="3"/>
  <c r="S468" i="3"/>
  <c r="R440" i="3"/>
  <c r="F440" i="3"/>
  <c r="W416" i="3"/>
  <c r="R412" i="3"/>
  <c r="S403" i="3"/>
  <c r="C281" i="4"/>
  <c r="B245" i="4"/>
  <c r="AC295" i="3"/>
  <c r="G235" i="4"/>
  <c r="B211" i="4"/>
  <c r="AC357" i="3"/>
  <c r="H315" i="3"/>
  <c r="AD221" i="3"/>
  <c r="G180" i="4"/>
  <c r="F270" i="3"/>
  <c r="C173" i="4"/>
  <c r="I338" i="3"/>
  <c r="V235" i="3"/>
  <c r="K147" i="4"/>
  <c r="N257" i="3"/>
  <c r="F225" i="3"/>
  <c r="AE188" i="3"/>
  <c r="N181" i="3"/>
  <c r="V181" i="3"/>
  <c r="S176" i="3"/>
  <c r="K43" i="4"/>
  <c r="G82" i="4"/>
  <c r="AA176" i="3"/>
  <c r="B77" i="3"/>
  <c r="C25" i="4"/>
  <c r="F28" i="3"/>
  <c r="K98" i="3"/>
  <c r="P52" i="3"/>
  <c r="F36" i="3"/>
  <c r="N92" i="3"/>
  <c r="E48" i="4"/>
  <c r="I88" i="3"/>
  <c r="O402" i="3"/>
  <c r="F486" i="3"/>
  <c r="F142" i="3"/>
  <c r="L315" i="3"/>
  <c r="M381" i="3"/>
  <c r="AB416" i="3"/>
  <c r="AD132" i="3"/>
  <c r="AD89" i="3"/>
  <c r="V262" i="3"/>
  <c r="B324" i="3"/>
  <c r="AA324" i="3"/>
  <c r="I442" i="3"/>
  <c r="J442" i="3"/>
  <c r="C465" i="4"/>
  <c r="AE479" i="3"/>
  <c r="N416" i="3"/>
  <c r="C340" i="4"/>
  <c r="S412" i="3"/>
  <c r="I403" i="3"/>
  <c r="F281" i="4"/>
  <c r="H281" i="4" s="1"/>
  <c r="C245" i="4"/>
  <c r="F279" i="4"/>
  <c r="H279" i="4" s="1"/>
  <c r="F295" i="3"/>
  <c r="K211" i="4"/>
  <c r="V315" i="3"/>
  <c r="F180" i="4"/>
  <c r="H180" i="4" s="1"/>
  <c r="AB270" i="3"/>
  <c r="F173" i="4"/>
  <c r="H173" i="4" s="1"/>
  <c r="J173" i="4" s="1"/>
  <c r="N338" i="3"/>
  <c r="U338" i="3"/>
  <c r="W235" i="3"/>
  <c r="B147" i="4"/>
  <c r="O257" i="3"/>
  <c r="B225" i="3"/>
  <c r="H188" i="3"/>
  <c r="B43" i="4"/>
  <c r="F58" i="4"/>
  <c r="H58" i="4" s="1"/>
  <c r="AC176" i="3"/>
  <c r="AB77" i="3"/>
  <c r="F25" i="4"/>
  <c r="H25" i="4" s="1"/>
  <c r="I98" i="3"/>
  <c r="W98" i="3"/>
  <c r="F21" i="3"/>
  <c r="U88" i="3"/>
  <c r="T402" i="3"/>
  <c r="AC420" i="3"/>
  <c r="AC313" i="3"/>
  <c r="AC486" i="3"/>
  <c r="AD144" i="3"/>
  <c r="M315" i="3"/>
  <c r="AD77" i="3"/>
  <c r="W114" i="3"/>
  <c r="V114" i="3"/>
  <c r="T114" i="3"/>
  <c r="AA86" i="3"/>
  <c r="AD86" i="3"/>
  <c r="F86" i="3"/>
  <c r="L449" i="3"/>
  <c r="I449" i="3"/>
  <c r="K455" i="4"/>
  <c r="AE468" i="3"/>
  <c r="R449" i="3"/>
  <c r="AE440" i="3"/>
  <c r="AA472" i="3"/>
  <c r="B474" i="3"/>
  <c r="AB460" i="3"/>
  <c r="S449" i="3"/>
  <c r="S440" i="3"/>
  <c r="J416" i="3"/>
  <c r="O416" i="3"/>
  <c r="J412" i="3"/>
  <c r="AE412" i="3"/>
  <c r="H403" i="3"/>
  <c r="U403" i="3"/>
  <c r="K315" i="3"/>
  <c r="AC270" i="3"/>
  <c r="L338" i="3"/>
  <c r="P181" i="3"/>
  <c r="E177" i="4"/>
  <c r="H176" i="3"/>
  <c r="C58" i="4"/>
  <c r="AC77" i="3"/>
  <c r="L98" i="3"/>
  <c r="AC21" i="3"/>
  <c r="J52" i="3"/>
  <c r="V402" i="3"/>
  <c r="B420" i="3"/>
  <c r="AD486" i="3"/>
  <c r="B144" i="3"/>
  <c r="I315" i="3"/>
  <c r="U381" i="3"/>
  <c r="H114" i="3"/>
  <c r="J262" i="3"/>
  <c r="AA500" i="3"/>
  <c r="AB500" i="3"/>
  <c r="F500" i="3"/>
  <c r="AE327" i="3"/>
  <c r="N327" i="3"/>
  <c r="M327" i="3"/>
  <c r="AD266" i="3"/>
  <c r="AB266" i="3"/>
  <c r="F266" i="3"/>
  <c r="Y15" i="3"/>
  <c r="H15" i="3" s="1"/>
  <c r="AB502" i="3"/>
  <c r="AA502" i="3"/>
  <c r="B502" i="3"/>
  <c r="AD502" i="3"/>
  <c r="AC502" i="3"/>
  <c r="F502" i="3"/>
  <c r="B390" i="3"/>
  <c r="AD390" i="3"/>
  <c r="AC390" i="3"/>
  <c r="AB390" i="3"/>
  <c r="AA390" i="3"/>
  <c r="F390" i="3"/>
  <c r="B272" i="3"/>
  <c r="AC272" i="3"/>
  <c r="AB272" i="3"/>
  <c r="AA272" i="3"/>
  <c r="F217" i="3"/>
  <c r="AC217" i="3"/>
  <c r="AB217" i="3"/>
  <c r="AA217" i="3"/>
  <c r="B217" i="3"/>
  <c r="AD217" i="3"/>
  <c r="F156" i="3"/>
  <c r="B156" i="3"/>
  <c r="AD156" i="3"/>
  <c r="AC156" i="3"/>
  <c r="AB156" i="3"/>
  <c r="AA156" i="3"/>
  <c r="U92" i="3"/>
  <c r="I92" i="3"/>
  <c r="AD170" i="3"/>
  <c r="AC170" i="3"/>
  <c r="AB170" i="3"/>
  <c r="AA170" i="3"/>
  <c r="F170" i="3"/>
  <c r="B170" i="3"/>
  <c r="I317" i="3"/>
  <c r="AB228" i="3"/>
  <c r="O92" i="3"/>
  <c r="W357" i="3"/>
  <c r="V357" i="3"/>
  <c r="R357" i="3"/>
  <c r="K357" i="3"/>
  <c r="J357" i="3"/>
  <c r="H357" i="3"/>
  <c r="M357" i="3"/>
  <c r="I357" i="3"/>
  <c r="N397" i="3"/>
  <c r="L397" i="3"/>
  <c r="K397" i="3"/>
  <c r="AD335" i="3"/>
  <c r="AC335" i="3"/>
  <c r="B335" i="3"/>
  <c r="B477" i="3"/>
  <c r="F477" i="3"/>
  <c r="W506" i="3"/>
  <c r="N506" i="3"/>
  <c r="K506" i="3"/>
  <c r="M506" i="3"/>
  <c r="L506" i="3"/>
  <c r="AD471" i="3"/>
  <c r="F471" i="3"/>
  <c r="B471" i="3"/>
  <c r="AB471" i="3"/>
  <c r="AC471" i="3"/>
  <c r="AA471" i="3"/>
  <c r="AA45" i="3"/>
  <c r="F45" i="3"/>
  <c r="AD45" i="3"/>
  <c r="AC45" i="3"/>
  <c r="AB45" i="3"/>
  <c r="B45" i="3"/>
  <c r="L211" i="3"/>
  <c r="K211" i="3"/>
  <c r="H211" i="3"/>
  <c r="T211" i="3"/>
  <c r="S211" i="3"/>
  <c r="I211" i="3"/>
  <c r="W211" i="3"/>
  <c r="V211" i="3"/>
  <c r="J211" i="3"/>
  <c r="U211" i="3"/>
  <c r="AA482" i="3"/>
  <c r="AD482" i="3"/>
  <c r="AB410" i="3"/>
  <c r="B431" i="3"/>
  <c r="AA357" i="3"/>
  <c r="J317" i="3"/>
  <c r="B148" i="4"/>
  <c r="F228" i="3"/>
  <c r="E5" i="3"/>
  <c r="AA68" i="3"/>
  <c r="AB101" i="3"/>
  <c r="Q92" i="3"/>
  <c r="D88" i="4"/>
  <c r="K483" i="3"/>
  <c r="AE483" i="3"/>
  <c r="V483" i="3"/>
  <c r="R483" i="3"/>
  <c r="Q483" i="3"/>
  <c r="I483" i="3"/>
  <c r="P483" i="3"/>
  <c r="L483" i="3"/>
  <c r="W431" i="3"/>
  <c r="M431" i="3"/>
  <c r="L431" i="3"/>
  <c r="F488" i="3"/>
  <c r="AC488" i="3"/>
  <c r="AB488" i="3"/>
  <c r="AA488" i="3"/>
  <c r="B488" i="3"/>
  <c r="AD488" i="3"/>
  <c r="R231" i="3"/>
  <c r="L231" i="3"/>
  <c r="N231" i="3"/>
  <c r="M231" i="3"/>
  <c r="O231" i="3"/>
  <c r="P148" i="3"/>
  <c r="M148" i="3"/>
  <c r="L148" i="3"/>
  <c r="N148" i="3"/>
  <c r="AA322" i="3"/>
  <c r="AD322" i="3"/>
  <c r="AB322" i="3"/>
  <c r="AC322" i="3"/>
  <c r="U68" i="3"/>
  <c r="Q68" i="3"/>
  <c r="P68" i="3"/>
  <c r="O68" i="3"/>
  <c r="AC257" i="3"/>
  <c r="F257" i="3"/>
  <c r="AD90" i="3"/>
  <c r="AA90" i="3"/>
  <c r="AC90" i="3"/>
  <c r="B90" i="3"/>
  <c r="AB90" i="3"/>
  <c r="AB199" i="3"/>
  <c r="AC199" i="3"/>
  <c r="AD199" i="3"/>
  <c r="F199" i="3"/>
  <c r="AB385" i="3"/>
  <c r="AA385" i="3"/>
  <c r="AD385" i="3"/>
  <c r="AC385" i="3"/>
  <c r="F385" i="3"/>
  <c r="B385" i="3"/>
  <c r="AC27" i="3"/>
  <c r="AD27" i="3"/>
  <c r="F27" i="3"/>
  <c r="B27" i="3"/>
  <c r="AA431" i="3"/>
  <c r="H268" i="3"/>
  <c r="J268" i="3"/>
  <c r="AD357" i="3"/>
  <c r="P268" i="3"/>
  <c r="L317" i="3"/>
  <c r="V317" i="3"/>
  <c r="C148" i="4"/>
  <c r="B152" i="3"/>
  <c r="AD228" i="3"/>
  <c r="M92" i="3"/>
  <c r="B8" i="4"/>
  <c r="AC68" i="3"/>
  <c r="AC101" i="3"/>
  <c r="S92" i="3"/>
  <c r="E88" i="4"/>
  <c r="AD388" i="3"/>
  <c r="AC388" i="3"/>
  <c r="F388" i="3"/>
  <c r="B388" i="3"/>
  <c r="AD198" i="3"/>
  <c r="AB198" i="3"/>
  <c r="AA198" i="3"/>
  <c r="AC198" i="3"/>
  <c r="B198" i="3"/>
  <c r="W209" i="3"/>
  <c r="N209" i="3"/>
  <c r="M209" i="3"/>
  <c r="L209" i="3"/>
  <c r="J209" i="3"/>
  <c r="K209" i="3"/>
  <c r="AA96" i="3"/>
  <c r="AC96" i="3"/>
  <c r="AB96" i="3"/>
  <c r="B96" i="3"/>
  <c r="J482" i="3"/>
  <c r="I482" i="3"/>
  <c r="H482" i="3"/>
  <c r="U482" i="3"/>
  <c r="W482" i="3"/>
  <c r="V482" i="3"/>
  <c r="Q482" i="3"/>
  <c r="M482" i="3"/>
  <c r="L482" i="3"/>
  <c r="K482" i="3"/>
  <c r="AB431" i="3"/>
  <c r="F268" i="4"/>
  <c r="H268" i="4" s="1"/>
  <c r="V268" i="3"/>
  <c r="F272" i="3"/>
  <c r="B357" i="3"/>
  <c r="M317" i="3"/>
  <c r="N317" i="3"/>
  <c r="B199" i="3"/>
  <c r="AB318" i="3"/>
  <c r="F148" i="4"/>
  <c r="H148" i="4" s="1"/>
  <c r="AA152" i="3"/>
  <c r="C8" i="4"/>
  <c r="L92" i="3"/>
  <c r="AD101" i="3"/>
  <c r="AE92" i="3"/>
  <c r="AC455" i="3"/>
  <c r="F455" i="3"/>
  <c r="AD455" i="3"/>
  <c r="AB455" i="3"/>
  <c r="AA455" i="3"/>
  <c r="B455" i="3"/>
  <c r="F229" i="3"/>
  <c r="B229" i="3"/>
  <c r="AC229" i="3"/>
  <c r="AD229" i="3"/>
  <c r="AB229" i="3"/>
  <c r="AA229" i="3"/>
  <c r="F120" i="3"/>
  <c r="B120" i="3"/>
  <c r="AD120" i="3"/>
  <c r="AC120" i="3"/>
  <c r="AB120" i="3"/>
  <c r="AA120" i="3"/>
  <c r="AB136" i="3"/>
  <c r="B136" i="3"/>
  <c r="AA136" i="3"/>
  <c r="K316" i="3"/>
  <c r="J316" i="3"/>
  <c r="W316" i="3"/>
  <c r="V316" i="3"/>
  <c r="AD285" i="3"/>
  <c r="AC285" i="3"/>
  <c r="AB285" i="3"/>
  <c r="AA285" i="3"/>
  <c r="B285" i="3"/>
  <c r="AC209" i="3"/>
  <c r="AB209" i="3"/>
  <c r="AA209" i="3"/>
  <c r="AA215" i="3"/>
  <c r="AB215" i="3"/>
  <c r="AD215" i="3"/>
  <c r="F215" i="3"/>
  <c r="AC215" i="3"/>
  <c r="B215" i="3"/>
  <c r="AD11" i="3"/>
  <c r="AB11" i="3"/>
  <c r="Y11" i="3" s="1"/>
  <c r="H11" i="3" s="1"/>
  <c r="F98" i="3"/>
  <c r="AB98" i="3"/>
  <c r="AC410" i="3"/>
  <c r="F410" i="3"/>
  <c r="AA410" i="3"/>
  <c r="B410" i="3"/>
  <c r="AB361" i="3"/>
  <c r="AA361" i="3"/>
  <c r="AD361" i="3"/>
  <c r="AC361" i="3"/>
  <c r="F361" i="3"/>
  <c r="B361" i="3"/>
  <c r="AA227" i="3"/>
  <c r="AD227" i="3"/>
  <c r="F227" i="3"/>
  <c r="AB227" i="3"/>
  <c r="AC227" i="3"/>
  <c r="B227" i="3"/>
  <c r="AB485" i="3"/>
  <c r="F485" i="3"/>
  <c r="G498" i="4"/>
  <c r="B485" i="3"/>
  <c r="AC431" i="3"/>
  <c r="G268" i="4"/>
  <c r="H317" i="3"/>
  <c r="AD272" i="3"/>
  <c r="F357" i="3"/>
  <c r="O317" i="3"/>
  <c r="N211" i="3"/>
  <c r="B154" i="4"/>
  <c r="AC318" i="3"/>
  <c r="AB152" i="3"/>
  <c r="AB68" i="3"/>
  <c r="B101" i="3"/>
  <c r="H92" i="3"/>
  <c r="AA399" i="3"/>
  <c r="AC399" i="3"/>
  <c r="AA469" i="3"/>
  <c r="AD469" i="3"/>
  <c r="AC469" i="3"/>
  <c r="AB469" i="3"/>
  <c r="F469" i="3"/>
  <c r="I379" i="3"/>
  <c r="V379" i="3"/>
  <c r="U379" i="3"/>
  <c r="T379" i="3"/>
  <c r="J379" i="3"/>
  <c r="K110" i="3"/>
  <c r="J110" i="3"/>
  <c r="V110" i="3"/>
  <c r="Q110" i="3"/>
  <c r="M110" i="3"/>
  <c r="P110" i="3"/>
  <c r="N110" i="3"/>
  <c r="L110" i="3"/>
  <c r="H110" i="3"/>
  <c r="R110" i="3"/>
  <c r="W110" i="3"/>
  <c r="T110" i="3"/>
  <c r="AD128" i="3"/>
  <c r="F128" i="3"/>
  <c r="K317" i="3"/>
  <c r="W317" i="3"/>
  <c r="AD328" i="3"/>
  <c r="AA328" i="3"/>
  <c r="F328" i="3"/>
  <c r="AA146" i="3"/>
  <c r="F146" i="3"/>
  <c r="AB146" i="3"/>
  <c r="B146" i="3"/>
  <c r="AC146" i="3"/>
  <c r="AD146" i="3"/>
  <c r="U268" i="3"/>
  <c r="AE268" i="3"/>
  <c r="N268" i="3"/>
  <c r="M268" i="3"/>
  <c r="I268" i="3"/>
  <c r="O268" i="3"/>
  <c r="F498" i="4"/>
  <c r="H498" i="4" s="1"/>
  <c r="K268" i="4"/>
  <c r="AC424" i="3"/>
  <c r="B328" i="3"/>
  <c r="W268" i="3"/>
  <c r="P317" i="3"/>
  <c r="D313" i="4"/>
  <c r="M211" i="3"/>
  <c r="K169" i="4"/>
  <c r="C154" i="4"/>
  <c r="AD318" i="3"/>
  <c r="AA173" i="3"/>
  <c r="AC152" i="3"/>
  <c r="R92" i="3"/>
  <c r="F68" i="3"/>
  <c r="T92" i="3"/>
  <c r="AC467" i="3"/>
  <c r="AD467" i="3"/>
  <c r="AB467" i="3"/>
  <c r="AA467" i="3"/>
  <c r="B467" i="3"/>
  <c r="F467" i="3"/>
  <c r="W479" i="3"/>
  <c r="V479" i="3"/>
  <c r="K479" i="3"/>
  <c r="V188" i="3"/>
  <c r="N188" i="3"/>
  <c r="AB377" i="3"/>
  <c r="F377" i="3"/>
  <c r="B377" i="3"/>
  <c r="AA29" i="3"/>
  <c r="AC29" i="3"/>
  <c r="AB29" i="3"/>
  <c r="AD348" i="3"/>
  <c r="AB348" i="3"/>
  <c r="AA348" i="3"/>
  <c r="B348" i="3"/>
  <c r="AA118" i="3"/>
  <c r="F118" i="3"/>
  <c r="AD118" i="3"/>
  <c r="AC118" i="3"/>
  <c r="AB118" i="3"/>
  <c r="AC104" i="3"/>
  <c r="F104" i="3"/>
  <c r="B104" i="3"/>
  <c r="AD104" i="3"/>
  <c r="AB104" i="3"/>
  <c r="AA104" i="3"/>
  <c r="AD59" i="3"/>
  <c r="AB59" i="3"/>
  <c r="AA59" i="3"/>
  <c r="F59" i="3"/>
  <c r="R98" i="3"/>
  <c r="N98" i="3"/>
  <c r="J98" i="3"/>
  <c r="AB328" i="3"/>
  <c r="L268" i="3"/>
  <c r="T268" i="3"/>
  <c r="R268" i="3"/>
  <c r="AE317" i="3"/>
  <c r="F169" i="4"/>
  <c r="H169" i="4" s="1"/>
  <c r="F318" i="3"/>
  <c r="B13" i="4"/>
  <c r="J92" i="3"/>
  <c r="B366" i="3"/>
  <c r="AD366" i="3"/>
  <c r="AC366" i="3"/>
  <c r="AB366" i="3"/>
  <c r="AD358" i="3"/>
  <c r="F358" i="3"/>
  <c r="AD273" i="3"/>
  <c r="AC273" i="3"/>
  <c r="AA273" i="3"/>
  <c r="B273" i="3"/>
  <c r="AB273" i="3"/>
  <c r="AA346" i="3"/>
  <c r="AC346" i="3"/>
  <c r="AB346" i="3"/>
  <c r="AD346" i="3"/>
  <c r="F346" i="3"/>
  <c r="AD213" i="3"/>
  <c r="AB213" i="3"/>
  <c r="F213" i="3"/>
  <c r="B213" i="3"/>
  <c r="W377" i="3"/>
  <c r="V377" i="3"/>
  <c r="R377" i="3"/>
  <c r="J377" i="3"/>
  <c r="S377" i="3"/>
  <c r="AC182" i="3"/>
  <c r="AB182" i="3"/>
  <c r="AD182" i="3"/>
  <c r="AA182" i="3"/>
  <c r="F182" i="3"/>
  <c r="B182" i="3"/>
  <c r="C13" i="4"/>
  <c r="V92" i="3"/>
  <c r="AC443" i="3"/>
  <c r="F443" i="3"/>
  <c r="AA443" i="3"/>
  <c r="B443" i="3"/>
  <c r="AD443" i="3"/>
  <c r="AB443" i="3"/>
  <c r="J474" i="3"/>
  <c r="I474" i="3"/>
  <c r="H474" i="3"/>
  <c r="U474" i="3"/>
  <c r="V474" i="3"/>
  <c r="T474" i="3"/>
  <c r="P474" i="3"/>
  <c r="M474" i="3"/>
  <c r="L474" i="3"/>
  <c r="W441" i="3"/>
  <c r="V441" i="3"/>
  <c r="AB386" i="3"/>
  <c r="AA386" i="3"/>
  <c r="B386" i="3"/>
  <c r="AD271" i="3"/>
  <c r="AC271" i="3"/>
  <c r="F271" i="3"/>
  <c r="K407" i="3"/>
  <c r="H407" i="3"/>
  <c r="V162" i="3"/>
  <c r="N162" i="3"/>
  <c r="M162" i="3"/>
  <c r="J162" i="3"/>
  <c r="B23" i="3"/>
  <c r="F23" i="3"/>
  <c r="AD23" i="3"/>
  <c r="AC23" i="3"/>
  <c r="AA23" i="3"/>
  <c r="AB23" i="3"/>
  <c r="AC39" i="3"/>
  <c r="B39" i="3"/>
  <c r="AD39" i="3"/>
  <c r="F39" i="3"/>
  <c r="B30" i="3"/>
  <c r="AD30" i="3"/>
  <c r="AC30" i="3"/>
  <c r="AB30" i="3"/>
  <c r="AA30" i="3"/>
  <c r="F30" i="3"/>
  <c r="B94" i="3"/>
  <c r="AB94" i="3"/>
  <c r="AA94" i="3"/>
  <c r="B482" i="3"/>
  <c r="AB424" i="3"/>
  <c r="D264" i="4"/>
  <c r="R317" i="3"/>
  <c r="AE211" i="3"/>
  <c r="O211" i="3"/>
  <c r="H154" i="4"/>
  <c r="J154" i="4" s="1"/>
  <c r="F173" i="3"/>
  <c r="G58" i="4"/>
  <c r="F13" i="4"/>
  <c r="H13" i="4" s="1"/>
  <c r="I13" i="4" s="1"/>
  <c r="K92" i="3"/>
  <c r="K438" i="3"/>
  <c r="V438" i="3"/>
  <c r="U438" i="3"/>
  <c r="I438" i="3"/>
  <c r="H438" i="3"/>
  <c r="T438" i="3"/>
  <c r="L438" i="3"/>
  <c r="F373" i="3"/>
  <c r="B373" i="3"/>
  <c r="AD373" i="3"/>
  <c r="AB373" i="3"/>
  <c r="AC373" i="3"/>
  <c r="AA373" i="3"/>
  <c r="AC400" i="3"/>
  <c r="AB400" i="3"/>
  <c r="AA400" i="3"/>
  <c r="B400" i="3"/>
  <c r="AD336" i="3"/>
  <c r="B336" i="3"/>
  <c r="AB336" i="3"/>
  <c r="AA336" i="3"/>
  <c r="AD359" i="3"/>
  <c r="AC359" i="3"/>
  <c r="AB359" i="3"/>
  <c r="F359" i="3"/>
  <c r="AA294" i="3"/>
  <c r="AD294" i="3"/>
  <c r="AC294" i="3"/>
  <c r="AB294" i="3"/>
  <c r="F294" i="3"/>
  <c r="B459" i="3"/>
  <c r="AB459" i="3"/>
  <c r="AA62" i="3"/>
  <c r="AD62" i="3"/>
  <c r="F62" i="3"/>
  <c r="F482" i="3"/>
  <c r="AB482" i="3"/>
  <c r="E264" i="4"/>
  <c r="S317" i="3"/>
  <c r="P211" i="3"/>
  <c r="Q211" i="3"/>
  <c r="AD173" i="3"/>
  <c r="AB27" i="3"/>
  <c r="W92" i="3"/>
  <c r="K436" i="3"/>
  <c r="H436" i="3"/>
  <c r="AE436" i="3"/>
  <c r="L436" i="3"/>
  <c r="I436" i="3"/>
  <c r="U436" i="3"/>
  <c r="S436" i="3"/>
  <c r="V436" i="3"/>
  <c r="Q436" i="3"/>
  <c r="P436" i="3"/>
  <c r="H400" i="3"/>
  <c r="U400" i="3"/>
  <c r="T400" i="3"/>
  <c r="Q400" i="3"/>
  <c r="N400" i="3"/>
  <c r="L400" i="3"/>
  <c r="V400" i="3"/>
  <c r="I400" i="3"/>
  <c r="J359" i="3"/>
  <c r="M359" i="3"/>
  <c r="L359" i="3"/>
  <c r="K359" i="3"/>
  <c r="I359" i="3"/>
  <c r="H359" i="3"/>
  <c r="T359" i="3"/>
  <c r="S359" i="3"/>
  <c r="R359" i="3"/>
  <c r="P359" i="3"/>
  <c r="U359" i="3"/>
  <c r="W359" i="3"/>
  <c r="V359" i="3"/>
  <c r="I394" i="3"/>
  <c r="H394" i="3"/>
  <c r="W394" i="3"/>
  <c r="V394" i="3"/>
  <c r="U394" i="3"/>
  <c r="T394" i="3"/>
  <c r="S394" i="3"/>
  <c r="R394" i="3"/>
  <c r="N394" i="3"/>
  <c r="J394" i="3"/>
  <c r="K394" i="3"/>
  <c r="M394" i="3"/>
  <c r="W405" i="3"/>
  <c r="I405" i="3"/>
  <c r="I444" i="3"/>
  <c r="W444" i="3"/>
  <c r="H444" i="3"/>
  <c r="AA17" i="3"/>
  <c r="AC17" i="3"/>
  <c r="AB17" i="3"/>
  <c r="AB158" i="3"/>
  <c r="AA158" i="3"/>
  <c r="F158" i="3"/>
  <c r="AD158" i="3"/>
  <c r="AC158" i="3"/>
  <c r="B158" i="3"/>
  <c r="V61" i="3"/>
  <c r="Q61" i="3"/>
  <c r="P61" i="3"/>
  <c r="I465" i="4"/>
  <c r="E466" i="4"/>
  <c r="D466" i="4"/>
  <c r="T470" i="3"/>
  <c r="H470" i="3"/>
  <c r="AE470" i="3"/>
  <c r="S470" i="3"/>
  <c r="R470" i="3"/>
  <c r="Q470" i="3"/>
  <c r="P470" i="3"/>
  <c r="O470" i="3"/>
  <c r="M470" i="3"/>
  <c r="L470" i="3"/>
  <c r="U470" i="3"/>
  <c r="N470" i="3"/>
  <c r="K470" i="3"/>
  <c r="J470" i="3"/>
  <c r="I470" i="3"/>
  <c r="W470" i="3"/>
  <c r="V470" i="3"/>
  <c r="F373" i="4"/>
  <c r="H373" i="4" s="1"/>
  <c r="C373" i="4"/>
  <c r="B373" i="4"/>
  <c r="K373" i="4"/>
  <c r="G373" i="4"/>
  <c r="E349" i="4"/>
  <c r="D349" i="4"/>
  <c r="N353" i="3"/>
  <c r="M353" i="3"/>
  <c r="L353" i="3"/>
  <c r="W353" i="3"/>
  <c r="K353" i="3"/>
  <c r="V353" i="3"/>
  <c r="J353" i="3"/>
  <c r="U353" i="3"/>
  <c r="I353" i="3"/>
  <c r="T353" i="3"/>
  <c r="H353" i="3"/>
  <c r="AE353" i="3"/>
  <c r="S353" i="3"/>
  <c r="R353" i="3"/>
  <c r="Q353" i="3"/>
  <c r="P353" i="3"/>
  <c r="O353" i="3"/>
  <c r="J295" i="4"/>
  <c r="I295" i="4"/>
  <c r="E297" i="4"/>
  <c r="D297" i="4"/>
  <c r="R301" i="3"/>
  <c r="AE301" i="3"/>
  <c r="Q301" i="3"/>
  <c r="P301" i="3"/>
  <c r="O301" i="3"/>
  <c r="N301" i="3"/>
  <c r="M301" i="3"/>
  <c r="L301" i="3"/>
  <c r="K301" i="3"/>
  <c r="W301" i="3"/>
  <c r="J301" i="3"/>
  <c r="V301" i="3"/>
  <c r="U301" i="3"/>
  <c r="T301" i="3"/>
  <c r="S301" i="3"/>
  <c r="I301" i="3"/>
  <c r="H301" i="3"/>
  <c r="E281" i="4"/>
  <c r="D281" i="4"/>
  <c r="R285" i="3"/>
  <c r="P285" i="3"/>
  <c r="N285" i="3"/>
  <c r="M285" i="3"/>
  <c r="L285" i="3"/>
  <c r="W285" i="3"/>
  <c r="K285" i="3"/>
  <c r="V285" i="3"/>
  <c r="U285" i="3"/>
  <c r="T285" i="3"/>
  <c r="S285" i="3"/>
  <c r="Q285" i="3"/>
  <c r="O285" i="3"/>
  <c r="AE285" i="3"/>
  <c r="J285" i="3"/>
  <c r="I285" i="3"/>
  <c r="H285" i="3"/>
  <c r="K311" i="4"/>
  <c r="G311" i="4"/>
  <c r="F311" i="4"/>
  <c r="H311" i="4" s="1"/>
  <c r="C311" i="4"/>
  <c r="B311" i="4"/>
  <c r="K366" i="4"/>
  <c r="G366" i="4"/>
  <c r="F366" i="4"/>
  <c r="H366" i="4" s="1"/>
  <c r="C366" i="4"/>
  <c r="B366" i="4"/>
  <c r="AD314" i="3"/>
  <c r="F314" i="3"/>
  <c r="B314" i="3"/>
  <c r="AC314" i="3"/>
  <c r="AB314" i="3"/>
  <c r="AA314" i="3"/>
  <c r="G283" i="4"/>
  <c r="K283" i="4"/>
  <c r="F283" i="4"/>
  <c r="H283" i="4" s="1"/>
  <c r="C283" i="4"/>
  <c r="B283" i="4"/>
  <c r="D243" i="4"/>
  <c r="E243" i="4"/>
  <c r="T247" i="3"/>
  <c r="H247" i="3"/>
  <c r="O247" i="3"/>
  <c r="N247" i="3"/>
  <c r="M247" i="3"/>
  <c r="L247" i="3"/>
  <c r="K247" i="3"/>
  <c r="J247" i="3"/>
  <c r="W247" i="3"/>
  <c r="I247" i="3"/>
  <c r="V247" i="3"/>
  <c r="U247" i="3"/>
  <c r="AE247" i="3"/>
  <c r="S247" i="3"/>
  <c r="R247" i="3"/>
  <c r="Q247" i="3"/>
  <c r="P247" i="3"/>
  <c r="E225" i="4"/>
  <c r="D225" i="4"/>
  <c r="M229" i="3"/>
  <c r="L229" i="3"/>
  <c r="W229" i="3"/>
  <c r="K229" i="3"/>
  <c r="V229" i="3"/>
  <c r="J229" i="3"/>
  <c r="U229" i="3"/>
  <c r="I229" i="3"/>
  <c r="H229" i="3"/>
  <c r="T229" i="3"/>
  <c r="S229" i="3"/>
  <c r="R229" i="3"/>
  <c r="Q229" i="3"/>
  <c r="AE229" i="3"/>
  <c r="N229" i="3"/>
  <c r="P229" i="3"/>
  <c r="O229" i="3"/>
  <c r="J213" i="4"/>
  <c r="I213" i="4"/>
  <c r="E287" i="4"/>
  <c r="D287" i="4"/>
  <c r="L291" i="3"/>
  <c r="W291" i="3"/>
  <c r="K291" i="3"/>
  <c r="V291" i="3"/>
  <c r="J291" i="3"/>
  <c r="U291" i="3"/>
  <c r="I291" i="3"/>
  <c r="T291" i="3"/>
  <c r="H291" i="3"/>
  <c r="AE291" i="3"/>
  <c r="S291" i="3"/>
  <c r="R291" i="3"/>
  <c r="Q291" i="3"/>
  <c r="P291" i="3"/>
  <c r="O291" i="3"/>
  <c r="N291" i="3"/>
  <c r="M291" i="3"/>
  <c r="E242" i="4"/>
  <c r="D242" i="4"/>
  <c r="O246" i="3"/>
  <c r="S246" i="3"/>
  <c r="AE246" i="3"/>
  <c r="R246" i="3"/>
  <c r="Q246" i="3"/>
  <c r="P246" i="3"/>
  <c r="N246" i="3"/>
  <c r="M246" i="3"/>
  <c r="L246" i="3"/>
  <c r="K246" i="3"/>
  <c r="W246" i="3"/>
  <c r="V246" i="3"/>
  <c r="U246" i="3"/>
  <c r="T246" i="3"/>
  <c r="J246" i="3"/>
  <c r="I246" i="3"/>
  <c r="H246" i="3"/>
  <c r="J228" i="4"/>
  <c r="I228" i="4"/>
  <c r="G341" i="4"/>
  <c r="B341" i="4"/>
  <c r="K341" i="4"/>
  <c r="F341" i="4"/>
  <c r="H341" i="4" s="1"/>
  <c r="C341" i="4"/>
  <c r="C224" i="4"/>
  <c r="B224" i="4"/>
  <c r="K224" i="4"/>
  <c r="G224" i="4"/>
  <c r="F224" i="4"/>
  <c r="H224" i="4" s="1"/>
  <c r="C278" i="4"/>
  <c r="B278" i="4"/>
  <c r="K278" i="4"/>
  <c r="G278" i="4"/>
  <c r="F278" i="4"/>
  <c r="H278" i="4" s="1"/>
  <c r="J194" i="4"/>
  <c r="I194" i="4"/>
  <c r="E210" i="4"/>
  <c r="D210" i="4"/>
  <c r="V214" i="3"/>
  <c r="J214" i="3"/>
  <c r="T214" i="3"/>
  <c r="H214" i="3"/>
  <c r="R214" i="3"/>
  <c r="P214" i="3"/>
  <c r="AE214" i="3"/>
  <c r="O214" i="3"/>
  <c r="N214" i="3"/>
  <c r="M214" i="3"/>
  <c r="L214" i="3"/>
  <c r="K214" i="3"/>
  <c r="I214" i="3"/>
  <c r="W214" i="3"/>
  <c r="U214" i="3"/>
  <c r="S214" i="3"/>
  <c r="Q214" i="3"/>
  <c r="G234" i="4"/>
  <c r="C234" i="4"/>
  <c r="B234" i="4"/>
  <c r="K234" i="4"/>
  <c r="F234" i="4"/>
  <c r="H234" i="4" s="1"/>
  <c r="AD174" i="3"/>
  <c r="F174" i="3"/>
  <c r="B174" i="3"/>
  <c r="AC174" i="3"/>
  <c r="AB174" i="3"/>
  <c r="AA174" i="3"/>
  <c r="F196" i="4"/>
  <c r="H196" i="4" s="1"/>
  <c r="C196" i="4"/>
  <c r="K196" i="4"/>
  <c r="G196" i="4"/>
  <c r="B196" i="4"/>
  <c r="J152" i="4"/>
  <c r="I152" i="4"/>
  <c r="E116" i="4"/>
  <c r="D116" i="4"/>
  <c r="M120" i="3"/>
  <c r="L120" i="3"/>
  <c r="W120" i="3"/>
  <c r="K120" i="3"/>
  <c r="V120" i="3"/>
  <c r="J120" i="3"/>
  <c r="U120" i="3"/>
  <c r="I120" i="3"/>
  <c r="T120" i="3"/>
  <c r="S120" i="3"/>
  <c r="R120" i="3"/>
  <c r="Q120" i="3"/>
  <c r="P120" i="3"/>
  <c r="AE120" i="3"/>
  <c r="O120" i="3"/>
  <c r="N120" i="3"/>
  <c r="H120" i="3"/>
  <c r="D204" i="4"/>
  <c r="E204" i="4"/>
  <c r="N208" i="3"/>
  <c r="L208" i="3"/>
  <c r="M208" i="3"/>
  <c r="K208" i="3"/>
  <c r="J208" i="3"/>
  <c r="W208" i="3"/>
  <c r="I208" i="3"/>
  <c r="V208" i="3"/>
  <c r="H208" i="3"/>
  <c r="U208" i="3"/>
  <c r="T208" i="3"/>
  <c r="S208" i="3"/>
  <c r="R208" i="3"/>
  <c r="P208" i="3"/>
  <c r="O208" i="3"/>
  <c r="AE208" i="3"/>
  <c r="Q208" i="3"/>
  <c r="J145" i="4"/>
  <c r="I145" i="4"/>
  <c r="B125" i="3"/>
  <c r="AD125" i="3"/>
  <c r="AC125" i="3"/>
  <c r="AB125" i="3"/>
  <c r="F125" i="3"/>
  <c r="AA125" i="3"/>
  <c r="E124" i="4"/>
  <c r="D124" i="4"/>
  <c r="Q128" i="3"/>
  <c r="P128" i="3"/>
  <c r="O128" i="3"/>
  <c r="N128" i="3"/>
  <c r="M128" i="3"/>
  <c r="L128" i="3"/>
  <c r="K128" i="3"/>
  <c r="AE128" i="3"/>
  <c r="J128" i="3"/>
  <c r="I128" i="3"/>
  <c r="H128" i="3"/>
  <c r="W128" i="3"/>
  <c r="V128" i="3"/>
  <c r="U128" i="3"/>
  <c r="T128" i="3"/>
  <c r="R128" i="3"/>
  <c r="S128" i="3"/>
  <c r="J156" i="4"/>
  <c r="I156" i="4"/>
  <c r="C158" i="4"/>
  <c r="B158" i="4"/>
  <c r="K158" i="4"/>
  <c r="G158" i="4"/>
  <c r="F158" i="4"/>
  <c r="H158" i="4" s="1"/>
  <c r="G137" i="4"/>
  <c r="F137" i="4"/>
  <c r="H137" i="4" s="1"/>
  <c r="C137" i="4"/>
  <c r="B137" i="4"/>
  <c r="K137" i="4"/>
  <c r="AD240" i="3"/>
  <c r="F240" i="3"/>
  <c r="AC240" i="3"/>
  <c r="AB240" i="3"/>
  <c r="AA240" i="3"/>
  <c r="B240" i="3"/>
  <c r="E134" i="4"/>
  <c r="D134" i="4"/>
  <c r="U138" i="3"/>
  <c r="I138" i="3"/>
  <c r="AE138" i="3"/>
  <c r="S138" i="3"/>
  <c r="R138" i="3"/>
  <c r="Q138" i="3"/>
  <c r="P138" i="3"/>
  <c r="O138" i="3"/>
  <c r="M138" i="3"/>
  <c r="L138" i="3"/>
  <c r="K138" i="3"/>
  <c r="J138" i="3"/>
  <c r="H138" i="3"/>
  <c r="W138" i="3"/>
  <c r="V138" i="3"/>
  <c r="T138" i="3"/>
  <c r="N138" i="3"/>
  <c r="E83" i="4"/>
  <c r="D83" i="4"/>
  <c r="O87" i="3"/>
  <c r="M87" i="3"/>
  <c r="V87" i="3"/>
  <c r="J87" i="3"/>
  <c r="U87" i="3"/>
  <c r="I87" i="3"/>
  <c r="AE87" i="3"/>
  <c r="S87" i="3"/>
  <c r="R87" i="3"/>
  <c r="P87" i="3"/>
  <c r="N87" i="3"/>
  <c r="L87" i="3"/>
  <c r="K87" i="3"/>
  <c r="H87" i="3"/>
  <c r="W87" i="3"/>
  <c r="T87" i="3"/>
  <c r="Q87" i="3"/>
  <c r="AD78" i="3"/>
  <c r="F78" i="3"/>
  <c r="AB78" i="3"/>
  <c r="AC78" i="3"/>
  <c r="AA78" i="3"/>
  <c r="B78" i="3"/>
  <c r="J55" i="4"/>
  <c r="I55" i="4"/>
  <c r="E102" i="4"/>
  <c r="D102" i="4"/>
  <c r="O106" i="3"/>
  <c r="W106" i="3"/>
  <c r="K106" i="3"/>
  <c r="V106" i="3"/>
  <c r="J106" i="3"/>
  <c r="R106" i="3"/>
  <c r="Q106" i="3"/>
  <c r="P106" i="3"/>
  <c r="N106" i="3"/>
  <c r="AE106" i="3"/>
  <c r="M106" i="3"/>
  <c r="I106" i="3"/>
  <c r="H106" i="3"/>
  <c r="U106" i="3"/>
  <c r="S106" i="3"/>
  <c r="T106" i="3"/>
  <c r="L106" i="3"/>
  <c r="E113" i="4"/>
  <c r="D113" i="4"/>
  <c r="V117" i="3"/>
  <c r="J117" i="3"/>
  <c r="U117" i="3"/>
  <c r="I117" i="3"/>
  <c r="T117" i="3"/>
  <c r="H117" i="3"/>
  <c r="AE117" i="3"/>
  <c r="S117" i="3"/>
  <c r="R117" i="3"/>
  <c r="P117" i="3"/>
  <c r="O117" i="3"/>
  <c r="N117" i="3"/>
  <c r="M117" i="3"/>
  <c r="L117" i="3"/>
  <c r="K117" i="3"/>
  <c r="W117" i="3"/>
  <c r="Q117" i="3"/>
  <c r="D77" i="4"/>
  <c r="E77" i="4"/>
  <c r="U81" i="3"/>
  <c r="I81" i="3"/>
  <c r="AE81" i="3"/>
  <c r="S81" i="3"/>
  <c r="P81" i="3"/>
  <c r="O81" i="3"/>
  <c r="M81" i="3"/>
  <c r="L81" i="3"/>
  <c r="N81" i="3"/>
  <c r="K81" i="3"/>
  <c r="J81" i="3"/>
  <c r="H81" i="3"/>
  <c r="W81" i="3"/>
  <c r="V81" i="3"/>
  <c r="T81" i="3"/>
  <c r="R81" i="3"/>
  <c r="Q81" i="3"/>
  <c r="I46" i="4"/>
  <c r="J46" i="4"/>
  <c r="E80" i="4"/>
  <c r="D80" i="4"/>
  <c r="L84" i="3"/>
  <c r="V84" i="3"/>
  <c r="J84" i="3"/>
  <c r="AE84" i="3"/>
  <c r="S84" i="3"/>
  <c r="R84" i="3"/>
  <c r="P84" i="3"/>
  <c r="O84" i="3"/>
  <c r="M84" i="3"/>
  <c r="I84" i="3"/>
  <c r="H84" i="3"/>
  <c r="W84" i="3"/>
  <c r="U84" i="3"/>
  <c r="T84" i="3"/>
  <c r="Q84" i="3"/>
  <c r="N84" i="3"/>
  <c r="K84" i="3"/>
  <c r="AA43" i="3"/>
  <c r="B43" i="3"/>
  <c r="F43" i="3"/>
  <c r="AD43" i="3"/>
  <c r="AC43" i="3"/>
  <c r="AB43" i="3"/>
  <c r="C76" i="4"/>
  <c r="K76" i="4"/>
  <c r="B76" i="4"/>
  <c r="G76" i="4"/>
  <c r="F76" i="4"/>
  <c r="H76" i="4" s="1"/>
  <c r="J32" i="4"/>
  <c r="I32" i="4"/>
  <c r="J37" i="4"/>
  <c r="I37" i="4"/>
  <c r="F42" i="4"/>
  <c r="H42" i="4" s="1"/>
  <c r="C42" i="4"/>
  <c r="B42" i="4"/>
  <c r="K42" i="4"/>
  <c r="G42" i="4"/>
  <c r="AD105" i="3"/>
  <c r="F105" i="3"/>
  <c r="AC105" i="3"/>
  <c r="AB105" i="3"/>
  <c r="AA105" i="3"/>
  <c r="B105" i="3"/>
  <c r="B52" i="3"/>
  <c r="F52" i="3"/>
  <c r="AD52" i="3"/>
  <c r="AC52" i="3"/>
  <c r="AB52" i="3"/>
  <c r="AA52" i="3"/>
  <c r="C50" i="4"/>
  <c r="B50" i="4"/>
  <c r="K50" i="4"/>
  <c r="G50" i="4"/>
  <c r="F50" i="4"/>
  <c r="H50" i="4" s="1"/>
  <c r="AD25" i="3"/>
  <c r="F25" i="3"/>
  <c r="AC25" i="3"/>
  <c r="AB25" i="3"/>
  <c r="AA25" i="3"/>
  <c r="B25" i="3"/>
  <c r="E36" i="4"/>
  <c r="D36" i="4"/>
  <c r="V40" i="3"/>
  <c r="J40" i="3"/>
  <c r="U40" i="3"/>
  <c r="I40" i="3"/>
  <c r="T40" i="3"/>
  <c r="H40" i="3"/>
  <c r="AE40" i="3"/>
  <c r="S40" i="3"/>
  <c r="R40" i="3"/>
  <c r="Q40" i="3"/>
  <c r="P40" i="3"/>
  <c r="O40" i="3"/>
  <c r="N40" i="3"/>
  <c r="M40" i="3"/>
  <c r="L40" i="3"/>
  <c r="W40" i="3"/>
  <c r="K40" i="3"/>
  <c r="J38" i="4"/>
  <c r="I38" i="4"/>
  <c r="E489" i="4"/>
  <c r="D489" i="4"/>
  <c r="N493" i="3"/>
  <c r="M493" i="3"/>
  <c r="L493" i="3"/>
  <c r="W493" i="3"/>
  <c r="K493" i="3"/>
  <c r="V493" i="3"/>
  <c r="J493" i="3"/>
  <c r="U493" i="3"/>
  <c r="T493" i="3"/>
  <c r="S493" i="3"/>
  <c r="R493" i="3"/>
  <c r="Q493" i="3"/>
  <c r="P493" i="3"/>
  <c r="O493" i="3"/>
  <c r="AE493" i="3"/>
  <c r="I493" i="3"/>
  <c r="H493" i="3"/>
  <c r="J286" i="4"/>
  <c r="I286" i="4"/>
  <c r="E501" i="4"/>
  <c r="D501" i="4"/>
  <c r="Q505" i="3"/>
  <c r="P505" i="3"/>
  <c r="O505" i="3"/>
  <c r="N505" i="3"/>
  <c r="M505" i="3"/>
  <c r="L505" i="3"/>
  <c r="W505" i="3"/>
  <c r="K505" i="3"/>
  <c r="V505" i="3"/>
  <c r="J505" i="3"/>
  <c r="AE505" i="3"/>
  <c r="U505" i="3"/>
  <c r="T505" i="3"/>
  <c r="S505" i="3"/>
  <c r="R505" i="3"/>
  <c r="I505" i="3"/>
  <c r="H505" i="3"/>
  <c r="E433" i="4"/>
  <c r="D433" i="4"/>
  <c r="W437" i="3"/>
  <c r="K437" i="3"/>
  <c r="J437" i="3"/>
  <c r="V437" i="3"/>
  <c r="I437" i="3"/>
  <c r="U437" i="3"/>
  <c r="H437" i="3"/>
  <c r="T437" i="3"/>
  <c r="S437" i="3"/>
  <c r="AE437" i="3"/>
  <c r="R437" i="3"/>
  <c r="Q437" i="3"/>
  <c r="P437" i="3"/>
  <c r="O437" i="3"/>
  <c r="N437" i="3"/>
  <c r="M437" i="3"/>
  <c r="L437" i="3"/>
  <c r="K404" i="4"/>
  <c r="G404" i="4"/>
  <c r="F404" i="4"/>
  <c r="H404" i="4" s="1"/>
  <c r="C404" i="4"/>
  <c r="B404" i="4"/>
  <c r="G420" i="4"/>
  <c r="F420" i="4"/>
  <c r="H420" i="4" s="1"/>
  <c r="C420" i="4"/>
  <c r="B420" i="4"/>
  <c r="K420" i="4"/>
  <c r="E387" i="4"/>
  <c r="D387" i="4"/>
  <c r="AE391" i="3"/>
  <c r="S391" i="3"/>
  <c r="R391" i="3"/>
  <c r="Q391" i="3"/>
  <c r="P391" i="3"/>
  <c r="N391" i="3"/>
  <c r="M391" i="3"/>
  <c r="L391" i="3"/>
  <c r="H391" i="3"/>
  <c r="W391" i="3"/>
  <c r="V391" i="3"/>
  <c r="U391" i="3"/>
  <c r="T391" i="3"/>
  <c r="O391" i="3"/>
  <c r="K391" i="3"/>
  <c r="J391" i="3"/>
  <c r="I391" i="3"/>
  <c r="I332" i="4"/>
  <c r="J332" i="4"/>
  <c r="E308" i="4"/>
  <c r="D308" i="4"/>
  <c r="M312" i="3"/>
  <c r="T312" i="3"/>
  <c r="H312" i="3"/>
  <c r="P312" i="3"/>
  <c r="O312" i="3"/>
  <c r="N312" i="3"/>
  <c r="L312" i="3"/>
  <c r="K312" i="3"/>
  <c r="J312" i="3"/>
  <c r="W312" i="3"/>
  <c r="I312" i="3"/>
  <c r="V312" i="3"/>
  <c r="S312" i="3"/>
  <c r="R312" i="3"/>
  <c r="Q312" i="3"/>
  <c r="AE312" i="3"/>
  <c r="U312" i="3"/>
  <c r="E361" i="4"/>
  <c r="D361" i="4"/>
  <c r="U365" i="3"/>
  <c r="I365" i="3"/>
  <c r="T365" i="3"/>
  <c r="H365" i="3"/>
  <c r="P365" i="3"/>
  <c r="K365" i="3"/>
  <c r="J365" i="3"/>
  <c r="W365" i="3"/>
  <c r="V365" i="3"/>
  <c r="S365" i="3"/>
  <c r="R365" i="3"/>
  <c r="Q365" i="3"/>
  <c r="AE365" i="3"/>
  <c r="O365" i="3"/>
  <c r="N365" i="3"/>
  <c r="M365" i="3"/>
  <c r="L365" i="3"/>
  <c r="I349" i="4"/>
  <c r="J349" i="4"/>
  <c r="B388" i="4"/>
  <c r="K388" i="4"/>
  <c r="G388" i="4"/>
  <c r="F388" i="4"/>
  <c r="H388" i="4" s="1"/>
  <c r="C388" i="4"/>
  <c r="E342" i="4"/>
  <c r="D342" i="4"/>
  <c r="O346" i="3"/>
  <c r="N346" i="3"/>
  <c r="M346" i="3"/>
  <c r="L346" i="3"/>
  <c r="W346" i="3"/>
  <c r="K346" i="3"/>
  <c r="V346" i="3"/>
  <c r="J346" i="3"/>
  <c r="U346" i="3"/>
  <c r="I346" i="3"/>
  <c r="T346" i="3"/>
  <c r="H346" i="3"/>
  <c r="AE346" i="3"/>
  <c r="S346" i="3"/>
  <c r="R346" i="3"/>
  <c r="P346" i="3"/>
  <c r="Q346" i="3"/>
  <c r="J335" i="4"/>
  <c r="I335" i="4"/>
  <c r="G377" i="4"/>
  <c r="F377" i="4"/>
  <c r="H377" i="4" s="1"/>
  <c r="K377" i="4"/>
  <c r="C377" i="4"/>
  <c r="B377" i="4"/>
  <c r="AC344" i="3"/>
  <c r="AB344" i="3"/>
  <c r="AA344" i="3"/>
  <c r="B344" i="3"/>
  <c r="AD344" i="3"/>
  <c r="F344" i="3"/>
  <c r="AC332" i="3"/>
  <c r="AA332" i="3"/>
  <c r="AD332" i="3"/>
  <c r="AB332" i="3"/>
  <c r="F332" i="3"/>
  <c r="B332" i="3"/>
  <c r="B392" i="4"/>
  <c r="K392" i="4"/>
  <c r="G392" i="4"/>
  <c r="C392" i="4"/>
  <c r="F392" i="4"/>
  <c r="H392" i="4" s="1"/>
  <c r="J280" i="4"/>
  <c r="I280" i="4"/>
  <c r="J290" i="4"/>
  <c r="I290" i="4"/>
  <c r="G334" i="4"/>
  <c r="F334" i="4"/>
  <c r="H334" i="4" s="1"/>
  <c r="C334" i="4"/>
  <c r="K334" i="4"/>
  <c r="B334" i="4"/>
  <c r="C317" i="4"/>
  <c r="B317" i="4"/>
  <c r="K317" i="4"/>
  <c r="G317" i="4"/>
  <c r="F317" i="4"/>
  <c r="H317" i="4" s="1"/>
  <c r="E293" i="4"/>
  <c r="D293" i="4"/>
  <c r="R297" i="3"/>
  <c r="Q297" i="3"/>
  <c r="P297" i="3"/>
  <c r="O297" i="3"/>
  <c r="N297" i="3"/>
  <c r="M297" i="3"/>
  <c r="L297" i="3"/>
  <c r="W297" i="3"/>
  <c r="K297" i="3"/>
  <c r="J297" i="3"/>
  <c r="I297" i="3"/>
  <c r="AE297" i="3"/>
  <c r="H297" i="3"/>
  <c r="V297" i="3"/>
  <c r="U297" i="3"/>
  <c r="T297" i="3"/>
  <c r="S297" i="3"/>
  <c r="E364" i="4"/>
  <c r="D364" i="4"/>
  <c r="L368" i="3"/>
  <c r="W368" i="3"/>
  <c r="K368" i="3"/>
  <c r="AE368" i="3"/>
  <c r="S368" i="3"/>
  <c r="M368" i="3"/>
  <c r="J368" i="3"/>
  <c r="I368" i="3"/>
  <c r="H368" i="3"/>
  <c r="V368" i="3"/>
  <c r="U368" i="3"/>
  <c r="T368" i="3"/>
  <c r="R368" i="3"/>
  <c r="Q368" i="3"/>
  <c r="P368" i="3"/>
  <c r="O368" i="3"/>
  <c r="N368" i="3"/>
  <c r="E356" i="4"/>
  <c r="D356" i="4"/>
  <c r="T360" i="3"/>
  <c r="H360" i="3"/>
  <c r="AE360" i="3"/>
  <c r="S360" i="3"/>
  <c r="N360" i="3"/>
  <c r="M360" i="3"/>
  <c r="L360" i="3"/>
  <c r="K360" i="3"/>
  <c r="J360" i="3"/>
  <c r="W360" i="3"/>
  <c r="I360" i="3"/>
  <c r="V360" i="3"/>
  <c r="U360" i="3"/>
  <c r="R360" i="3"/>
  <c r="Q360" i="3"/>
  <c r="P360" i="3"/>
  <c r="O360" i="3"/>
  <c r="E310" i="4"/>
  <c r="D310" i="4"/>
  <c r="W314" i="3"/>
  <c r="K314" i="3"/>
  <c r="R314" i="3"/>
  <c r="J314" i="3"/>
  <c r="I314" i="3"/>
  <c r="V314" i="3"/>
  <c r="H314" i="3"/>
  <c r="U314" i="3"/>
  <c r="T314" i="3"/>
  <c r="S314" i="3"/>
  <c r="Q314" i="3"/>
  <c r="AE314" i="3"/>
  <c r="P314" i="3"/>
  <c r="L314" i="3"/>
  <c r="O314" i="3"/>
  <c r="N314" i="3"/>
  <c r="M314" i="3"/>
  <c r="E232" i="4"/>
  <c r="D232" i="4"/>
  <c r="M236" i="3"/>
  <c r="L236" i="3"/>
  <c r="W236" i="3"/>
  <c r="K236" i="3"/>
  <c r="V236" i="3"/>
  <c r="J236" i="3"/>
  <c r="U236" i="3"/>
  <c r="I236" i="3"/>
  <c r="T236" i="3"/>
  <c r="H236" i="3"/>
  <c r="O236" i="3"/>
  <c r="N236" i="3"/>
  <c r="AE236" i="3"/>
  <c r="S236" i="3"/>
  <c r="R236" i="3"/>
  <c r="Q236" i="3"/>
  <c r="P236" i="3"/>
  <c r="J225" i="4"/>
  <c r="I225" i="4"/>
  <c r="E260" i="4"/>
  <c r="D260" i="4"/>
  <c r="U264" i="3"/>
  <c r="I264" i="3"/>
  <c r="P264" i="3"/>
  <c r="AE264" i="3"/>
  <c r="O264" i="3"/>
  <c r="N264" i="3"/>
  <c r="M264" i="3"/>
  <c r="L264" i="3"/>
  <c r="K264" i="3"/>
  <c r="J264" i="3"/>
  <c r="W264" i="3"/>
  <c r="H264" i="3"/>
  <c r="V264" i="3"/>
  <c r="T264" i="3"/>
  <c r="S264" i="3"/>
  <c r="R264" i="3"/>
  <c r="Q264" i="3"/>
  <c r="E282" i="4"/>
  <c r="D282" i="4"/>
  <c r="W286" i="3"/>
  <c r="K286" i="3"/>
  <c r="U286" i="3"/>
  <c r="I286" i="3"/>
  <c r="AE286" i="3"/>
  <c r="S286" i="3"/>
  <c r="R286" i="3"/>
  <c r="Q286" i="3"/>
  <c r="P286" i="3"/>
  <c r="L286" i="3"/>
  <c r="J286" i="3"/>
  <c r="H286" i="3"/>
  <c r="V286" i="3"/>
  <c r="T286" i="3"/>
  <c r="O286" i="3"/>
  <c r="N286" i="3"/>
  <c r="M286" i="3"/>
  <c r="E240" i="4"/>
  <c r="D240" i="4"/>
  <c r="AE244" i="3"/>
  <c r="S244" i="3"/>
  <c r="R244" i="3"/>
  <c r="Q244" i="3"/>
  <c r="P244" i="3"/>
  <c r="O244" i="3"/>
  <c r="N244" i="3"/>
  <c r="M244" i="3"/>
  <c r="L244" i="3"/>
  <c r="W244" i="3"/>
  <c r="V244" i="3"/>
  <c r="U244" i="3"/>
  <c r="T244" i="3"/>
  <c r="K244" i="3"/>
  <c r="J244" i="3"/>
  <c r="I244" i="3"/>
  <c r="H244" i="3"/>
  <c r="E233" i="4"/>
  <c r="D233" i="4"/>
  <c r="AE237" i="3"/>
  <c r="R237" i="3"/>
  <c r="Q237" i="3"/>
  <c r="P237" i="3"/>
  <c r="O237" i="3"/>
  <c r="N237" i="3"/>
  <c r="M237" i="3"/>
  <c r="V237" i="3"/>
  <c r="U237" i="3"/>
  <c r="T237" i="3"/>
  <c r="S237" i="3"/>
  <c r="L237" i="3"/>
  <c r="K237" i="3"/>
  <c r="J237" i="3"/>
  <c r="I237" i="3"/>
  <c r="H237" i="3"/>
  <c r="W237" i="3"/>
  <c r="J221" i="4"/>
  <c r="G273" i="4"/>
  <c r="F273" i="4"/>
  <c r="H273" i="4" s="1"/>
  <c r="C273" i="4"/>
  <c r="K273" i="4"/>
  <c r="B273" i="4"/>
  <c r="K250" i="4"/>
  <c r="G250" i="4"/>
  <c r="F250" i="4"/>
  <c r="H250" i="4" s="1"/>
  <c r="C250" i="4"/>
  <c r="B250" i="4"/>
  <c r="J210" i="4"/>
  <c r="I210" i="4"/>
  <c r="J201" i="4"/>
  <c r="I201" i="4"/>
  <c r="J216" i="4"/>
  <c r="I216" i="4"/>
  <c r="B265" i="3"/>
  <c r="AD265" i="3"/>
  <c r="AC265" i="3"/>
  <c r="AB265" i="3"/>
  <c r="AA265" i="3"/>
  <c r="F265" i="3"/>
  <c r="C289" i="4"/>
  <c r="B289" i="4"/>
  <c r="K289" i="4"/>
  <c r="G289" i="4"/>
  <c r="F289" i="4"/>
  <c r="H289" i="4" s="1"/>
  <c r="E171" i="4"/>
  <c r="D171" i="4"/>
  <c r="P175" i="3"/>
  <c r="O175" i="3"/>
  <c r="N175" i="3"/>
  <c r="M175" i="3"/>
  <c r="W175" i="3"/>
  <c r="K175" i="3"/>
  <c r="V175" i="3"/>
  <c r="U175" i="3"/>
  <c r="T175" i="3"/>
  <c r="S175" i="3"/>
  <c r="R175" i="3"/>
  <c r="AE175" i="3"/>
  <c r="I175" i="3"/>
  <c r="Q175" i="3"/>
  <c r="L175" i="3"/>
  <c r="J175" i="3"/>
  <c r="H175" i="3"/>
  <c r="J200" i="4"/>
  <c r="I200" i="4"/>
  <c r="J176" i="4"/>
  <c r="I176" i="4"/>
  <c r="J163" i="4"/>
  <c r="I163" i="4"/>
  <c r="F219" i="4"/>
  <c r="H219" i="4" s="1"/>
  <c r="C219" i="4"/>
  <c r="B219" i="4"/>
  <c r="K219" i="4"/>
  <c r="G219" i="4"/>
  <c r="B208" i="3"/>
  <c r="AB208" i="3"/>
  <c r="AA208" i="3"/>
  <c r="F208" i="3"/>
  <c r="AC208" i="3"/>
  <c r="AD208" i="3"/>
  <c r="D157" i="4"/>
  <c r="E157" i="4"/>
  <c r="P161" i="3"/>
  <c r="O161" i="3"/>
  <c r="N161" i="3"/>
  <c r="M161" i="3"/>
  <c r="L161" i="3"/>
  <c r="W161" i="3"/>
  <c r="K161" i="3"/>
  <c r="V161" i="3"/>
  <c r="J161" i="3"/>
  <c r="R161" i="3"/>
  <c r="AE161" i="3"/>
  <c r="U161" i="3"/>
  <c r="T161" i="3"/>
  <c r="S161" i="3"/>
  <c r="Q161" i="3"/>
  <c r="I161" i="3"/>
  <c r="H161" i="3"/>
  <c r="I150" i="4"/>
  <c r="J150" i="4"/>
  <c r="E131" i="4"/>
  <c r="D131" i="4"/>
  <c r="R135" i="3"/>
  <c r="P135" i="3"/>
  <c r="O135" i="3"/>
  <c r="N135" i="3"/>
  <c r="M135" i="3"/>
  <c r="L135" i="3"/>
  <c r="Q135" i="3"/>
  <c r="K135" i="3"/>
  <c r="J135" i="3"/>
  <c r="I135" i="3"/>
  <c r="H135" i="3"/>
  <c r="AE135" i="3"/>
  <c r="W135" i="3"/>
  <c r="V135" i="3"/>
  <c r="U135" i="3"/>
  <c r="T135" i="3"/>
  <c r="S135" i="3"/>
  <c r="AD147" i="3"/>
  <c r="F147" i="3"/>
  <c r="AC147" i="3"/>
  <c r="AB147" i="3"/>
  <c r="AA147" i="3"/>
  <c r="B147" i="3"/>
  <c r="E135" i="4"/>
  <c r="D135" i="4"/>
  <c r="N139" i="3"/>
  <c r="L139" i="3"/>
  <c r="W139" i="3"/>
  <c r="K139" i="3"/>
  <c r="V139" i="3"/>
  <c r="J139" i="3"/>
  <c r="U139" i="3"/>
  <c r="I139" i="3"/>
  <c r="T139" i="3"/>
  <c r="H139" i="3"/>
  <c r="S139" i="3"/>
  <c r="R139" i="3"/>
  <c r="Q139" i="3"/>
  <c r="P139" i="3"/>
  <c r="O139" i="3"/>
  <c r="AE139" i="3"/>
  <c r="M139" i="3"/>
  <c r="E117" i="4"/>
  <c r="D117" i="4"/>
  <c r="R121" i="3"/>
  <c r="Q121" i="3"/>
  <c r="P121" i="3"/>
  <c r="O121" i="3"/>
  <c r="N121" i="3"/>
  <c r="L121" i="3"/>
  <c r="K121" i="3"/>
  <c r="J121" i="3"/>
  <c r="AE121" i="3"/>
  <c r="I121" i="3"/>
  <c r="H121" i="3"/>
  <c r="W121" i="3"/>
  <c r="V121" i="3"/>
  <c r="U121" i="3"/>
  <c r="T121" i="3"/>
  <c r="S121" i="3"/>
  <c r="M121" i="3"/>
  <c r="E236" i="4"/>
  <c r="D236" i="4"/>
  <c r="W240" i="3"/>
  <c r="K240" i="3"/>
  <c r="V240" i="3"/>
  <c r="J240" i="3"/>
  <c r="U240" i="3"/>
  <c r="I240" i="3"/>
  <c r="T240" i="3"/>
  <c r="H240" i="3"/>
  <c r="AE240" i="3"/>
  <c r="S240" i="3"/>
  <c r="R240" i="3"/>
  <c r="Q240" i="3"/>
  <c r="P240" i="3"/>
  <c r="O240" i="3"/>
  <c r="N240" i="3"/>
  <c r="M240" i="3"/>
  <c r="L240" i="3"/>
  <c r="AC113" i="3"/>
  <c r="AB113" i="3"/>
  <c r="AA113" i="3"/>
  <c r="F113" i="3"/>
  <c r="AD113" i="3"/>
  <c r="B113" i="3"/>
  <c r="K115" i="4"/>
  <c r="G115" i="4"/>
  <c r="B115" i="4"/>
  <c r="F115" i="4"/>
  <c r="H115" i="4" s="1"/>
  <c r="C115" i="4"/>
  <c r="E85" i="4"/>
  <c r="D85" i="4"/>
  <c r="M89" i="3"/>
  <c r="W89" i="3"/>
  <c r="K89" i="3"/>
  <c r="T89" i="3"/>
  <c r="H89" i="3"/>
  <c r="AE89" i="3"/>
  <c r="S89" i="3"/>
  <c r="Q89" i="3"/>
  <c r="P89" i="3"/>
  <c r="N89" i="3"/>
  <c r="V89" i="3"/>
  <c r="U89" i="3"/>
  <c r="R89" i="3"/>
  <c r="O89" i="3"/>
  <c r="L89" i="3"/>
  <c r="J89" i="3"/>
  <c r="I89" i="3"/>
  <c r="K122" i="4"/>
  <c r="G122" i="4"/>
  <c r="C122" i="4"/>
  <c r="F122" i="4"/>
  <c r="H122" i="4" s="1"/>
  <c r="B122" i="4"/>
  <c r="I65" i="4"/>
  <c r="J65" i="4"/>
  <c r="D41" i="4"/>
  <c r="E41" i="4"/>
  <c r="O45" i="3"/>
  <c r="M45" i="3"/>
  <c r="L45" i="3"/>
  <c r="V45" i="3"/>
  <c r="U45" i="3"/>
  <c r="T45" i="3"/>
  <c r="S45" i="3"/>
  <c r="AE45" i="3"/>
  <c r="R45" i="3"/>
  <c r="Q45" i="3"/>
  <c r="P45" i="3"/>
  <c r="N45" i="3"/>
  <c r="K45" i="3"/>
  <c r="J45" i="3"/>
  <c r="I45" i="3"/>
  <c r="W45" i="3"/>
  <c r="H45" i="3"/>
  <c r="AB69" i="3"/>
  <c r="AA69" i="3"/>
  <c r="AD69" i="3"/>
  <c r="AC69" i="3"/>
  <c r="F69" i="3"/>
  <c r="B69" i="3"/>
  <c r="AC53" i="3"/>
  <c r="AB53" i="3"/>
  <c r="F53" i="3"/>
  <c r="B53" i="3"/>
  <c r="AD53" i="3"/>
  <c r="AA53" i="3"/>
  <c r="J27" i="4"/>
  <c r="I27" i="4"/>
  <c r="E15" i="4"/>
  <c r="D15" i="4"/>
  <c r="M19" i="3"/>
  <c r="L19" i="3"/>
  <c r="W19" i="3"/>
  <c r="K19" i="3"/>
  <c r="V19" i="3"/>
  <c r="J19" i="3"/>
  <c r="U19" i="3"/>
  <c r="I19" i="3"/>
  <c r="T19" i="3"/>
  <c r="H19" i="3"/>
  <c r="AE19" i="3"/>
  <c r="S19" i="3"/>
  <c r="R19" i="3"/>
  <c r="Q19" i="3"/>
  <c r="P19" i="3"/>
  <c r="O19" i="3"/>
  <c r="N19" i="3"/>
  <c r="G61" i="4"/>
  <c r="F61" i="4"/>
  <c r="H61" i="4" s="1"/>
  <c r="C61" i="4"/>
  <c r="B61" i="4"/>
  <c r="K61" i="4"/>
  <c r="B82" i="3"/>
  <c r="AD82" i="3"/>
  <c r="F82" i="3"/>
  <c r="AC82" i="3"/>
  <c r="AB82" i="3"/>
  <c r="AA82" i="3"/>
  <c r="G47" i="4"/>
  <c r="F47" i="4"/>
  <c r="H47" i="4" s="1"/>
  <c r="C47" i="4"/>
  <c r="B47" i="4"/>
  <c r="K47" i="4"/>
  <c r="J35" i="4"/>
  <c r="I35" i="4"/>
  <c r="C88" i="4"/>
  <c r="K88" i="4"/>
  <c r="G88" i="4"/>
  <c r="F88" i="4"/>
  <c r="H88" i="4" s="1"/>
  <c r="B88" i="4"/>
  <c r="I33" i="4"/>
  <c r="J33" i="4"/>
  <c r="AD64" i="3"/>
  <c r="F64" i="3"/>
  <c r="AA64" i="3"/>
  <c r="B64" i="3"/>
  <c r="AC64" i="3"/>
  <c r="AB64" i="3"/>
  <c r="AD97" i="3"/>
  <c r="F97" i="3"/>
  <c r="B97" i="3"/>
  <c r="AC97" i="3"/>
  <c r="AB97" i="3"/>
  <c r="AA97" i="3"/>
  <c r="E499" i="4"/>
  <c r="D499" i="4"/>
  <c r="AE503" i="3"/>
  <c r="S503" i="3"/>
  <c r="R503" i="3"/>
  <c r="Q503" i="3"/>
  <c r="P503" i="3"/>
  <c r="O503" i="3"/>
  <c r="N503" i="3"/>
  <c r="M503" i="3"/>
  <c r="L503" i="3"/>
  <c r="W503" i="3"/>
  <c r="V503" i="3"/>
  <c r="U503" i="3"/>
  <c r="T503" i="3"/>
  <c r="K503" i="3"/>
  <c r="J503" i="3"/>
  <c r="I503" i="3"/>
  <c r="H503" i="3"/>
  <c r="D443" i="4"/>
  <c r="E443" i="4"/>
  <c r="M447" i="3"/>
  <c r="U447" i="3"/>
  <c r="I447" i="3"/>
  <c r="T447" i="3"/>
  <c r="H447" i="3"/>
  <c r="W447" i="3"/>
  <c r="V447" i="3"/>
  <c r="S447" i="3"/>
  <c r="R447" i="3"/>
  <c r="Q447" i="3"/>
  <c r="AE447" i="3"/>
  <c r="P447" i="3"/>
  <c r="O447" i="3"/>
  <c r="N447" i="3"/>
  <c r="L447" i="3"/>
  <c r="K447" i="3"/>
  <c r="J447" i="3"/>
  <c r="D474" i="4"/>
  <c r="E474" i="4"/>
  <c r="AE478" i="3"/>
  <c r="S478" i="3"/>
  <c r="M478" i="3"/>
  <c r="L478" i="3"/>
  <c r="K478" i="3"/>
  <c r="W478" i="3"/>
  <c r="J478" i="3"/>
  <c r="V478" i="3"/>
  <c r="I478" i="3"/>
  <c r="U478" i="3"/>
  <c r="H478" i="3"/>
  <c r="T478" i="3"/>
  <c r="R478" i="3"/>
  <c r="Q478" i="3"/>
  <c r="P478" i="3"/>
  <c r="O478" i="3"/>
  <c r="N478" i="3"/>
  <c r="E449" i="4"/>
  <c r="D449" i="4"/>
  <c r="AE453" i="3"/>
  <c r="S453" i="3"/>
  <c r="O453" i="3"/>
  <c r="N453" i="3"/>
  <c r="K453" i="3"/>
  <c r="J453" i="3"/>
  <c r="I453" i="3"/>
  <c r="W453" i="3"/>
  <c r="H453" i="3"/>
  <c r="V453" i="3"/>
  <c r="U453" i="3"/>
  <c r="T453" i="3"/>
  <c r="R453" i="3"/>
  <c r="Q453" i="3"/>
  <c r="M453" i="3"/>
  <c r="L453" i="3"/>
  <c r="P453" i="3"/>
  <c r="G477" i="4"/>
  <c r="F477" i="4"/>
  <c r="H477" i="4" s="1"/>
  <c r="B477" i="4"/>
  <c r="C477" i="4"/>
  <c r="K477" i="4"/>
  <c r="C415" i="4"/>
  <c r="K415" i="4"/>
  <c r="G415" i="4"/>
  <c r="F415" i="4"/>
  <c r="H415" i="4" s="1"/>
  <c r="B415" i="4"/>
  <c r="AC417" i="3"/>
  <c r="AB417" i="3"/>
  <c r="AD417" i="3"/>
  <c r="AA417" i="3"/>
  <c r="F417" i="3"/>
  <c r="B417" i="3"/>
  <c r="K378" i="4"/>
  <c r="G378" i="4"/>
  <c r="C378" i="4"/>
  <c r="F378" i="4"/>
  <c r="H378" i="4" s="1"/>
  <c r="B378" i="4"/>
  <c r="E318" i="4"/>
  <c r="D318" i="4"/>
  <c r="O322" i="3"/>
  <c r="W322" i="3"/>
  <c r="K322" i="3"/>
  <c r="V322" i="3"/>
  <c r="J322" i="3"/>
  <c r="H322" i="3"/>
  <c r="U322" i="3"/>
  <c r="T322" i="3"/>
  <c r="S322" i="3"/>
  <c r="R322" i="3"/>
  <c r="Q322" i="3"/>
  <c r="AE322" i="3"/>
  <c r="P322" i="3"/>
  <c r="N322" i="3"/>
  <c r="M322" i="3"/>
  <c r="L322" i="3"/>
  <c r="I322" i="3"/>
  <c r="J381" i="4"/>
  <c r="I381" i="4"/>
  <c r="E309" i="4"/>
  <c r="D309" i="4"/>
  <c r="R313" i="3"/>
  <c r="M313" i="3"/>
  <c r="L313" i="3"/>
  <c r="K313" i="3"/>
  <c r="J313" i="3"/>
  <c r="W313" i="3"/>
  <c r="I313" i="3"/>
  <c r="V313" i="3"/>
  <c r="H313" i="3"/>
  <c r="U313" i="3"/>
  <c r="T313" i="3"/>
  <c r="S313" i="3"/>
  <c r="AE313" i="3"/>
  <c r="Q313" i="3"/>
  <c r="P313" i="3"/>
  <c r="O313" i="3"/>
  <c r="N313" i="3"/>
  <c r="E324" i="4"/>
  <c r="D324" i="4"/>
  <c r="U328" i="3"/>
  <c r="I328" i="3"/>
  <c r="Q328" i="3"/>
  <c r="P328" i="3"/>
  <c r="N328" i="3"/>
  <c r="M328" i="3"/>
  <c r="L328" i="3"/>
  <c r="K328" i="3"/>
  <c r="AE328" i="3"/>
  <c r="J328" i="3"/>
  <c r="H328" i="3"/>
  <c r="W328" i="3"/>
  <c r="V328" i="3"/>
  <c r="T328" i="3"/>
  <c r="S328" i="3"/>
  <c r="R328" i="3"/>
  <c r="O328" i="3"/>
  <c r="D455" i="4"/>
  <c r="E455" i="4"/>
  <c r="M459" i="3"/>
  <c r="U459" i="3"/>
  <c r="I459" i="3"/>
  <c r="T459" i="3"/>
  <c r="H459" i="3"/>
  <c r="R459" i="3"/>
  <c r="Q459" i="3"/>
  <c r="W459" i="3"/>
  <c r="V459" i="3"/>
  <c r="S459" i="3"/>
  <c r="P459" i="3"/>
  <c r="O459" i="3"/>
  <c r="N459" i="3"/>
  <c r="AE459" i="3"/>
  <c r="L459" i="3"/>
  <c r="K459" i="3"/>
  <c r="J459" i="3"/>
  <c r="E357" i="4"/>
  <c r="D357" i="4"/>
  <c r="M361" i="3"/>
  <c r="L361" i="3"/>
  <c r="J361" i="3"/>
  <c r="W361" i="3"/>
  <c r="I361" i="3"/>
  <c r="V361" i="3"/>
  <c r="H361" i="3"/>
  <c r="U361" i="3"/>
  <c r="T361" i="3"/>
  <c r="S361" i="3"/>
  <c r="AE361" i="3"/>
  <c r="R361" i="3"/>
  <c r="Q361" i="3"/>
  <c r="P361" i="3"/>
  <c r="O361" i="3"/>
  <c r="N361" i="3"/>
  <c r="K361" i="3"/>
  <c r="D413" i="4"/>
  <c r="E413" i="4"/>
  <c r="L417" i="3"/>
  <c r="T417" i="3"/>
  <c r="H417" i="3"/>
  <c r="AE417" i="3"/>
  <c r="S417" i="3"/>
  <c r="Q417" i="3"/>
  <c r="P417" i="3"/>
  <c r="J417" i="3"/>
  <c r="I417" i="3"/>
  <c r="W417" i="3"/>
  <c r="V417" i="3"/>
  <c r="U417" i="3"/>
  <c r="R417" i="3"/>
  <c r="O417" i="3"/>
  <c r="N417" i="3"/>
  <c r="M417" i="3"/>
  <c r="K417" i="3"/>
  <c r="I382" i="4"/>
  <c r="J382" i="4"/>
  <c r="C409" i="4"/>
  <c r="B409" i="4"/>
  <c r="K409" i="4"/>
  <c r="G409" i="4"/>
  <c r="F409" i="4"/>
  <c r="H409" i="4" s="1"/>
  <c r="J480" i="4"/>
  <c r="I480" i="4"/>
  <c r="D483" i="4"/>
  <c r="E483" i="4"/>
  <c r="R487" i="3"/>
  <c r="P487" i="3"/>
  <c r="K487" i="3"/>
  <c r="J487" i="3"/>
  <c r="W487" i="3"/>
  <c r="I487" i="3"/>
  <c r="V487" i="3"/>
  <c r="H487" i="3"/>
  <c r="U487" i="3"/>
  <c r="T487" i="3"/>
  <c r="S487" i="3"/>
  <c r="Q487" i="3"/>
  <c r="AE487" i="3"/>
  <c r="O487" i="3"/>
  <c r="N487" i="3"/>
  <c r="M487" i="3"/>
  <c r="L487" i="3"/>
  <c r="J443" i="4"/>
  <c r="I443" i="4"/>
  <c r="AD504" i="3"/>
  <c r="F504" i="3"/>
  <c r="AC504" i="3"/>
  <c r="B504" i="3"/>
  <c r="AB504" i="3"/>
  <c r="AA504" i="3"/>
  <c r="D486" i="4"/>
  <c r="E486" i="4"/>
  <c r="W490" i="3"/>
  <c r="K490" i="3"/>
  <c r="U490" i="3"/>
  <c r="I490" i="3"/>
  <c r="AE490" i="3"/>
  <c r="S490" i="3"/>
  <c r="L490" i="3"/>
  <c r="J490" i="3"/>
  <c r="H490" i="3"/>
  <c r="V490" i="3"/>
  <c r="T490" i="3"/>
  <c r="R490" i="3"/>
  <c r="Q490" i="3"/>
  <c r="P490" i="3"/>
  <c r="M490" i="3"/>
  <c r="N490" i="3"/>
  <c r="O490" i="3"/>
  <c r="D439" i="4"/>
  <c r="E439" i="4"/>
  <c r="Q443" i="3"/>
  <c r="M443" i="3"/>
  <c r="L443" i="3"/>
  <c r="U443" i="3"/>
  <c r="T443" i="3"/>
  <c r="S443" i="3"/>
  <c r="R443" i="3"/>
  <c r="AE443" i="3"/>
  <c r="P443" i="3"/>
  <c r="O443" i="3"/>
  <c r="N443" i="3"/>
  <c r="K443" i="3"/>
  <c r="J443" i="3"/>
  <c r="W443" i="3"/>
  <c r="V443" i="3"/>
  <c r="I443" i="3"/>
  <c r="H443" i="3"/>
  <c r="E500" i="4"/>
  <c r="D500" i="4"/>
  <c r="L504" i="3"/>
  <c r="W504" i="3"/>
  <c r="K504" i="3"/>
  <c r="V504" i="3"/>
  <c r="J504" i="3"/>
  <c r="U504" i="3"/>
  <c r="I504" i="3"/>
  <c r="T504" i="3"/>
  <c r="H504" i="3"/>
  <c r="AE504" i="3"/>
  <c r="S504" i="3"/>
  <c r="R504" i="3"/>
  <c r="Q504" i="3"/>
  <c r="P504" i="3"/>
  <c r="O504" i="3"/>
  <c r="N504" i="3"/>
  <c r="M504" i="3"/>
  <c r="G478" i="4"/>
  <c r="F478" i="4"/>
  <c r="H478" i="4" s="1"/>
  <c r="C478" i="4"/>
  <c r="K478" i="4"/>
  <c r="B478" i="4"/>
  <c r="J470" i="4"/>
  <c r="I470" i="4"/>
  <c r="E456" i="4"/>
  <c r="D456" i="4"/>
  <c r="R460" i="3"/>
  <c r="N460" i="3"/>
  <c r="M460" i="3"/>
  <c r="W460" i="3"/>
  <c r="K460" i="3"/>
  <c r="V460" i="3"/>
  <c r="J460" i="3"/>
  <c r="P460" i="3"/>
  <c r="O460" i="3"/>
  <c r="L460" i="3"/>
  <c r="AE460" i="3"/>
  <c r="I460" i="3"/>
  <c r="H460" i="3"/>
  <c r="U460" i="3"/>
  <c r="T460" i="3"/>
  <c r="S460" i="3"/>
  <c r="Q460" i="3"/>
  <c r="C497" i="4"/>
  <c r="B497" i="4"/>
  <c r="K497" i="4"/>
  <c r="G497" i="4"/>
  <c r="F497" i="4"/>
  <c r="H497" i="4" s="1"/>
  <c r="K434" i="4"/>
  <c r="G434" i="4"/>
  <c r="B434" i="4"/>
  <c r="F434" i="4"/>
  <c r="H434" i="4" s="1"/>
  <c r="C434" i="4"/>
  <c r="E402" i="4"/>
  <c r="D402" i="4"/>
  <c r="Q406" i="3"/>
  <c r="M406" i="3"/>
  <c r="L406" i="3"/>
  <c r="U406" i="3"/>
  <c r="T406" i="3"/>
  <c r="S406" i="3"/>
  <c r="R406" i="3"/>
  <c r="P406" i="3"/>
  <c r="AE406" i="3"/>
  <c r="O406" i="3"/>
  <c r="N406" i="3"/>
  <c r="K406" i="3"/>
  <c r="J406" i="3"/>
  <c r="H406" i="3"/>
  <c r="W406" i="3"/>
  <c r="V406" i="3"/>
  <c r="I406" i="3"/>
  <c r="J407" i="4"/>
  <c r="I407" i="4"/>
  <c r="K396" i="4"/>
  <c r="G396" i="4"/>
  <c r="F396" i="4"/>
  <c r="H396" i="4" s="1"/>
  <c r="B396" i="4"/>
  <c r="C396" i="4"/>
  <c r="AB401" i="3"/>
  <c r="B401" i="3"/>
  <c r="AD401" i="3"/>
  <c r="AC401" i="3"/>
  <c r="AA401" i="3"/>
  <c r="F401" i="3"/>
  <c r="J386" i="4"/>
  <c r="I386" i="4"/>
  <c r="I424" i="4"/>
  <c r="J424" i="4"/>
  <c r="E358" i="4"/>
  <c r="D358" i="4"/>
  <c r="R362" i="3"/>
  <c r="Q362" i="3"/>
  <c r="M362" i="3"/>
  <c r="W362" i="3"/>
  <c r="H362" i="3"/>
  <c r="V362" i="3"/>
  <c r="U362" i="3"/>
  <c r="T362" i="3"/>
  <c r="S362" i="3"/>
  <c r="P362" i="3"/>
  <c r="O362" i="3"/>
  <c r="AE362" i="3"/>
  <c r="N362" i="3"/>
  <c r="L362" i="3"/>
  <c r="K362" i="3"/>
  <c r="J362" i="3"/>
  <c r="I362" i="3"/>
  <c r="AB364" i="3"/>
  <c r="AA364" i="3"/>
  <c r="F364" i="3"/>
  <c r="B364" i="3"/>
  <c r="AD364" i="3"/>
  <c r="AC364" i="3"/>
  <c r="E330" i="4"/>
  <c r="D330" i="4"/>
  <c r="O334" i="3"/>
  <c r="M334" i="3"/>
  <c r="W334" i="3"/>
  <c r="K334" i="3"/>
  <c r="V334" i="3"/>
  <c r="J334" i="3"/>
  <c r="T334" i="3"/>
  <c r="H334" i="3"/>
  <c r="AE334" i="3"/>
  <c r="S334" i="3"/>
  <c r="Q334" i="3"/>
  <c r="P334" i="3"/>
  <c r="N334" i="3"/>
  <c r="L334" i="3"/>
  <c r="I334" i="3"/>
  <c r="U334" i="3"/>
  <c r="R334" i="3"/>
  <c r="AB351" i="3"/>
  <c r="AA351" i="3"/>
  <c r="B351" i="3"/>
  <c r="F351" i="3"/>
  <c r="AD351" i="3"/>
  <c r="AC351" i="3"/>
  <c r="I309" i="4"/>
  <c r="J309" i="4"/>
  <c r="B360" i="4"/>
  <c r="K360" i="4"/>
  <c r="G360" i="4"/>
  <c r="F360" i="4"/>
  <c r="H360" i="4" s="1"/>
  <c r="C360" i="4"/>
  <c r="AD342" i="3"/>
  <c r="F342" i="3"/>
  <c r="AC342" i="3"/>
  <c r="AB342" i="3"/>
  <c r="AA342" i="3"/>
  <c r="B342" i="3"/>
  <c r="E319" i="4"/>
  <c r="D319" i="4"/>
  <c r="T323" i="3"/>
  <c r="H323" i="3"/>
  <c r="P323" i="3"/>
  <c r="O323" i="3"/>
  <c r="M323" i="3"/>
  <c r="J323" i="3"/>
  <c r="I323" i="3"/>
  <c r="W323" i="3"/>
  <c r="V323" i="3"/>
  <c r="U323" i="3"/>
  <c r="S323" i="3"/>
  <c r="R323" i="3"/>
  <c r="Q323" i="3"/>
  <c r="N323" i="3"/>
  <c r="L323" i="3"/>
  <c r="K323" i="3"/>
  <c r="AE323" i="3"/>
  <c r="J292" i="4"/>
  <c r="I292" i="4"/>
  <c r="E339" i="4"/>
  <c r="D339" i="4"/>
  <c r="L343" i="3"/>
  <c r="W343" i="3"/>
  <c r="K343" i="3"/>
  <c r="V343" i="3"/>
  <c r="J343" i="3"/>
  <c r="U343" i="3"/>
  <c r="I343" i="3"/>
  <c r="T343" i="3"/>
  <c r="H343" i="3"/>
  <c r="AE343" i="3"/>
  <c r="S343" i="3"/>
  <c r="R343" i="3"/>
  <c r="Q343" i="3"/>
  <c r="P343" i="3"/>
  <c r="O343" i="3"/>
  <c r="N343" i="3"/>
  <c r="M343" i="3"/>
  <c r="E285" i="4"/>
  <c r="D285" i="4"/>
  <c r="N289" i="3"/>
  <c r="M289" i="3"/>
  <c r="L289" i="3"/>
  <c r="V289" i="3"/>
  <c r="J289" i="3"/>
  <c r="U289" i="3"/>
  <c r="I289" i="3"/>
  <c r="T289" i="3"/>
  <c r="H289" i="3"/>
  <c r="AE289" i="3"/>
  <c r="S289" i="3"/>
  <c r="W289" i="3"/>
  <c r="R289" i="3"/>
  <c r="Q289" i="3"/>
  <c r="P289" i="3"/>
  <c r="O289" i="3"/>
  <c r="K289" i="3"/>
  <c r="C372" i="4"/>
  <c r="B372" i="4"/>
  <c r="F372" i="4"/>
  <c r="H372" i="4" s="1"/>
  <c r="K372" i="4"/>
  <c r="G372" i="4"/>
  <c r="E300" i="4"/>
  <c r="D300" i="4"/>
  <c r="U304" i="3"/>
  <c r="I304" i="3"/>
  <c r="P304" i="3"/>
  <c r="O304" i="3"/>
  <c r="N304" i="3"/>
  <c r="M304" i="3"/>
  <c r="L304" i="3"/>
  <c r="K304" i="3"/>
  <c r="W304" i="3"/>
  <c r="J304" i="3"/>
  <c r="V304" i="3"/>
  <c r="H304" i="3"/>
  <c r="AE304" i="3"/>
  <c r="T304" i="3"/>
  <c r="S304" i="3"/>
  <c r="R304" i="3"/>
  <c r="Q304" i="3"/>
  <c r="J293" i="4"/>
  <c r="I293" i="4"/>
  <c r="E245" i="4"/>
  <c r="D245" i="4"/>
  <c r="R249" i="3"/>
  <c r="M249" i="3"/>
  <c r="V249" i="3"/>
  <c r="H249" i="3"/>
  <c r="U249" i="3"/>
  <c r="T249" i="3"/>
  <c r="S249" i="3"/>
  <c r="Q249" i="3"/>
  <c r="AE249" i="3"/>
  <c r="P249" i="3"/>
  <c r="O249" i="3"/>
  <c r="N249" i="3"/>
  <c r="W249" i="3"/>
  <c r="L249" i="3"/>
  <c r="K249" i="3"/>
  <c r="J249" i="3"/>
  <c r="I249" i="3"/>
  <c r="E274" i="4"/>
  <c r="D274" i="4"/>
  <c r="AE278" i="3"/>
  <c r="S278" i="3"/>
  <c r="O278" i="3"/>
  <c r="N278" i="3"/>
  <c r="M278" i="3"/>
  <c r="L278" i="3"/>
  <c r="U278" i="3"/>
  <c r="T278" i="3"/>
  <c r="R278" i="3"/>
  <c r="Q278" i="3"/>
  <c r="P278" i="3"/>
  <c r="K278" i="3"/>
  <c r="J278" i="3"/>
  <c r="I278" i="3"/>
  <c r="H278" i="3"/>
  <c r="W278" i="3"/>
  <c r="V278" i="3"/>
  <c r="J262" i="4"/>
  <c r="I262" i="4"/>
  <c r="C266" i="4"/>
  <c r="B266" i="4"/>
  <c r="K266" i="4"/>
  <c r="F266" i="4"/>
  <c r="H266" i="4" s="1"/>
  <c r="G266" i="4"/>
  <c r="G310" i="4"/>
  <c r="F310" i="4"/>
  <c r="H310" i="4" s="1"/>
  <c r="K310" i="4"/>
  <c r="B310" i="4"/>
  <c r="C310" i="4"/>
  <c r="G272" i="4"/>
  <c r="F272" i="4"/>
  <c r="H272" i="4" s="1"/>
  <c r="C272" i="4"/>
  <c r="B272" i="4"/>
  <c r="K272" i="4"/>
  <c r="J239" i="4"/>
  <c r="I239" i="4"/>
  <c r="E237" i="4"/>
  <c r="D237" i="4"/>
  <c r="P241" i="3"/>
  <c r="O241" i="3"/>
  <c r="N241" i="3"/>
  <c r="M241" i="3"/>
  <c r="L241" i="3"/>
  <c r="W241" i="3"/>
  <c r="K241" i="3"/>
  <c r="V241" i="3"/>
  <c r="J241" i="3"/>
  <c r="U241" i="3"/>
  <c r="I241" i="3"/>
  <c r="T241" i="3"/>
  <c r="S241" i="3"/>
  <c r="R241" i="3"/>
  <c r="Q241" i="3"/>
  <c r="H241" i="3"/>
  <c r="AE241" i="3"/>
  <c r="AB264" i="3"/>
  <c r="AA264" i="3"/>
  <c r="AD264" i="3"/>
  <c r="AC264" i="3"/>
  <c r="F264" i="3"/>
  <c r="B264" i="3"/>
  <c r="D235" i="4"/>
  <c r="E235" i="4"/>
  <c r="R239" i="3"/>
  <c r="Q239" i="3"/>
  <c r="P239" i="3"/>
  <c r="O239" i="3"/>
  <c r="N239" i="3"/>
  <c r="M239" i="3"/>
  <c r="L239" i="3"/>
  <c r="W239" i="3"/>
  <c r="K239" i="3"/>
  <c r="V239" i="3"/>
  <c r="U239" i="3"/>
  <c r="T239" i="3"/>
  <c r="S239" i="3"/>
  <c r="J239" i="3"/>
  <c r="I239" i="3"/>
  <c r="H239" i="3"/>
  <c r="AE239" i="3"/>
  <c r="AC268" i="3"/>
  <c r="AA268" i="3"/>
  <c r="F268" i="3"/>
  <c r="B268" i="3"/>
  <c r="AD268" i="3"/>
  <c r="AB268" i="3"/>
  <c r="AC288" i="3"/>
  <c r="AB288" i="3"/>
  <c r="AA288" i="3"/>
  <c r="B288" i="3"/>
  <c r="AD288" i="3"/>
  <c r="F288" i="3"/>
  <c r="E261" i="4"/>
  <c r="D261" i="4"/>
  <c r="N265" i="3"/>
  <c r="U265" i="3"/>
  <c r="I265" i="3"/>
  <c r="T265" i="3"/>
  <c r="H265" i="3"/>
  <c r="AE265" i="3"/>
  <c r="P265" i="3"/>
  <c r="O265" i="3"/>
  <c r="M265" i="3"/>
  <c r="L265" i="3"/>
  <c r="K265" i="3"/>
  <c r="J265" i="3"/>
  <c r="W265" i="3"/>
  <c r="V265" i="3"/>
  <c r="S265" i="3"/>
  <c r="R265" i="3"/>
  <c r="Q265" i="3"/>
  <c r="I199" i="4"/>
  <c r="J199" i="4"/>
  <c r="AA191" i="3"/>
  <c r="B191" i="3"/>
  <c r="AD191" i="3"/>
  <c r="AC191" i="3"/>
  <c r="AB191" i="3"/>
  <c r="F191" i="3"/>
  <c r="J168" i="4"/>
  <c r="I168" i="4"/>
  <c r="AB172" i="3"/>
  <c r="F172" i="3"/>
  <c r="AA172" i="3"/>
  <c r="B172" i="3"/>
  <c r="AD172" i="3"/>
  <c r="AC172" i="3"/>
  <c r="G227" i="4"/>
  <c r="F227" i="4"/>
  <c r="H227" i="4" s="1"/>
  <c r="C227" i="4"/>
  <c r="B227" i="4"/>
  <c r="K227" i="4"/>
  <c r="AC207" i="3"/>
  <c r="AB207" i="3"/>
  <c r="AA207" i="3"/>
  <c r="F207" i="3"/>
  <c r="AD207" i="3"/>
  <c r="B207" i="3"/>
  <c r="J166" i="4"/>
  <c r="I166" i="4"/>
  <c r="E215" i="4"/>
  <c r="D215" i="4"/>
  <c r="W219" i="3"/>
  <c r="K219" i="3"/>
  <c r="U219" i="3"/>
  <c r="I219" i="3"/>
  <c r="AE219" i="3"/>
  <c r="S219" i="3"/>
  <c r="Q219" i="3"/>
  <c r="P219" i="3"/>
  <c r="O219" i="3"/>
  <c r="N219" i="3"/>
  <c r="M219" i="3"/>
  <c r="L219" i="3"/>
  <c r="J219" i="3"/>
  <c r="H219" i="3"/>
  <c r="V219" i="3"/>
  <c r="T219" i="3"/>
  <c r="R219" i="3"/>
  <c r="AC180" i="3"/>
  <c r="AB180" i="3"/>
  <c r="AA180" i="3"/>
  <c r="B180" i="3"/>
  <c r="AD180" i="3"/>
  <c r="F180" i="3"/>
  <c r="E154" i="4"/>
  <c r="D154" i="4"/>
  <c r="M158" i="3"/>
  <c r="L158" i="3"/>
  <c r="W158" i="3"/>
  <c r="K158" i="3"/>
  <c r="V158" i="3"/>
  <c r="J158" i="3"/>
  <c r="U158" i="3"/>
  <c r="I158" i="3"/>
  <c r="T158" i="3"/>
  <c r="H158" i="3"/>
  <c r="AE158" i="3"/>
  <c r="S158" i="3"/>
  <c r="O158" i="3"/>
  <c r="P158" i="3"/>
  <c r="N158" i="3"/>
  <c r="R158" i="3"/>
  <c r="Q158" i="3"/>
  <c r="J142" i="4"/>
  <c r="I142" i="4"/>
  <c r="J116" i="4"/>
  <c r="I116" i="4"/>
  <c r="J157" i="4"/>
  <c r="I157" i="4"/>
  <c r="E165" i="4"/>
  <c r="D165" i="4"/>
  <c r="T169" i="3"/>
  <c r="H169" i="3"/>
  <c r="AE169" i="3"/>
  <c r="S169" i="3"/>
  <c r="Q169" i="3"/>
  <c r="N169" i="3"/>
  <c r="M169" i="3"/>
  <c r="L169" i="3"/>
  <c r="K169" i="3"/>
  <c r="J169" i="3"/>
  <c r="I169" i="3"/>
  <c r="W169" i="3"/>
  <c r="P169" i="3"/>
  <c r="V169" i="3"/>
  <c r="U169" i="3"/>
  <c r="R169" i="3"/>
  <c r="O169" i="3"/>
  <c r="AB137" i="3"/>
  <c r="B137" i="3"/>
  <c r="AD137" i="3"/>
  <c r="F137" i="3"/>
  <c r="AC137" i="3"/>
  <c r="AA137" i="3"/>
  <c r="E114" i="4"/>
  <c r="D114" i="4"/>
  <c r="O118" i="3"/>
  <c r="N118" i="3"/>
  <c r="M118" i="3"/>
  <c r="L118" i="3"/>
  <c r="W118" i="3"/>
  <c r="K118" i="3"/>
  <c r="I118" i="3"/>
  <c r="V118" i="3"/>
  <c r="U118" i="3"/>
  <c r="T118" i="3"/>
  <c r="S118" i="3"/>
  <c r="R118" i="3"/>
  <c r="Q118" i="3"/>
  <c r="P118" i="3"/>
  <c r="J118" i="3"/>
  <c r="H118" i="3"/>
  <c r="AE118" i="3"/>
  <c r="F184" i="4"/>
  <c r="H184" i="4" s="1"/>
  <c r="K184" i="4"/>
  <c r="C184" i="4"/>
  <c r="G184" i="4"/>
  <c r="B184" i="4"/>
  <c r="J155" i="4"/>
  <c r="I155" i="4"/>
  <c r="K214" i="4"/>
  <c r="G214" i="4"/>
  <c r="F214" i="4"/>
  <c r="H214" i="4" s="1"/>
  <c r="C214" i="4"/>
  <c r="B214" i="4"/>
  <c r="I160" i="4"/>
  <c r="J160" i="4"/>
  <c r="J112" i="4"/>
  <c r="I112" i="4"/>
  <c r="AD129" i="3"/>
  <c r="F129" i="3"/>
  <c r="B129" i="3"/>
  <c r="AC129" i="3"/>
  <c r="AB129" i="3"/>
  <c r="AA129" i="3"/>
  <c r="K106" i="4"/>
  <c r="G106" i="4"/>
  <c r="F106" i="4"/>
  <c r="H106" i="4" s="1"/>
  <c r="C106" i="4"/>
  <c r="B106" i="4"/>
  <c r="F172" i="4"/>
  <c r="H172" i="4" s="1"/>
  <c r="C172" i="4"/>
  <c r="B172" i="4"/>
  <c r="K172" i="4"/>
  <c r="G172" i="4"/>
  <c r="B139" i="3"/>
  <c r="AD139" i="3"/>
  <c r="F139" i="3"/>
  <c r="AC139" i="3"/>
  <c r="AB139" i="3"/>
  <c r="AA139" i="3"/>
  <c r="K129" i="4"/>
  <c r="G129" i="4"/>
  <c r="F129" i="4"/>
  <c r="H129" i="4" s="1"/>
  <c r="C129" i="4"/>
  <c r="B129" i="4"/>
  <c r="AD131" i="3"/>
  <c r="F131" i="3"/>
  <c r="AC131" i="3"/>
  <c r="AB131" i="3"/>
  <c r="AA131" i="3"/>
  <c r="B131" i="3"/>
  <c r="C109" i="4"/>
  <c r="G109" i="4"/>
  <c r="B109" i="4"/>
  <c r="K109" i="4"/>
  <c r="F109" i="4"/>
  <c r="H109" i="4" s="1"/>
  <c r="AD190" i="3"/>
  <c r="F190" i="3"/>
  <c r="AC190" i="3"/>
  <c r="AB190" i="3"/>
  <c r="AA190" i="3"/>
  <c r="B190" i="3"/>
  <c r="J73" i="4"/>
  <c r="I73" i="4"/>
  <c r="E90" i="4"/>
  <c r="D90" i="4"/>
  <c r="N94" i="3"/>
  <c r="M94" i="3"/>
  <c r="L94" i="3"/>
  <c r="U94" i="3"/>
  <c r="I94" i="3"/>
  <c r="T94" i="3"/>
  <c r="H94" i="3"/>
  <c r="R94" i="3"/>
  <c r="Q94" i="3"/>
  <c r="O94" i="3"/>
  <c r="K94" i="3"/>
  <c r="J94" i="3"/>
  <c r="AE94" i="3"/>
  <c r="W94" i="3"/>
  <c r="V94" i="3"/>
  <c r="S94" i="3"/>
  <c r="P94" i="3"/>
  <c r="AD117" i="3"/>
  <c r="F117" i="3"/>
  <c r="AC117" i="3"/>
  <c r="AB117" i="3"/>
  <c r="AA117" i="3"/>
  <c r="B117" i="3"/>
  <c r="J83" i="4"/>
  <c r="I83" i="4"/>
  <c r="E151" i="4"/>
  <c r="D151" i="4"/>
  <c r="V155" i="3"/>
  <c r="J155" i="3"/>
  <c r="U155" i="3"/>
  <c r="I155" i="3"/>
  <c r="T155" i="3"/>
  <c r="H155" i="3"/>
  <c r="AE155" i="3"/>
  <c r="S155" i="3"/>
  <c r="R155" i="3"/>
  <c r="Q155" i="3"/>
  <c r="P155" i="3"/>
  <c r="L155" i="3"/>
  <c r="W155" i="3"/>
  <c r="O155" i="3"/>
  <c r="N155" i="3"/>
  <c r="M155" i="3"/>
  <c r="K155" i="3"/>
  <c r="E67" i="4"/>
  <c r="D67" i="4"/>
  <c r="Q71" i="3"/>
  <c r="N71" i="3"/>
  <c r="M71" i="3"/>
  <c r="W71" i="3"/>
  <c r="K71" i="3"/>
  <c r="V71" i="3"/>
  <c r="J71" i="3"/>
  <c r="AE71" i="3"/>
  <c r="L71" i="3"/>
  <c r="I71" i="3"/>
  <c r="H71" i="3"/>
  <c r="U71" i="3"/>
  <c r="T71" i="3"/>
  <c r="S71" i="3"/>
  <c r="R71" i="3"/>
  <c r="P71" i="3"/>
  <c r="O71" i="3"/>
  <c r="G113" i="4"/>
  <c r="F113" i="4"/>
  <c r="H113" i="4" s="1"/>
  <c r="C113" i="4"/>
  <c r="B113" i="4"/>
  <c r="K113" i="4"/>
  <c r="E58" i="4"/>
  <c r="D58" i="4"/>
  <c r="T62" i="3"/>
  <c r="H62" i="3"/>
  <c r="Q62" i="3"/>
  <c r="P62" i="3"/>
  <c r="N62" i="3"/>
  <c r="M62" i="3"/>
  <c r="S62" i="3"/>
  <c r="R62" i="3"/>
  <c r="O62" i="3"/>
  <c r="L62" i="3"/>
  <c r="AE62" i="3"/>
  <c r="K62" i="3"/>
  <c r="J62" i="3"/>
  <c r="I62" i="3"/>
  <c r="W62" i="3"/>
  <c r="V62" i="3"/>
  <c r="U62" i="3"/>
  <c r="F102" i="4"/>
  <c r="H102" i="4" s="1"/>
  <c r="C102" i="4"/>
  <c r="B102" i="4"/>
  <c r="K102" i="4"/>
  <c r="G102" i="4"/>
  <c r="E95" i="4"/>
  <c r="D95" i="4"/>
  <c r="P99" i="3"/>
  <c r="L99" i="3"/>
  <c r="T99" i="3"/>
  <c r="S99" i="3"/>
  <c r="R99" i="3"/>
  <c r="N99" i="3"/>
  <c r="M99" i="3"/>
  <c r="J99" i="3"/>
  <c r="W99" i="3"/>
  <c r="I99" i="3"/>
  <c r="U99" i="3"/>
  <c r="H99" i="3"/>
  <c r="AE99" i="3"/>
  <c r="V99" i="3"/>
  <c r="Q99" i="3"/>
  <c r="O99" i="3"/>
  <c r="K99" i="3"/>
  <c r="D69" i="4"/>
  <c r="E69" i="4"/>
  <c r="O73" i="3"/>
  <c r="L73" i="3"/>
  <c r="W73" i="3"/>
  <c r="K73" i="3"/>
  <c r="U73" i="3"/>
  <c r="I73" i="3"/>
  <c r="T73" i="3"/>
  <c r="H73" i="3"/>
  <c r="J73" i="3"/>
  <c r="V73" i="3"/>
  <c r="S73" i="3"/>
  <c r="R73" i="3"/>
  <c r="Q73" i="3"/>
  <c r="P73" i="3"/>
  <c r="N73" i="3"/>
  <c r="AE73" i="3"/>
  <c r="M73" i="3"/>
  <c r="J23" i="4"/>
  <c r="I23" i="4"/>
  <c r="AD88" i="3"/>
  <c r="F88" i="3"/>
  <c r="AA88" i="3"/>
  <c r="B88" i="3"/>
  <c r="AC88" i="3"/>
  <c r="AB88" i="3"/>
  <c r="K48" i="4"/>
  <c r="F48" i="4"/>
  <c r="H48" i="4" s="1"/>
  <c r="G48" i="4"/>
  <c r="C48" i="4"/>
  <c r="B48" i="4"/>
  <c r="C64" i="4"/>
  <c r="K64" i="4"/>
  <c r="G64" i="4"/>
  <c r="F64" i="4"/>
  <c r="H64" i="4" s="1"/>
  <c r="B64" i="4"/>
  <c r="B39" i="4"/>
  <c r="G39" i="4"/>
  <c r="F39" i="4"/>
  <c r="H39" i="4" s="1"/>
  <c r="C39" i="4"/>
  <c r="K39" i="4"/>
  <c r="E26" i="4"/>
  <c r="D26" i="4"/>
  <c r="T30" i="3"/>
  <c r="H30" i="3"/>
  <c r="AE30" i="3"/>
  <c r="S30" i="3"/>
  <c r="R30" i="3"/>
  <c r="Q30" i="3"/>
  <c r="P30" i="3"/>
  <c r="O30" i="3"/>
  <c r="N30" i="3"/>
  <c r="M30" i="3"/>
  <c r="L30" i="3"/>
  <c r="W30" i="3"/>
  <c r="K30" i="3"/>
  <c r="V30" i="3"/>
  <c r="J30" i="3"/>
  <c r="U30" i="3"/>
  <c r="I30" i="3"/>
  <c r="AD13" i="3"/>
  <c r="F13" i="3"/>
  <c r="AC13" i="3"/>
  <c r="AB13" i="3"/>
  <c r="AA13" i="3"/>
  <c r="B13" i="3"/>
  <c r="AD56" i="3"/>
  <c r="AC56" i="3"/>
  <c r="AB56" i="3"/>
  <c r="F56" i="3"/>
  <c r="AA56" i="3"/>
  <c r="B56" i="3"/>
  <c r="J31" i="4"/>
  <c r="I31" i="4"/>
  <c r="E24" i="4"/>
  <c r="D24" i="4"/>
  <c r="V28" i="3"/>
  <c r="J28" i="3"/>
  <c r="U28" i="3"/>
  <c r="I28" i="3"/>
  <c r="T28" i="3"/>
  <c r="H28" i="3"/>
  <c r="AE28" i="3"/>
  <c r="S28" i="3"/>
  <c r="R28" i="3"/>
  <c r="Q28" i="3"/>
  <c r="P28" i="3"/>
  <c r="O28" i="3"/>
  <c r="N28" i="3"/>
  <c r="M28" i="3"/>
  <c r="L28" i="3"/>
  <c r="W28" i="3"/>
  <c r="K28" i="3"/>
  <c r="E34" i="4"/>
  <c r="D34" i="4"/>
  <c r="L38" i="3"/>
  <c r="W38" i="3"/>
  <c r="K38" i="3"/>
  <c r="V38" i="3"/>
  <c r="J38" i="3"/>
  <c r="U38" i="3"/>
  <c r="I38" i="3"/>
  <c r="T38" i="3"/>
  <c r="H38" i="3"/>
  <c r="AE38" i="3"/>
  <c r="S38" i="3"/>
  <c r="R38" i="3"/>
  <c r="Q38" i="3"/>
  <c r="P38" i="3"/>
  <c r="O38" i="3"/>
  <c r="N38" i="3"/>
  <c r="M38" i="3"/>
  <c r="J22" i="4"/>
  <c r="I22" i="4"/>
  <c r="K440" i="4"/>
  <c r="G440" i="4"/>
  <c r="B440" i="4"/>
  <c r="F440" i="4"/>
  <c r="H440" i="4" s="1"/>
  <c r="C440" i="4"/>
  <c r="C393" i="4"/>
  <c r="B393" i="4"/>
  <c r="K393" i="4"/>
  <c r="G393" i="4"/>
  <c r="F393" i="4"/>
  <c r="H393" i="4" s="1"/>
  <c r="C355" i="4"/>
  <c r="B355" i="4"/>
  <c r="K355" i="4"/>
  <c r="F355" i="4"/>
  <c r="H355" i="4" s="1"/>
  <c r="G355" i="4"/>
  <c r="E378" i="4"/>
  <c r="D378" i="4"/>
  <c r="V382" i="3"/>
  <c r="J382" i="3"/>
  <c r="U382" i="3"/>
  <c r="I382" i="3"/>
  <c r="Q382" i="3"/>
  <c r="O382" i="3"/>
  <c r="AE382" i="3"/>
  <c r="M382" i="3"/>
  <c r="L382" i="3"/>
  <c r="K382" i="3"/>
  <c r="H382" i="3"/>
  <c r="W382" i="3"/>
  <c r="T382" i="3"/>
  <c r="S382" i="3"/>
  <c r="R382" i="3"/>
  <c r="P382" i="3"/>
  <c r="N382" i="3"/>
  <c r="K368" i="4"/>
  <c r="F368" i="4"/>
  <c r="H368" i="4" s="1"/>
  <c r="C368" i="4"/>
  <c r="B368" i="4"/>
  <c r="G368" i="4"/>
  <c r="K446" i="4"/>
  <c r="G446" i="4"/>
  <c r="F446" i="4"/>
  <c r="H446" i="4" s="1"/>
  <c r="B446" i="4"/>
  <c r="C446" i="4"/>
  <c r="F398" i="4"/>
  <c r="H398" i="4" s="1"/>
  <c r="C398" i="4"/>
  <c r="K398" i="4"/>
  <c r="G398" i="4"/>
  <c r="B398" i="4"/>
  <c r="AD392" i="3"/>
  <c r="F392" i="3"/>
  <c r="AC392" i="3"/>
  <c r="AB392" i="3"/>
  <c r="B392" i="3"/>
  <c r="AA392" i="3"/>
  <c r="D347" i="4"/>
  <c r="E347" i="4"/>
  <c r="P351" i="3"/>
  <c r="O351" i="3"/>
  <c r="N351" i="3"/>
  <c r="M351" i="3"/>
  <c r="L351" i="3"/>
  <c r="W351" i="3"/>
  <c r="K351" i="3"/>
  <c r="V351" i="3"/>
  <c r="J351" i="3"/>
  <c r="U351" i="3"/>
  <c r="I351" i="3"/>
  <c r="T351" i="3"/>
  <c r="H351" i="3"/>
  <c r="AE351" i="3"/>
  <c r="S351" i="3"/>
  <c r="R351" i="3"/>
  <c r="Q351" i="3"/>
  <c r="I343" i="4"/>
  <c r="J343" i="4"/>
  <c r="G411" i="4"/>
  <c r="F411" i="4"/>
  <c r="H411" i="4" s="1"/>
  <c r="K411" i="4"/>
  <c r="B411" i="4"/>
  <c r="C411" i="4"/>
  <c r="G399" i="4"/>
  <c r="F399" i="4"/>
  <c r="H399" i="4" s="1"/>
  <c r="C399" i="4"/>
  <c r="K399" i="4"/>
  <c r="B399" i="4"/>
  <c r="F500" i="4"/>
  <c r="H500" i="4" s="1"/>
  <c r="C500" i="4"/>
  <c r="B500" i="4"/>
  <c r="K500" i="4"/>
  <c r="G500" i="4"/>
  <c r="AD436" i="3"/>
  <c r="F436" i="3"/>
  <c r="AB436" i="3"/>
  <c r="B436" i="3"/>
  <c r="AA436" i="3"/>
  <c r="AC436" i="3"/>
  <c r="D419" i="4"/>
  <c r="E419" i="4"/>
  <c r="R423" i="3"/>
  <c r="Q423" i="3"/>
  <c r="P423" i="3"/>
  <c r="O423" i="3"/>
  <c r="N423" i="3"/>
  <c r="M423" i="3"/>
  <c r="W423" i="3"/>
  <c r="K423" i="3"/>
  <c r="V423" i="3"/>
  <c r="J423" i="3"/>
  <c r="S423" i="3"/>
  <c r="L423" i="3"/>
  <c r="I423" i="3"/>
  <c r="H423" i="3"/>
  <c r="AE423" i="3"/>
  <c r="U423" i="3"/>
  <c r="T423" i="3"/>
  <c r="AD433" i="3"/>
  <c r="F433" i="3"/>
  <c r="AC433" i="3"/>
  <c r="AB433" i="3"/>
  <c r="AA433" i="3"/>
  <c r="B433" i="3"/>
  <c r="E410" i="4"/>
  <c r="D410" i="4"/>
  <c r="U414" i="3"/>
  <c r="I414" i="3"/>
  <c r="Q414" i="3"/>
  <c r="P414" i="3"/>
  <c r="M414" i="3"/>
  <c r="AE414" i="3"/>
  <c r="L414" i="3"/>
  <c r="K414" i="3"/>
  <c r="J414" i="3"/>
  <c r="H414" i="3"/>
  <c r="W414" i="3"/>
  <c r="V414" i="3"/>
  <c r="T414" i="3"/>
  <c r="S414" i="3"/>
  <c r="R414" i="3"/>
  <c r="O414" i="3"/>
  <c r="N414" i="3"/>
  <c r="AA397" i="3"/>
  <c r="F397" i="3"/>
  <c r="B397" i="3"/>
  <c r="AD397" i="3"/>
  <c r="AC397" i="3"/>
  <c r="AB397" i="3"/>
  <c r="E404" i="4"/>
  <c r="D404" i="4"/>
  <c r="O408" i="3"/>
  <c r="W408" i="3"/>
  <c r="K408" i="3"/>
  <c r="V408" i="3"/>
  <c r="J408" i="3"/>
  <c r="AE408" i="3"/>
  <c r="S408" i="3"/>
  <c r="H408" i="3"/>
  <c r="U408" i="3"/>
  <c r="T408" i="3"/>
  <c r="R408" i="3"/>
  <c r="Q408" i="3"/>
  <c r="P408" i="3"/>
  <c r="N408" i="3"/>
  <c r="M408" i="3"/>
  <c r="L408" i="3"/>
  <c r="I408" i="3"/>
  <c r="J374" i="4"/>
  <c r="I374" i="4"/>
  <c r="B461" i="4"/>
  <c r="K461" i="4"/>
  <c r="F461" i="4"/>
  <c r="H461" i="4" s="1"/>
  <c r="G461" i="4"/>
  <c r="C461" i="4"/>
  <c r="J384" i="4"/>
  <c r="I384" i="4"/>
  <c r="J482" i="4"/>
  <c r="I482" i="4"/>
  <c r="F453" i="4"/>
  <c r="H453" i="4" s="1"/>
  <c r="B453" i="4"/>
  <c r="K453" i="4"/>
  <c r="C453" i="4"/>
  <c r="G453" i="4"/>
  <c r="E450" i="4"/>
  <c r="D450" i="4"/>
  <c r="L454" i="3"/>
  <c r="T454" i="3"/>
  <c r="H454" i="3"/>
  <c r="AE454" i="3"/>
  <c r="S454" i="3"/>
  <c r="M454" i="3"/>
  <c r="K454" i="3"/>
  <c r="J454" i="3"/>
  <c r="I454" i="3"/>
  <c r="W454" i="3"/>
  <c r="V454" i="3"/>
  <c r="U454" i="3"/>
  <c r="R454" i="3"/>
  <c r="Q454" i="3"/>
  <c r="P454" i="3"/>
  <c r="O454" i="3"/>
  <c r="N454" i="3"/>
  <c r="E360" i="4"/>
  <c r="D360" i="4"/>
  <c r="P364" i="3"/>
  <c r="O364" i="3"/>
  <c r="W364" i="3"/>
  <c r="K364" i="3"/>
  <c r="I364" i="3"/>
  <c r="H364" i="3"/>
  <c r="V364" i="3"/>
  <c r="U364" i="3"/>
  <c r="T364" i="3"/>
  <c r="S364" i="3"/>
  <c r="R364" i="3"/>
  <c r="Q364" i="3"/>
  <c r="AE364" i="3"/>
  <c r="N364" i="3"/>
  <c r="M364" i="3"/>
  <c r="L364" i="3"/>
  <c r="J364" i="3"/>
  <c r="AD363" i="3"/>
  <c r="F363" i="3"/>
  <c r="B363" i="3"/>
  <c r="AC363" i="3"/>
  <c r="AB363" i="3"/>
  <c r="AA363" i="3"/>
  <c r="J342" i="4"/>
  <c r="I342" i="4"/>
  <c r="AB339" i="3"/>
  <c r="AA339" i="3"/>
  <c r="B339" i="3"/>
  <c r="F339" i="3"/>
  <c r="AD339" i="3"/>
  <c r="AC339" i="3"/>
  <c r="E321" i="4"/>
  <c r="D321" i="4"/>
  <c r="R325" i="3"/>
  <c r="N325" i="3"/>
  <c r="M325" i="3"/>
  <c r="W325" i="3"/>
  <c r="K325" i="3"/>
  <c r="Q325" i="3"/>
  <c r="P325" i="3"/>
  <c r="AE325" i="3"/>
  <c r="O325" i="3"/>
  <c r="L325" i="3"/>
  <c r="J325" i="3"/>
  <c r="I325" i="3"/>
  <c r="H325" i="3"/>
  <c r="S325" i="3"/>
  <c r="V325" i="3"/>
  <c r="T325" i="3"/>
  <c r="U325" i="3"/>
  <c r="E336" i="4"/>
  <c r="D336" i="4"/>
  <c r="U340" i="3"/>
  <c r="I340" i="3"/>
  <c r="T340" i="3"/>
  <c r="H340" i="3"/>
  <c r="AE340" i="3"/>
  <c r="S340" i="3"/>
  <c r="R340" i="3"/>
  <c r="Q340" i="3"/>
  <c r="P340" i="3"/>
  <c r="O340" i="3"/>
  <c r="N340" i="3"/>
  <c r="M340" i="3"/>
  <c r="W340" i="3"/>
  <c r="V340" i="3"/>
  <c r="L340" i="3"/>
  <c r="K340" i="3"/>
  <c r="J340" i="3"/>
  <c r="C329" i="4"/>
  <c r="B329" i="4"/>
  <c r="K329" i="4"/>
  <c r="F329" i="4"/>
  <c r="H329" i="4" s="1"/>
  <c r="G329" i="4"/>
  <c r="I285" i="4"/>
  <c r="J285" i="4"/>
  <c r="E276" i="4"/>
  <c r="D276" i="4"/>
  <c r="Q280" i="3"/>
  <c r="M280" i="3"/>
  <c r="L280" i="3"/>
  <c r="W280" i="3"/>
  <c r="K280" i="3"/>
  <c r="V280" i="3"/>
  <c r="J280" i="3"/>
  <c r="P280" i="3"/>
  <c r="O280" i="3"/>
  <c r="N280" i="3"/>
  <c r="AE280" i="3"/>
  <c r="I280" i="3"/>
  <c r="H280" i="3"/>
  <c r="U280" i="3"/>
  <c r="S280" i="3"/>
  <c r="R280" i="3"/>
  <c r="T280" i="3"/>
  <c r="F319" i="3"/>
  <c r="B319" i="3"/>
  <c r="AD319" i="3"/>
  <c r="AC319" i="3"/>
  <c r="AA319" i="3"/>
  <c r="AB319" i="3"/>
  <c r="K299" i="4"/>
  <c r="G299" i="4"/>
  <c r="F299" i="4"/>
  <c r="H299" i="4" s="1"/>
  <c r="B299" i="4"/>
  <c r="C299" i="4"/>
  <c r="D307" i="4"/>
  <c r="E307" i="4"/>
  <c r="T311" i="3"/>
  <c r="H311" i="3"/>
  <c r="O311" i="3"/>
  <c r="S311" i="3"/>
  <c r="R311" i="3"/>
  <c r="AE311" i="3"/>
  <c r="Q311" i="3"/>
  <c r="P311" i="3"/>
  <c r="N311" i="3"/>
  <c r="M311" i="3"/>
  <c r="L311" i="3"/>
  <c r="K311" i="3"/>
  <c r="U311" i="3"/>
  <c r="J311" i="3"/>
  <c r="I311" i="3"/>
  <c r="V311" i="3"/>
  <c r="W311" i="3"/>
  <c r="D267" i="4"/>
  <c r="E267" i="4"/>
  <c r="T271" i="3"/>
  <c r="H271" i="3"/>
  <c r="P271" i="3"/>
  <c r="O271" i="3"/>
  <c r="N271" i="3"/>
  <c r="M271" i="3"/>
  <c r="W271" i="3"/>
  <c r="V271" i="3"/>
  <c r="U271" i="3"/>
  <c r="S271" i="3"/>
  <c r="R271" i="3"/>
  <c r="Q271" i="3"/>
  <c r="L271" i="3"/>
  <c r="K271" i="3"/>
  <c r="AE271" i="3"/>
  <c r="J271" i="3"/>
  <c r="I271" i="3"/>
  <c r="F294" i="4"/>
  <c r="H294" i="4" s="1"/>
  <c r="C294" i="4"/>
  <c r="B294" i="4"/>
  <c r="G294" i="4"/>
  <c r="K294" i="4"/>
  <c r="AD274" i="3"/>
  <c r="F274" i="3"/>
  <c r="AC274" i="3"/>
  <c r="AB274" i="3"/>
  <c r="B274" i="3"/>
  <c r="AA274" i="3"/>
  <c r="B305" i="3"/>
  <c r="F305" i="3"/>
  <c r="AD305" i="3"/>
  <c r="AC305" i="3"/>
  <c r="AB305" i="3"/>
  <c r="AA305" i="3"/>
  <c r="J223" i="4"/>
  <c r="I223" i="4"/>
  <c r="E216" i="4"/>
  <c r="D216" i="4"/>
  <c r="P220" i="3"/>
  <c r="N220" i="3"/>
  <c r="M220" i="3"/>
  <c r="L220" i="3"/>
  <c r="T220" i="3"/>
  <c r="S220" i="3"/>
  <c r="R220" i="3"/>
  <c r="Q220" i="3"/>
  <c r="O220" i="3"/>
  <c r="AE220" i="3"/>
  <c r="K220" i="3"/>
  <c r="J220" i="3"/>
  <c r="I220" i="3"/>
  <c r="H220" i="3"/>
  <c r="U220" i="3"/>
  <c r="W220" i="3"/>
  <c r="V220" i="3"/>
  <c r="F255" i="3"/>
  <c r="AD255" i="3"/>
  <c r="B255" i="3"/>
  <c r="AC255" i="3"/>
  <c r="AB255" i="3"/>
  <c r="AA255" i="3"/>
  <c r="E284" i="4"/>
  <c r="D284" i="4"/>
  <c r="U288" i="3"/>
  <c r="I288" i="3"/>
  <c r="T288" i="3"/>
  <c r="H288" i="3"/>
  <c r="AE288" i="3"/>
  <c r="S288" i="3"/>
  <c r="Q288" i="3"/>
  <c r="P288" i="3"/>
  <c r="O288" i="3"/>
  <c r="N288" i="3"/>
  <c r="W288" i="3"/>
  <c r="V288" i="3"/>
  <c r="R288" i="3"/>
  <c r="M288" i="3"/>
  <c r="L288" i="3"/>
  <c r="K288" i="3"/>
  <c r="J288" i="3"/>
  <c r="AD245" i="3"/>
  <c r="F245" i="3"/>
  <c r="AC245" i="3"/>
  <c r="B245" i="3"/>
  <c r="AB245" i="3"/>
  <c r="AA245" i="3"/>
  <c r="E180" i="4"/>
  <c r="D180" i="4"/>
  <c r="M184" i="3"/>
  <c r="L184" i="3"/>
  <c r="W184" i="3"/>
  <c r="K184" i="3"/>
  <c r="V184" i="3"/>
  <c r="J184" i="3"/>
  <c r="U184" i="3"/>
  <c r="I184" i="3"/>
  <c r="T184" i="3"/>
  <c r="H184" i="3"/>
  <c r="S184" i="3"/>
  <c r="R184" i="3"/>
  <c r="N184" i="3"/>
  <c r="Q184" i="3"/>
  <c r="P184" i="3"/>
  <c r="O184" i="3"/>
  <c r="AE184" i="3"/>
  <c r="I185" i="4"/>
  <c r="J185" i="4"/>
  <c r="AD226" i="3"/>
  <c r="F226" i="3"/>
  <c r="AC226" i="3"/>
  <c r="AB226" i="3"/>
  <c r="AA226" i="3"/>
  <c r="B226" i="3"/>
  <c r="E202" i="4"/>
  <c r="D202" i="4"/>
  <c r="R206" i="3"/>
  <c r="AE206" i="3"/>
  <c r="Q206" i="3"/>
  <c r="P206" i="3"/>
  <c r="O206" i="3"/>
  <c r="N206" i="3"/>
  <c r="M206" i="3"/>
  <c r="L206" i="3"/>
  <c r="W206" i="3"/>
  <c r="K206" i="3"/>
  <c r="V206" i="3"/>
  <c r="J206" i="3"/>
  <c r="U206" i="3"/>
  <c r="T206" i="3"/>
  <c r="S206" i="3"/>
  <c r="I206" i="3"/>
  <c r="H206" i="3"/>
  <c r="I178" i="4"/>
  <c r="J178" i="4"/>
  <c r="AD214" i="3"/>
  <c r="F214" i="3"/>
  <c r="AC214" i="3"/>
  <c r="AB214" i="3"/>
  <c r="AA214" i="3"/>
  <c r="B214" i="3"/>
  <c r="C205" i="4"/>
  <c r="B205" i="4"/>
  <c r="K205" i="4"/>
  <c r="G205" i="4"/>
  <c r="F205" i="4"/>
  <c r="H205" i="4" s="1"/>
  <c r="E169" i="4"/>
  <c r="D169" i="4"/>
  <c r="R173" i="3"/>
  <c r="Q173" i="3"/>
  <c r="P173" i="3"/>
  <c r="O173" i="3"/>
  <c r="M173" i="3"/>
  <c r="K173" i="3"/>
  <c r="J173" i="3"/>
  <c r="AE173" i="3"/>
  <c r="I173" i="3"/>
  <c r="H173" i="3"/>
  <c r="W173" i="3"/>
  <c r="V173" i="3"/>
  <c r="N173" i="3"/>
  <c r="U173" i="3"/>
  <c r="T173" i="3"/>
  <c r="S173" i="3"/>
  <c r="L173" i="3"/>
  <c r="E159" i="4"/>
  <c r="D159" i="4"/>
  <c r="N163" i="3"/>
  <c r="M163" i="3"/>
  <c r="L163" i="3"/>
  <c r="W163" i="3"/>
  <c r="K163" i="3"/>
  <c r="V163" i="3"/>
  <c r="J163" i="3"/>
  <c r="U163" i="3"/>
  <c r="I163" i="3"/>
  <c r="T163" i="3"/>
  <c r="H163" i="3"/>
  <c r="P163" i="3"/>
  <c r="AE163" i="3"/>
  <c r="S163" i="3"/>
  <c r="R163" i="3"/>
  <c r="Q163" i="3"/>
  <c r="O163" i="3"/>
  <c r="B151" i="3"/>
  <c r="AB151" i="3"/>
  <c r="F151" i="3"/>
  <c r="AD151" i="3"/>
  <c r="AC151" i="3"/>
  <c r="AA151" i="3"/>
  <c r="E128" i="4"/>
  <c r="D128" i="4"/>
  <c r="M132" i="3"/>
  <c r="L132" i="3"/>
  <c r="W132" i="3"/>
  <c r="K132" i="3"/>
  <c r="V132" i="3"/>
  <c r="J132" i="3"/>
  <c r="U132" i="3"/>
  <c r="I132" i="3"/>
  <c r="T132" i="3"/>
  <c r="S132" i="3"/>
  <c r="R132" i="3"/>
  <c r="Q132" i="3"/>
  <c r="P132" i="3"/>
  <c r="AE132" i="3"/>
  <c r="O132" i="3"/>
  <c r="N132" i="3"/>
  <c r="H132" i="3"/>
  <c r="B204" i="4"/>
  <c r="K204" i="4"/>
  <c r="G204" i="4"/>
  <c r="F204" i="4"/>
  <c r="H204" i="4" s="1"/>
  <c r="C204" i="4"/>
  <c r="E163" i="4"/>
  <c r="D163" i="4"/>
  <c r="V167" i="3"/>
  <c r="J167" i="3"/>
  <c r="AE167" i="3"/>
  <c r="S167" i="3"/>
  <c r="O167" i="3"/>
  <c r="N167" i="3"/>
  <c r="M167" i="3"/>
  <c r="L167" i="3"/>
  <c r="K167" i="3"/>
  <c r="I167" i="3"/>
  <c r="W167" i="3"/>
  <c r="H167" i="3"/>
  <c r="Q167" i="3"/>
  <c r="P167" i="3"/>
  <c r="U167" i="3"/>
  <c r="R167" i="3"/>
  <c r="T167" i="3"/>
  <c r="D182" i="4"/>
  <c r="E182" i="4"/>
  <c r="W186" i="3"/>
  <c r="K186" i="3"/>
  <c r="V186" i="3"/>
  <c r="J186" i="3"/>
  <c r="U186" i="3"/>
  <c r="I186" i="3"/>
  <c r="T186" i="3"/>
  <c r="H186" i="3"/>
  <c r="AE186" i="3"/>
  <c r="S186" i="3"/>
  <c r="R186" i="3"/>
  <c r="L186" i="3"/>
  <c r="N186" i="3"/>
  <c r="M186" i="3"/>
  <c r="Q186" i="3"/>
  <c r="P186" i="3"/>
  <c r="O186" i="3"/>
  <c r="E191" i="4"/>
  <c r="D191" i="4"/>
  <c r="W195" i="3"/>
  <c r="K195" i="3"/>
  <c r="V195" i="3"/>
  <c r="J195" i="3"/>
  <c r="U195" i="3"/>
  <c r="I195" i="3"/>
  <c r="T195" i="3"/>
  <c r="H195" i="3"/>
  <c r="AE195" i="3"/>
  <c r="S195" i="3"/>
  <c r="R195" i="3"/>
  <c r="Q195" i="3"/>
  <c r="P195" i="3"/>
  <c r="O195" i="3"/>
  <c r="L195" i="3"/>
  <c r="N195" i="3"/>
  <c r="M195" i="3"/>
  <c r="E136" i="4"/>
  <c r="D136" i="4"/>
  <c r="AE140" i="3"/>
  <c r="S140" i="3"/>
  <c r="Q140" i="3"/>
  <c r="P140" i="3"/>
  <c r="O140" i="3"/>
  <c r="N140" i="3"/>
  <c r="M140" i="3"/>
  <c r="R140" i="3"/>
  <c r="L140" i="3"/>
  <c r="K140" i="3"/>
  <c r="J140" i="3"/>
  <c r="I140" i="3"/>
  <c r="H140" i="3"/>
  <c r="W140" i="3"/>
  <c r="V140" i="3"/>
  <c r="U140" i="3"/>
  <c r="T140" i="3"/>
  <c r="C167" i="4"/>
  <c r="B167" i="4"/>
  <c r="K167" i="4"/>
  <c r="G167" i="4"/>
  <c r="F167" i="4"/>
  <c r="H167" i="4" s="1"/>
  <c r="E104" i="4"/>
  <c r="D104" i="4"/>
  <c r="M108" i="3"/>
  <c r="U108" i="3"/>
  <c r="I108" i="3"/>
  <c r="T108" i="3"/>
  <c r="H108" i="3"/>
  <c r="P108" i="3"/>
  <c r="W108" i="3"/>
  <c r="V108" i="3"/>
  <c r="S108" i="3"/>
  <c r="R108" i="3"/>
  <c r="Q108" i="3"/>
  <c r="O108" i="3"/>
  <c r="AE108" i="3"/>
  <c r="N108" i="3"/>
  <c r="L108" i="3"/>
  <c r="K108" i="3"/>
  <c r="J108" i="3"/>
  <c r="K177" i="4"/>
  <c r="F177" i="4"/>
  <c r="H177" i="4" s="1"/>
  <c r="C177" i="4"/>
  <c r="B177" i="4"/>
  <c r="G177" i="4"/>
  <c r="K153" i="4"/>
  <c r="G153" i="4"/>
  <c r="F153" i="4"/>
  <c r="H153" i="4" s="1"/>
  <c r="B153" i="4"/>
  <c r="C153" i="4"/>
  <c r="K141" i="4"/>
  <c r="G141" i="4"/>
  <c r="F141" i="4"/>
  <c r="H141" i="4" s="1"/>
  <c r="C141" i="4"/>
  <c r="B141" i="4"/>
  <c r="D105" i="4"/>
  <c r="E105" i="4"/>
  <c r="R109" i="3"/>
  <c r="N109" i="3"/>
  <c r="M109" i="3"/>
  <c r="U109" i="3"/>
  <c r="I109" i="3"/>
  <c r="J109" i="3"/>
  <c r="H109" i="3"/>
  <c r="W109" i="3"/>
  <c r="V109" i="3"/>
  <c r="T109" i="3"/>
  <c r="S109" i="3"/>
  <c r="Q109" i="3"/>
  <c r="P109" i="3"/>
  <c r="O109" i="3"/>
  <c r="AE109" i="3"/>
  <c r="K109" i="3"/>
  <c r="L109" i="3"/>
  <c r="K117" i="4"/>
  <c r="F117" i="4"/>
  <c r="H117" i="4" s="1"/>
  <c r="C117" i="4"/>
  <c r="B117" i="4"/>
  <c r="G117" i="4"/>
  <c r="E186" i="4"/>
  <c r="D186" i="4"/>
  <c r="U190" i="3"/>
  <c r="I190" i="3"/>
  <c r="AE190" i="3"/>
  <c r="S190" i="3"/>
  <c r="R190" i="3"/>
  <c r="Q190" i="3"/>
  <c r="P190" i="3"/>
  <c r="O190" i="3"/>
  <c r="N190" i="3"/>
  <c r="W190" i="3"/>
  <c r="V190" i="3"/>
  <c r="T190" i="3"/>
  <c r="M190" i="3"/>
  <c r="H190" i="3"/>
  <c r="L190" i="3"/>
  <c r="K190" i="3"/>
  <c r="J190" i="3"/>
  <c r="E86" i="4"/>
  <c r="D86" i="4"/>
  <c r="R90" i="3"/>
  <c r="P90" i="3"/>
  <c r="M90" i="3"/>
  <c r="L90" i="3"/>
  <c r="V90" i="3"/>
  <c r="J90" i="3"/>
  <c r="U90" i="3"/>
  <c r="I90" i="3"/>
  <c r="AE90" i="3"/>
  <c r="S90" i="3"/>
  <c r="Q90" i="3"/>
  <c r="O90" i="3"/>
  <c r="N90" i="3"/>
  <c r="K90" i="3"/>
  <c r="H90" i="3"/>
  <c r="W90" i="3"/>
  <c r="T90" i="3"/>
  <c r="I74" i="4"/>
  <c r="J74" i="4"/>
  <c r="D96" i="4"/>
  <c r="E96" i="4"/>
  <c r="U100" i="3"/>
  <c r="I100" i="3"/>
  <c r="Q100" i="3"/>
  <c r="R100" i="3"/>
  <c r="AE100" i="3"/>
  <c r="P100" i="3"/>
  <c r="O100" i="3"/>
  <c r="L100" i="3"/>
  <c r="K100" i="3"/>
  <c r="W100" i="3"/>
  <c r="H100" i="3"/>
  <c r="V100" i="3"/>
  <c r="S100" i="3"/>
  <c r="M100" i="3"/>
  <c r="J100" i="3"/>
  <c r="T100" i="3"/>
  <c r="N100" i="3"/>
  <c r="D89" i="4"/>
  <c r="E89" i="4"/>
  <c r="U93" i="3"/>
  <c r="I93" i="3"/>
  <c r="T93" i="3"/>
  <c r="H93" i="3"/>
  <c r="AE93" i="3"/>
  <c r="S93" i="3"/>
  <c r="P93" i="3"/>
  <c r="O93" i="3"/>
  <c r="M93" i="3"/>
  <c r="L93" i="3"/>
  <c r="V93" i="3"/>
  <c r="J93" i="3"/>
  <c r="Q93" i="3"/>
  <c r="N93" i="3"/>
  <c r="K93" i="3"/>
  <c r="W93" i="3"/>
  <c r="R93" i="3"/>
  <c r="J15" i="4"/>
  <c r="I15" i="4"/>
  <c r="J25" i="4"/>
  <c r="I25" i="4"/>
  <c r="K78" i="4"/>
  <c r="G78" i="4"/>
  <c r="F78" i="4"/>
  <c r="H78" i="4" s="1"/>
  <c r="C78" i="4"/>
  <c r="B78" i="4"/>
  <c r="AA42" i="3"/>
  <c r="F42" i="3"/>
  <c r="AD42" i="3"/>
  <c r="B42" i="3"/>
  <c r="AC42" i="3"/>
  <c r="AB42" i="3"/>
  <c r="K101" i="4"/>
  <c r="G101" i="4"/>
  <c r="F101" i="4"/>
  <c r="H101" i="4" s="1"/>
  <c r="C101" i="4"/>
  <c r="B101" i="4"/>
  <c r="AD58" i="3"/>
  <c r="F58" i="3"/>
  <c r="AC58" i="3"/>
  <c r="AB58" i="3"/>
  <c r="AA58" i="3"/>
  <c r="B58" i="3"/>
  <c r="E107" i="4"/>
  <c r="D107" i="4"/>
  <c r="N111" i="3"/>
  <c r="L111" i="3"/>
  <c r="M111" i="3"/>
  <c r="V111" i="3"/>
  <c r="H111" i="3"/>
  <c r="U111" i="3"/>
  <c r="S111" i="3"/>
  <c r="AE111" i="3"/>
  <c r="Q111" i="3"/>
  <c r="W111" i="3"/>
  <c r="T111" i="3"/>
  <c r="R111" i="3"/>
  <c r="P111" i="3"/>
  <c r="O111" i="3"/>
  <c r="K111" i="3"/>
  <c r="J111" i="3"/>
  <c r="I111" i="3"/>
  <c r="AA73" i="3"/>
  <c r="AD73" i="3"/>
  <c r="AC73" i="3"/>
  <c r="AB73" i="3"/>
  <c r="F73" i="3"/>
  <c r="B73" i="3"/>
  <c r="J36" i="4"/>
  <c r="I36" i="4"/>
  <c r="AB115" i="3"/>
  <c r="AA115" i="3"/>
  <c r="AC115" i="3"/>
  <c r="F115" i="3"/>
  <c r="B115" i="3"/>
  <c r="AD115" i="3"/>
  <c r="E17" i="4"/>
  <c r="D17" i="4"/>
  <c r="W21" i="3"/>
  <c r="K21" i="3"/>
  <c r="V21" i="3"/>
  <c r="J21" i="3"/>
  <c r="U21" i="3"/>
  <c r="I21" i="3"/>
  <c r="T21" i="3"/>
  <c r="H21" i="3"/>
  <c r="AE21" i="3"/>
  <c r="S21" i="3"/>
  <c r="R21" i="3"/>
  <c r="Q21" i="3"/>
  <c r="P21" i="3"/>
  <c r="O21" i="3"/>
  <c r="N21" i="3"/>
  <c r="M21" i="3"/>
  <c r="L21" i="3"/>
  <c r="H93" i="4"/>
  <c r="C93" i="4"/>
  <c r="K93" i="4"/>
  <c r="G93" i="4"/>
  <c r="F93" i="4"/>
  <c r="B93" i="4"/>
  <c r="AA507" i="3"/>
  <c r="B507" i="3"/>
  <c r="AD507" i="3"/>
  <c r="AC507" i="3"/>
  <c r="AB507" i="3"/>
  <c r="F507" i="3"/>
  <c r="E421" i="4"/>
  <c r="D421" i="4"/>
  <c r="P425" i="3"/>
  <c r="O425" i="3"/>
  <c r="N425" i="3"/>
  <c r="M425" i="3"/>
  <c r="L425" i="3"/>
  <c r="W425" i="3"/>
  <c r="K425" i="3"/>
  <c r="U425" i="3"/>
  <c r="I425" i="3"/>
  <c r="T425" i="3"/>
  <c r="H425" i="3"/>
  <c r="R425" i="3"/>
  <c r="Q425" i="3"/>
  <c r="J425" i="3"/>
  <c r="AE425" i="3"/>
  <c r="V425" i="3"/>
  <c r="S425" i="3"/>
  <c r="C448" i="4"/>
  <c r="B448" i="4"/>
  <c r="K448" i="4"/>
  <c r="F448" i="4"/>
  <c r="H448" i="4" s="1"/>
  <c r="G448" i="4"/>
  <c r="E381" i="4"/>
  <c r="D381" i="4"/>
  <c r="M385" i="3"/>
  <c r="L385" i="3"/>
  <c r="T385" i="3"/>
  <c r="H385" i="3"/>
  <c r="R385" i="3"/>
  <c r="W385" i="3"/>
  <c r="V385" i="3"/>
  <c r="U385" i="3"/>
  <c r="S385" i="3"/>
  <c r="Q385" i="3"/>
  <c r="AE385" i="3"/>
  <c r="P385" i="3"/>
  <c r="O385" i="3"/>
  <c r="N385" i="3"/>
  <c r="K385" i="3"/>
  <c r="J385" i="3"/>
  <c r="I385" i="3"/>
  <c r="AD393" i="3"/>
  <c r="AC393" i="3"/>
  <c r="B393" i="3"/>
  <c r="AA393" i="3"/>
  <c r="AB393" i="3"/>
  <c r="F393" i="3"/>
  <c r="B341" i="3"/>
  <c r="AD341" i="3"/>
  <c r="F341" i="3"/>
  <c r="AC341" i="3"/>
  <c r="AB341" i="3"/>
  <c r="AA341" i="3"/>
  <c r="AB307" i="3"/>
  <c r="B307" i="3"/>
  <c r="AA307" i="3"/>
  <c r="AD307" i="3"/>
  <c r="AC307" i="3"/>
  <c r="F307" i="3"/>
  <c r="AB376" i="3"/>
  <c r="AA376" i="3"/>
  <c r="AD376" i="3"/>
  <c r="AC376" i="3"/>
  <c r="F376" i="3"/>
  <c r="B376" i="3"/>
  <c r="E503" i="4"/>
  <c r="D503" i="4"/>
  <c r="O507" i="3"/>
  <c r="N507" i="3"/>
  <c r="M507" i="3"/>
  <c r="L507" i="3"/>
  <c r="W507" i="3"/>
  <c r="K507" i="3"/>
  <c r="V507" i="3"/>
  <c r="J507" i="3"/>
  <c r="U507" i="3"/>
  <c r="I507" i="3"/>
  <c r="T507" i="3"/>
  <c r="H507" i="3"/>
  <c r="AE507" i="3"/>
  <c r="S507" i="3"/>
  <c r="R507" i="3"/>
  <c r="Q507" i="3"/>
  <c r="P507" i="3"/>
  <c r="B437" i="4"/>
  <c r="K437" i="4"/>
  <c r="G437" i="4"/>
  <c r="C437" i="4"/>
  <c r="F437" i="4"/>
  <c r="H437" i="4" s="1"/>
  <c r="AC430" i="3"/>
  <c r="AB430" i="3"/>
  <c r="AA430" i="3"/>
  <c r="B430" i="3"/>
  <c r="AD430" i="3"/>
  <c r="F430" i="3"/>
  <c r="J417" i="4"/>
  <c r="I417" i="4"/>
  <c r="E290" i="4"/>
  <c r="D290" i="4"/>
  <c r="O294" i="3"/>
  <c r="N294" i="3"/>
  <c r="M294" i="3"/>
  <c r="L294" i="3"/>
  <c r="W294" i="3"/>
  <c r="K294" i="3"/>
  <c r="V294" i="3"/>
  <c r="J294" i="3"/>
  <c r="U294" i="3"/>
  <c r="I294" i="3"/>
  <c r="T294" i="3"/>
  <c r="H294" i="3"/>
  <c r="S294" i="3"/>
  <c r="R294" i="3"/>
  <c r="Q294" i="3"/>
  <c r="P294" i="3"/>
  <c r="AE294" i="3"/>
  <c r="D485" i="4"/>
  <c r="E485" i="4"/>
  <c r="R489" i="3"/>
  <c r="P489" i="3"/>
  <c r="N489" i="3"/>
  <c r="J489" i="3"/>
  <c r="I489" i="3"/>
  <c r="W489" i="3"/>
  <c r="H489" i="3"/>
  <c r="V489" i="3"/>
  <c r="U489" i="3"/>
  <c r="T489" i="3"/>
  <c r="S489" i="3"/>
  <c r="Q489" i="3"/>
  <c r="O489" i="3"/>
  <c r="AE489" i="3"/>
  <c r="M489" i="3"/>
  <c r="L489" i="3"/>
  <c r="K489" i="3"/>
  <c r="AD468" i="3"/>
  <c r="F468" i="3"/>
  <c r="AC468" i="3"/>
  <c r="AA468" i="3"/>
  <c r="B468" i="3"/>
  <c r="AB468" i="3"/>
  <c r="I444" i="4"/>
  <c r="J444" i="4"/>
  <c r="G442" i="4"/>
  <c r="F442" i="4"/>
  <c r="C442" i="4"/>
  <c r="H442" i="4"/>
  <c r="B442" i="4"/>
  <c r="K442" i="4"/>
  <c r="J496" i="4"/>
  <c r="I496" i="4"/>
  <c r="B493" i="3"/>
  <c r="AA493" i="3"/>
  <c r="F493" i="3"/>
  <c r="AD493" i="3"/>
  <c r="AC493" i="3"/>
  <c r="AB493" i="3"/>
  <c r="D491" i="4"/>
  <c r="E491" i="4"/>
  <c r="L495" i="3"/>
  <c r="W495" i="3"/>
  <c r="K495" i="3"/>
  <c r="V495" i="3"/>
  <c r="J495" i="3"/>
  <c r="U495" i="3"/>
  <c r="I495" i="3"/>
  <c r="T495" i="3"/>
  <c r="H495" i="3"/>
  <c r="S495" i="3"/>
  <c r="R495" i="3"/>
  <c r="Q495" i="3"/>
  <c r="P495" i="3"/>
  <c r="O495" i="3"/>
  <c r="AE495" i="3"/>
  <c r="N495" i="3"/>
  <c r="M495" i="3"/>
  <c r="E490" i="4"/>
  <c r="D490" i="4"/>
  <c r="AE494" i="3"/>
  <c r="S494" i="3"/>
  <c r="R494" i="3"/>
  <c r="Q494" i="3"/>
  <c r="P494" i="3"/>
  <c r="O494" i="3"/>
  <c r="M494" i="3"/>
  <c r="L494" i="3"/>
  <c r="K494" i="3"/>
  <c r="J494" i="3"/>
  <c r="I494" i="3"/>
  <c r="H494" i="3"/>
  <c r="W494" i="3"/>
  <c r="V494" i="3"/>
  <c r="U494" i="3"/>
  <c r="T494" i="3"/>
  <c r="N494" i="3"/>
  <c r="E468" i="4"/>
  <c r="D468" i="4"/>
  <c r="R472" i="3"/>
  <c r="Q472" i="3"/>
  <c r="P472" i="3"/>
  <c r="O472" i="3"/>
  <c r="N472" i="3"/>
  <c r="M472" i="3"/>
  <c r="L472" i="3"/>
  <c r="W472" i="3"/>
  <c r="K472" i="3"/>
  <c r="V472" i="3"/>
  <c r="J472" i="3"/>
  <c r="AE472" i="3"/>
  <c r="U472" i="3"/>
  <c r="T472" i="3"/>
  <c r="S472" i="3"/>
  <c r="I472" i="3"/>
  <c r="H472" i="3"/>
  <c r="I472" i="4"/>
  <c r="J472" i="4"/>
  <c r="E394" i="4"/>
  <c r="D394" i="4"/>
  <c r="M398" i="3"/>
  <c r="T398" i="3"/>
  <c r="H398" i="3"/>
  <c r="U398" i="3"/>
  <c r="S398" i="3"/>
  <c r="R398" i="3"/>
  <c r="AE398" i="3"/>
  <c r="Q398" i="3"/>
  <c r="P398" i="3"/>
  <c r="O398" i="3"/>
  <c r="N398" i="3"/>
  <c r="L398" i="3"/>
  <c r="W398" i="3"/>
  <c r="V398" i="3"/>
  <c r="K398" i="3"/>
  <c r="J398" i="3"/>
  <c r="I398" i="3"/>
  <c r="B452" i="3"/>
  <c r="AA452" i="3"/>
  <c r="F452" i="3"/>
  <c r="AD452" i="3"/>
  <c r="AC452" i="3"/>
  <c r="AB452" i="3"/>
  <c r="AD473" i="3"/>
  <c r="F473" i="3"/>
  <c r="AC473" i="3"/>
  <c r="AB473" i="3"/>
  <c r="B473" i="3"/>
  <c r="AA473" i="3"/>
  <c r="AB425" i="3"/>
  <c r="AA425" i="3"/>
  <c r="B425" i="3"/>
  <c r="F425" i="3"/>
  <c r="AD425" i="3"/>
  <c r="AC425" i="3"/>
  <c r="E424" i="4"/>
  <c r="D424" i="4"/>
  <c r="AE428" i="3"/>
  <c r="S428" i="3"/>
  <c r="R428" i="3"/>
  <c r="Q428" i="3"/>
  <c r="P428" i="3"/>
  <c r="O428" i="3"/>
  <c r="N428" i="3"/>
  <c r="M428" i="3"/>
  <c r="L428" i="3"/>
  <c r="W428" i="3"/>
  <c r="K428" i="3"/>
  <c r="U428" i="3"/>
  <c r="T428" i="3"/>
  <c r="J428" i="3"/>
  <c r="I428" i="3"/>
  <c r="H428" i="3"/>
  <c r="V428" i="3"/>
  <c r="I429" i="4"/>
  <c r="J429" i="4"/>
  <c r="J357" i="4"/>
  <c r="I357" i="4"/>
  <c r="B397" i="4"/>
  <c r="F397" i="4"/>
  <c r="H397" i="4" s="1"/>
  <c r="C397" i="4"/>
  <c r="K397" i="4"/>
  <c r="G397" i="4"/>
  <c r="C408" i="4"/>
  <c r="B408" i="4"/>
  <c r="G408" i="4"/>
  <c r="F408" i="4"/>
  <c r="H408" i="4" s="1"/>
  <c r="K408" i="4"/>
  <c r="E405" i="4"/>
  <c r="D405" i="4"/>
  <c r="T409" i="3"/>
  <c r="H409" i="3"/>
  <c r="P409" i="3"/>
  <c r="O409" i="3"/>
  <c r="L409" i="3"/>
  <c r="AE409" i="3"/>
  <c r="M409" i="3"/>
  <c r="K409" i="3"/>
  <c r="J409" i="3"/>
  <c r="I409" i="3"/>
  <c r="W409" i="3"/>
  <c r="V409" i="3"/>
  <c r="U409" i="3"/>
  <c r="S409" i="3"/>
  <c r="N409" i="3"/>
  <c r="Q409" i="3"/>
  <c r="R409" i="3"/>
  <c r="J358" i="4"/>
  <c r="I358" i="4"/>
  <c r="J380" i="4"/>
  <c r="I380" i="4"/>
  <c r="E389" i="4"/>
  <c r="D389" i="4"/>
  <c r="L393" i="3"/>
  <c r="AE393" i="3"/>
  <c r="S393" i="3"/>
  <c r="R393" i="3"/>
  <c r="Q393" i="3"/>
  <c r="P393" i="3"/>
  <c r="O393" i="3"/>
  <c r="M393" i="3"/>
  <c r="K393" i="3"/>
  <c r="J393" i="3"/>
  <c r="W393" i="3"/>
  <c r="V393" i="3"/>
  <c r="U393" i="3"/>
  <c r="T393" i="3"/>
  <c r="N393" i="3"/>
  <c r="I393" i="3"/>
  <c r="H393" i="3"/>
  <c r="D359" i="4"/>
  <c r="E359" i="4"/>
  <c r="W363" i="3"/>
  <c r="K363" i="3"/>
  <c r="V363" i="3"/>
  <c r="J363" i="3"/>
  <c r="R363" i="3"/>
  <c r="H363" i="3"/>
  <c r="U363" i="3"/>
  <c r="T363" i="3"/>
  <c r="S363" i="3"/>
  <c r="Q363" i="3"/>
  <c r="P363" i="3"/>
  <c r="AE363" i="3"/>
  <c r="O363" i="3"/>
  <c r="N363" i="3"/>
  <c r="M363" i="3"/>
  <c r="L363" i="3"/>
  <c r="I363" i="3"/>
  <c r="AC380" i="3"/>
  <c r="B380" i="3"/>
  <c r="AD380" i="3"/>
  <c r="AB380" i="3"/>
  <c r="AA380" i="3"/>
  <c r="F380" i="3"/>
  <c r="J354" i="4"/>
  <c r="I354" i="4"/>
  <c r="D316" i="4"/>
  <c r="E316" i="4"/>
  <c r="Q320" i="3"/>
  <c r="M320" i="3"/>
  <c r="L320" i="3"/>
  <c r="V320" i="3"/>
  <c r="U320" i="3"/>
  <c r="T320" i="3"/>
  <c r="S320" i="3"/>
  <c r="R320" i="3"/>
  <c r="P320" i="3"/>
  <c r="AE320" i="3"/>
  <c r="O320" i="3"/>
  <c r="N320" i="3"/>
  <c r="W320" i="3"/>
  <c r="K320" i="3"/>
  <c r="J320" i="3"/>
  <c r="I320" i="3"/>
  <c r="H320" i="3"/>
  <c r="D345" i="4"/>
  <c r="E345" i="4"/>
  <c r="R349" i="3"/>
  <c r="Q349" i="3"/>
  <c r="P349" i="3"/>
  <c r="O349" i="3"/>
  <c r="N349" i="3"/>
  <c r="M349" i="3"/>
  <c r="L349" i="3"/>
  <c r="W349" i="3"/>
  <c r="K349" i="3"/>
  <c r="V349" i="3"/>
  <c r="J349" i="3"/>
  <c r="AE349" i="3"/>
  <c r="U349" i="3"/>
  <c r="T349" i="3"/>
  <c r="S349" i="3"/>
  <c r="I349" i="3"/>
  <c r="H349" i="3"/>
  <c r="E333" i="4"/>
  <c r="D333" i="4"/>
  <c r="R337" i="3"/>
  <c r="Q337" i="3"/>
  <c r="P337" i="3"/>
  <c r="O337" i="3"/>
  <c r="N337" i="3"/>
  <c r="M337" i="3"/>
  <c r="W337" i="3"/>
  <c r="K337" i="3"/>
  <c r="V337" i="3"/>
  <c r="J337" i="3"/>
  <c r="H337" i="3"/>
  <c r="AE337" i="3"/>
  <c r="U337" i="3"/>
  <c r="T337" i="3"/>
  <c r="S337" i="3"/>
  <c r="L337" i="3"/>
  <c r="I337" i="3"/>
  <c r="G363" i="4"/>
  <c r="F363" i="4"/>
  <c r="H363" i="4" s="1"/>
  <c r="K363" i="4"/>
  <c r="B363" i="4"/>
  <c r="C363" i="4"/>
  <c r="E425" i="4"/>
  <c r="D425" i="4"/>
  <c r="L429" i="3"/>
  <c r="W429" i="3"/>
  <c r="K429" i="3"/>
  <c r="V429" i="3"/>
  <c r="J429" i="3"/>
  <c r="U429" i="3"/>
  <c r="I429" i="3"/>
  <c r="T429" i="3"/>
  <c r="H429" i="3"/>
  <c r="AE429" i="3"/>
  <c r="S429" i="3"/>
  <c r="R429" i="3"/>
  <c r="Q429" i="3"/>
  <c r="P429" i="3"/>
  <c r="O429" i="3"/>
  <c r="N429" i="3"/>
  <c r="M429" i="3"/>
  <c r="J324" i="4"/>
  <c r="I324" i="4"/>
  <c r="E365" i="4"/>
  <c r="D365" i="4"/>
  <c r="Q369" i="3"/>
  <c r="P369" i="3"/>
  <c r="L369" i="3"/>
  <c r="M369" i="3"/>
  <c r="K369" i="3"/>
  <c r="J369" i="3"/>
  <c r="I369" i="3"/>
  <c r="W369" i="3"/>
  <c r="H369" i="3"/>
  <c r="V369" i="3"/>
  <c r="U369" i="3"/>
  <c r="T369" i="3"/>
  <c r="S369" i="3"/>
  <c r="AE369" i="3"/>
  <c r="R369" i="3"/>
  <c r="O369" i="3"/>
  <c r="N369" i="3"/>
  <c r="B329" i="3"/>
  <c r="AD329" i="3"/>
  <c r="F329" i="3"/>
  <c r="AC329" i="3"/>
  <c r="AB329" i="3"/>
  <c r="AA329" i="3"/>
  <c r="AC309" i="3"/>
  <c r="F309" i="3"/>
  <c r="B309" i="3"/>
  <c r="AD309" i="3"/>
  <c r="AB309" i="3"/>
  <c r="AA309" i="3"/>
  <c r="E256" i="4"/>
  <c r="D256" i="4"/>
  <c r="M260" i="3"/>
  <c r="T260" i="3"/>
  <c r="H260" i="3"/>
  <c r="K260" i="3"/>
  <c r="J260" i="3"/>
  <c r="W260" i="3"/>
  <c r="I260" i="3"/>
  <c r="V260" i="3"/>
  <c r="U260" i="3"/>
  <c r="S260" i="3"/>
  <c r="R260" i="3"/>
  <c r="AE260" i="3"/>
  <c r="Q260" i="3"/>
  <c r="P260" i="3"/>
  <c r="L260" i="3"/>
  <c r="O260" i="3"/>
  <c r="N260" i="3"/>
  <c r="J244" i="4"/>
  <c r="I244" i="4"/>
  <c r="AA371" i="3"/>
  <c r="B371" i="3"/>
  <c r="AD371" i="3"/>
  <c r="AC371" i="3"/>
  <c r="AB371" i="3"/>
  <c r="F371" i="3"/>
  <c r="I297" i="4"/>
  <c r="J297" i="4"/>
  <c r="C315" i="4"/>
  <c r="B315" i="4"/>
  <c r="K315" i="4"/>
  <c r="G315" i="4"/>
  <c r="F315" i="4"/>
  <c r="H315" i="4" s="1"/>
  <c r="AB368" i="3"/>
  <c r="AA368" i="3"/>
  <c r="F368" i="3"/>
  <c r="B368" i="3"/>
  <c r="AD368" i="3"/>
  <c r="AC368" i="3"/>
  <c r="AD301" i="3"/>
  <c r="F301" i="3"/>
  <c r="AC301" i="3"/>
  <c r="AB301" i="3"/>
  <c r="B301" i="3"/>
  <c r="AA301" i="3"/>
  <c r="AD343" i="3"/>
  <c r="F343" i="3"/>
  <c r="AC343" i="3"/>
  <c r="AB343" i="3"/>
  <c r="B343" i="3"/>
  <c r="AA343" i="3"/>
  <c r="I291" i="4"/>
  <c r="J291" i="4"/>
  <c r="AA372" i="3"/>
  <c r="AD372" i="3"/>
  <c r="AC372" i="3"/>
  <c r="AB372" i="3"/>
  <c r="F372" i="3"/>
  <c r="B372" i="3"/>
  <c r="G356" i="4"/>
  <c r="F356" i="4"/>
  <c r="H356" i="4" s="1"/>
  <c r="C356" i="4"/>
  <c r="B356" i="4"/>
  <c r="K356" i="4"/>
  <c r="D277" i="4"/>
  <c r="E277" i="4"/>
  <c r="V281" i="3"/>
  <c r="J281" i="3"/>
  <c r="R281" i="3"/>
  <c r="Q281" i="3"/>
  <c r="P281" i="3"/>
  <c r="O281" i="3"/>
  <c r="W281" i="3"/>
  <c r="U281" i="3"/>
  <c r="T281" i="3"/>
  <c r="S281" i="3"/>
  <c r="N281" i="3"/>
  <c r="M281" i="3"/>
  <c r="L281" i="3"/>
  <c r="AE281" i="3"/>
  <c r="K281" i="3"/>
  <c r="I281" i="3"/>
  <c r="H281" i="3"/>
  <c r="B277" i="4"/>
  <c r="K277" i="4"/>
  <c r="G277" i="4"/>
  <c r="C277" i="4"/>
  <c r="F277" i="4"/>
  <c r="H277" i="4" s="1"/>
  <c r="AD267" i="3"/>
  <c r="F267" i="3"/>
  <c r="AC267" i="3"/>
  <c r="B267" i="3"/>
  <c r="AB267" i="3"/>
  <c r="AA267" i="3"/>
  <c r="C346" i="4"/>
  <c r="K346" i="4"/>
  <c r="F346" i="4"/>
  <c r="H346" i="4" s="1"/>
  <c r="B346" i="4"/>
  <c r="G346" i="4"/>
  <c r="AA383" i="3"/>
  <c r="B383" i="3"/>
  <c r="AD383" i="3"/>
  <c r="AC383" i="3"/>
  <c r="AB383" i="3"/>
  <c r="F383" i="3"/>
  <c r="E254" i="4"/>
  <c r="D254" i="4"/>
  <c r="O258" i="3"/>
  <c r="V258" i="3"/>
  <c r="J258" i="3"/>
  <c r="AE258" i="3"/>
  <c r="Q258" i="3"/>
  <c r="P258" i="3"/>
  <c r="N258" i="3"/>
  <c r="M258" i="3"/>
  <c r="L258" i="3"/>
  <c r="K258" i="3"/>
  <c r="I258" i="3"/>
  <c r="W258" i="3"/>
  <c r="H258" i="3"/>
  <c r="U258" i="3"/>
  <c r="T258" i="3"/>
  <c r="S258" i="3"/>
  <c r="R258" i="3"/>
  <c r="K264" i="4"/>
  <c r="G264" i="4"/>
  <c r="F264" i="4"/>
  <c r="H264" i="4" s="1"/>
  <c r="C264" i="4"/>
  <c r="B264" i="4"/>
  <c r="K251" i="4"/>
  <c r="G251" i="4"/>
  <c r="F251" i="4"/>
  <c r="H251" i="4" s="1"/>
  <c r="C251" i="4"/>
  <c r="B251" i="4"/>
  <c r="J233" i="4"/>
  <c r="I233" i="4"/>
  <c r="AB220" i="3"/>
  <c r="B220" i="3"/>
  <c r="AD220" i="3"/>
  <c r="AC220" i="3"/>
  <c r="AA220" i="3"/>
  <c r="F220" i="3"/>
  <c r="G261" i="4"/>
  <c r="F261" i="4"/>
  <c r="H261" i="4" s="1"/>
  <c r="C261" i="4"/>
  <c r="K261" i="4"/>
  <c r="B261" i="4"/>
  <c r="D187" i="4"/>
  <c r="E187" i="4"/>
  <c r="O191" i="3"/>
  <c r="N191" i="3"/>
  <c r="M191" i="3"/>
  <c r="L191" i="3"/>
  <c r="W191" i="3"/>
  <c r="K191" i="3"/>
  <c r="V191" i="3"/>
  <c r="J191" i="3"/>
  <c r="U191" i="3"/>
  <c r="I191" i="3"/>
  <c r="T191" i="3"/>
  <c r="H191" i="3"/>
  <c r="AE191" i="3"/>
  <c r="S191" i="3"/>
  <c r="R191" i="3"/>
  <c r="Q191" i="3"/>
  <c r="P191" i="3"/>
  <c r="B241" i="4"/>
  <c r="C241" i="4"/>
  <c r="K241" i="4"/>
  <c r="G241" i="4"/>
  <c r="F241" i="4"/>
  <c r="H241" i="4" s="1"/>
  <c r="C207" i="4"/>
  <c r="B207" i="4"/>
  <c r="K207" i="4"/>
  <c r="G207" i="4"/>
  <c r="F207" i="4"/>
  <c r="H207" i="4" s="1"/>
  <c r="I197" i="4"/>
  <c r="E271" i="4"/>
  <c r="D271" i="4"/>
  <c r="P275" i="3"/>
  <c r="L275" i="3"/>
  <c r="W275" i="3"/>
  <c r="K275" i="3"/>
  <c r="V275" i="3"/>
  <c r="J275" i="3"/>
  <c r="U275" i="3"/>
  <c r="I275" i="3"/>
  <c r="O275" i="3"/>
  <c r="N275" i="3"/>
  <c r="AE275" i="3"/>
  <c r="M275" i="3"/>
  <c r="H275" i="3"/>
  <c r="T275" i="3"/>
  <c r="S275" i="3"/>
  <c r="R275" i="3"/>
  <c r="Q275" i="3"/>
  <c r="J190" i="4"/>
  <c r="I190" i="4"/>
  <c r="F210" i="3"/>
  <c r="AD210" i="3"/>
  <c r="B210" i="3"/>
  <c r="AC210" i="3"/>
  <c r="AB210" i="3"/>
  <c r="AA210" i="3"/>
  <c r="E188" i="4"/>
  <c r="D188" i="4"/>
  <c r="T192" i="3"/>
  <c r="H192" i="3"/>
  <c r="AE192" i="3"/>
  <c r="S192" i="3"/>
  <c r="R192" i="3"/>
  <c r="Q192" i="3"/>
  <c r="P192" i="3"/>
  <c r="O192" i="3"/>
  <c r="N192" i="3"/>
  <c r="M192" i="3"/>
  <c r="L192" i="3"/>
  <c r="W192" i="3"/>
  <c r="J192" i="3"/>
  <c r="V192" i="3"/>
  <c r="U192" i="3"/>
  <c r="K192" i="3"/>
  <c r="I192" i="3"/>
  <c r="B253" i="3"/>
  <c r="AB253" i="3"/>
  <c r="AA253" i="3"/>
  <c r="F253" i="3"/>
  <c r="AD253" i="3"/>
  <c r="AC253" i="3"/>
  <c r="AD230" i="3"/>
  <c r="F230" i="3"/>
  <c r="AC230" i="3"/>
  <c r="AB230" i="3"/>
  <c r="AA230" i="3"/>
  <c r="B230" i="3"/>
  <c r="J159" i="4"/>
  <c r="I159" i="4"/>
  <c r="AD216" i="3"/>
  <c r="F216" i="3"/>
  <c r="AB216" i="3"/>
  <c r="AC216" i="3"/>
  <c r="AA216" i="3"/>
  <c r="B216" i="3"/>
  <c r="D121" i="4"/>
  <c r="E121" i="4"/>
  <c r="N125" i="3"/>
  <c r="M125" i="3"/>
  <c r="L125" i="3"/>
  <c r="W125" i="3"/>
  <c r="K125" i="3"/>
  <c r="V125" i="3"/>
  <c r="J125" i="3"/>
  <c r="H125" i="3"/>
  <c r="U125" i="3"/>
  <c r="T125" i="3"/>
  <c r="S125" i="3"/>
  <c r="R125" i="3"/>
  <c r="Q125" i="3"/>
  <c r="P125" i="3"/>
  <c r="AE125" i="3"/>
  <c r="O125" i="3"/>
  <c r="I125" i="3"/>
  <c r="AB149" i="3"/>
  <c r="AA149" i="3"/>
  <c r="B149" i="3"/>
  <c r="F149" i="3"/>
  <c r="AD149" i="3"/>
  <c r="AC149" i="3"/>
  <c r="E126" i="4"/>
  <c r="D126" i="4"/>
  <c r="O130" i="3"/>
  <c r="N130" i="3"/>
  <c r="M130" i="3"/>
  <c r="L130" i="3"/>
  <c r="W130" i="3"/>
  <c r="K130" i="3"/>
  <c r="H130" i="3"/>
  <c r="V130" i="3"/>
  <c r="U130" i="3"/>
  <c r="T130" i="3"/>
  <c r="S130" i="3"/>
  <c r="R130" i="3"/>
  <c r="Q130" i="3"/>
  <c r="AE130" i="3"/>
  <c r="P130" i="3"/>
  <c r="J130" i="3"/>
  <c r="I130" i="3"/>
  <c r="I114" i="4"/>
  <c r="J114" i="4"/>
  <c r="J131" i="4"/>
  <c r="I131" i="4"/>
  <c r="E175" i="4"/>
  <c r="D175" i="4"/>
  <c r="L179" i="3"/>
  <c r="W179" i="3"/>
  <c r="K179" i="3"/>
  <c r="V179" i="3"/>
  <c r="J179" i="3"/>
  <c r="U179" i="3"/>
  <c r="I179" i="3"/>
  <c r="T179" i="3"/>
  <c r="H179" i="3"/>
  <c r="AE179" i="3"/>
  <c r="S179" i="3"/>
  <c r="M179" i="3"/>
  <c r="O179" i="3"/>
  <c r="P179" i="3"/>
  <c r="N179" i="3"/>
  <c r="Q179" i="3"/>
  <c r="R179" i="3"/>
  <c r="AD159" i="3"/>
  <c r="F159" i="3"/>
  <c r="AC159" i="3"/>
  <c r="AB159" i="3"/>
  <c r="AA159" i="3"/>
  <c r="B159" i="3"/>
  <c r="G139" i="4"/>
  <c r="F139" i="4"/>
  <c r="H139" i="4" s="1"/>
  <c r="C139" i="4"/>
  <c r="B139" i="4"/>
  <c r="K139" i="4"/>
  <c r="F135" i="4"/>
  <c r="H135" i="4" s="1"/>
  <c r="C135" i="4"/>
  <c r="B135" i="4"/>
  <c r="K135" i="4"/>
  <c r="G135" i="4"/>
  <c r="E100" i="4"/>
  <c r="D100" i="4"/>
  <c r="Q104" i="3"/>
  <c r="M104" i="3"/>
  <c r="L104" i="3"/>
  <c r="O104" i="3"/>
  <c r="N104" i="3"/>
  <c r="K104" i="3"/>
  <c r="W104" i="3"/>
  <c r="H104" i="3"/>
  <c r="V104" i="3"/>
  <c r="U104" i="3"/>
  <c r="T104" i="3"/>
  <c r="S104" i="3"/>
  <c r="AE104" i="3"/>
  <c r="P104" i="3"/>
  <c r="J104" i="3"/>
  <c r="I104" i="3"/>
  <c r="R104" i="3"/>
  <c r="AD143" i="3"/>
  <c r="F143" i="3"/>
  <c r="AC143" i="3"/>
  <c r="AB143" i="3"/>
  <c r="B143" i="3"/>
  <c r="AA143" i="3"/>
  <c r="E59" i="4"/>
  <c r="D59" i="4"/>
  <c r="M63" i="3"/>
  <c r="V63" i="3"/>
  <c r="J63" i="3"/>
  <c r="U63" i="3"/>
  <c r="I63" i="3"/>
  <c r="AE63" i="3"/>
  <c r="S63" i="3"/>
  <c r="R63" i="3"/>
  <c r="W63" i="3"/>
  <c r="T63" i="3"/>
  <c r="Q63" i="3"/>
  <c r="P63" i="3"/>
  <c r="O63" i="3"/>
  <c r="N63" i="3"/>
  <c r="L63" i="3"/>
  <c r="K63" i="3"/>
  <c r="H63" i="3"/>
  <c r="AD155" i="3"/>
  <c r="F155" i="3"/>
  <c r="AC155" i="3"/>
  <c r="AB155" i="3"/>
  <c r="AA155" i="3"/>
  <c r="B155" i="3"/>
  <c r="E79" i="4"/>
  <c r="D79" i="4"/>
  <c r="AE83" i="3"/>
  <c r="S83" i="3"/>
  <c r="Q83" i="3"/>
  <c r="N83" i="3"/>
  <c r="M83" i="3"/>
  <c r="W83" i="3"/>
  <c r="K83" i="3"/>
  <c r="V83" i="3"/>
  <c r="J83" i="3"/>
  <c r="R83" i="3"/>
  <c r="P83" i="3"/>
  <c r="O83" i="3"/>
  <c r="L83" i="3"/>
  <c r="I83" i="3"/>
  <c r="H83" i="3"/>
  <c r="U83" i="3"/>
  <c r="T83" i="3"/>
  <c r="J67" i="4"/>
  <c r="I67" i="4"/>
  <c r="I77" i="4"/>
  <c r="J77" i="4"/>
  <c r="J41" i="4"/>
  <c r="I41" i="4"/>
  <c r="AB81" i="3"/>
  <c r="AA81" i="3"/>
  <c r="AD81" i="3"/>
  <c r="AC81" i="3"/>
  <c r="F81" i="3"/>
  <c r="B81" i="3"/>
  <c r="AD103" i="3"/>
  <c r="AC103" i="3"/>
  <c r="AB103" i="3"/>
  <c r="F103" i="3"/>
  <c r="B103" i="3"/>
  <c r="AA103" i="3"/>
  <c r="J20" i="4"/>
  <c r="I20" i="4"/>
  <c r="K54" i="4"/>
  <c r="G54" i="4"/>
  <c r="F54" i="4"/>
  <c r="H54" i="4" s="1"/>
  <c r="C54" i="4"/>
  <c r="B54" i="4"/>
  <c r="C40" i="4"/>
  <c r="K40" i="4"/>
  <c r="G40" i="4"/>
  <c r="F40" i="4"/>
  <c r="H40" i="4" s="1"/>
  <c r="B40" i="4"/>
  <c r="K60" i="4"/>
  <c r="G60" i="4"/>
  <c r="F60" i="4"/>
  <c r="H60" i="4" s="1"/>
  <c r="C60" i="4"/>
  <c r="B60" i="4"/>
  <c r="E111" i="4"/>
  <c r="D111" i="4"/>
  <c r="V115" i="3"/>
  <c r="J115" i="3"/>
  <c r="T115" i="3"/>
  <c r="H115" i="3"/>
  <c r="R115" i="3"/>
  <c r="N115" i="3"/>
  <c r="M115" i="3"/>
  <c r="L115" i="3"/>
  <c r="K115" i="3"/>
  <c r="I115" i="3"/>
  <c r="W115" i="3"/>
  <c r="U115" i="3"/>
  <c r="S115" i="3"/>
  <c r="Q115" i="3"/>
  <c r="P115" i="3"/>
  <c r="O115" i="3"/>
  <c r="AE115" i="3"/>
  <c r="J505" i="4"/>
  <c r="I505" i="4"/>
  <c r="E465" i="4"/>
  <c r="D465" i="4"/>
  <c r="O469" i="3"/>
  <c r="N469" i="3"/>
  <c r="M469" i="3"/>
  <c r="L469" i="3"/>
  <c r="W469" i="3"/>
  <c r="K469" i="3"/>
  <c r="V469" i="3"/>
  <c r="J469" i="3"/>
  <c r="T469" i="3"/>
  <c r="H469" i="3"/>
  <c r="AE469" i="3"/>
  <c r="S469" i="3"/>
  <c r="U469" i="3"/>
  <c r="R469" i="3"/>
  <c r="Q469" i="3"/>
  <c r="P469" i="3"/>
  <c r="I469" i="3"/>
  <c r="E374" i="4"/>
  <c r="D374" i="4"/>
  <c r="N378" i="3"/>
  <c r="M378" i="3"/>
  <c r="U378" i="3"/>
  <c r="I378" i="3"/>
  <c r="Q378" i="3"/>
  <c r="AE378" i="3"/>
  <c r="P378" i="3"/>
  <c r="O378" i="3"/>
  <c r="L378" i="3"/>
  <c r="K378" i="3"/>
  <c r="J378" i="3"/>
  <c r="H378" i="3"/>
  <c r="W378" i="3"/>
  <c r="V378" i="3"/>
  <c r="T378" i="3"/>
  <c r="S378" i="3"/>
  <c r="R378" i="3"/>
  <c r="D384" i="4"/>
  <c r="E384" i="4"/>
  <c r="P388" i="3"/>
  <c r="O388" i="3"/>
  <c r="N388" i="3"/>
  <c r="M388" i="3"/>
  <c r="W388" i="3"/>
  <c r="K388" i="3"/>
  <c r="V388" i="3"/>
  <c r="J388" i="3"/>
  <c r="U388" i="3"/>
  <c r="I388" i="3"/>
  <c r="T388" i="3"/>
  <c r="S388" i="3"/>
  <c r="R388" i="3"/>
  <c r="Q388" i="3"/>
  <c r="L388" i="3"/>
  <c r="H388" i="3"/>
  <c r="AE388" i="3"/>
  <c r="AA396" i="3"/>
  <c r="F396" i="3"/>
  <c r="AD396" i="3"/>
  <c r="AC396" i="3"/>
  <c r="AB396" i="3"/>
  <c r="B396" i="3"/>
  <c r="E366" i="4"/>
  <c r="D366" i="4"/>
  <c r="V370" i="3"/>
  <c r="J370" i="3"/>
  <c r="U370" i="3"/>
  <c r="I370" i="3"/>
  <c r="Q370" i="3"/>
  <c r="N370" i="3"/>
  <c r="M370" i="3"/>
  <c r="L370" i="3"/>
  <c r="K370" i="3"/>
  <c r="H370" i="3"/>
  <c r="W370" i="3"/>
  <c r="T370" i="3"/>
  <c r="S370" i="3"/>
  <c r="AE370" i="3"/>
  <c r="R370" i="3"/>
  <c r="P370" i="3"/>
  <c r="O370" i="3"/>
  <c r="E221" i="4"/>
  <c r="D221" i="4"/>
  <c r="Q225" i="3"/>
  <c r="O225" i="3"/>
  <c r="N225" i="3"/>
  <c r="M225" i="3"/>
  <c r="V225" i="3"/>
  <c r="U225" i="3"/>
  <c r="T225" i="3"/>
  <c r="S225" i="3"/>
  <c r="R225" i="3"/>
  <c r="P225" i="3"/>
  <c r="L225" i="3"/>
  <c r="AE225" i="3"/>
  <c r="K225" i="3"/>
  <c r="J225" i="3"/>
  <c r="W225" i="3"/>
  <c r="I225" i="3"/>
  <c r="H225" i="3"/>
  <c r="J494" i="4"/>
  <c r="I494" i="4"/>
  <c r="C474" i="4"/>
  <c r="B474" i="4"/>
  <c r="K474" i="4"/>
  <c r="G474" i="4"/>
  <c r="F474" i="4"/>
  <c r="H474" i="4" s="1"/>
  <c r="F445" i="4"/>
  <c r="H445" i="4" s="1"/>
  <c r="C445" i="4"/>
  <c r="B445" i="4"/>
  <c r="K445" i="4"/>
  <c r="G445" i="4"/>
  <c r="J395" i="4"/>
  <c r="I395" i="4"/>
  <c r="F433" i="4"/>
  <c r="H433" i="4" s="1"/>
  <c r="K433" i="4"/>
  <c r="G433" i="4"/>
  <c r="C433" i="4"/>
  <c r="B433" i="4"/>
  <c r="B473" i="4"/>
  <c r="G473" i="4"/>
  <c r="F473" i="4"/>
  <c r="H473" i="4" s="1"/>
  <c r="K473" i="4"/>
  <c r="C473" i="4"/>
  <c r="AD421" i="3"/>
  <c r="F421" i="3"/>
  <c r="AC421" i="3"/>
  <c r="AB421" i="3"/>
  <c r="AA421" i="3"/>
  <c r="B421" i="3"/>
  <c r="D467" i="4"/>
  <c r="E467" i="4"/>
  <c r="M471" i="3"/>
  <c r="L471" i="3"/>
  <c r="W471" i="3"/>
  <c r="K471" i="3"/>
  <c r="V471" i="3"/>
  <c r="J471" i="3"/>
  <c r="U471" i="3"/>
  <c r="I471" i="3"/>
  <c r="T471" i="3"/>
  <c r="H471" i="3"/>
  <c r="AE471" i="3"/>
  <c r="S471" i="3"/>
  <c r="R471" i="3"/>
  <c r="Q471" i="3"/>
  <c r="P471" i="3"/>
  <c r="O471" i="3"/>
  <c r="N471" i="3"/>
  <c r="J454" i="4"/>
  <c r="I454" i="4"/>
  <c r="E416" i="4"/>
  <c r="D416" i="4"/>
  <c r="O420" i="3"/>
  <c r="N420" i="3"/>
  <c r="M420" i="3"/>
  <c r="L420" i="3"/>
  <c r="W420" i="3"/>
  <c r="K420" i="3"/>
  <c r="V420" i="3"/>
  <c r="J420" i="3"/>
  <c r="T420" i="3"/>
  <c r="H420" i="3"/>
  <c r="AE420" i="3"/>
  <c r="S420" i="3"/>
  <c r="U420" i="3"/>
  <c r="R420" i="3"/>
  <c r="Q420" i="3"/>
  <c r="P420" i="3"/>
  <c r="I420" i="3"/>
  <c r="E505" i="4"/>
  <c r="D505" i="4"/>
  <c r="M509" i="3"/>
  <c r="L509" i="3"/>
  <c r="W509" i="3"/>
  <c r="K509" i="3"/>
  <c r="V509" i="3"/>
  <c r="J509" i="3"/>
  <c r="U509" i="3"/>
  <c r="I509" i="3"/>
  <c r="T509" i="3"/>
  <c r="H509" i="3"/>
  <c r="AE509" i="3"/>
  <c r="S509" i="3"/>
  <c r="R509" i="3"/>
  <c r="Q509" i="3"/>
  <c r="P509" i="3"/>
  <c r="O509" i="3"/>
  <c r="N509" i="3"/>
  <c r="E487" i="4"/>
  <c r="D487" i="4"/>
  <c r="P491" i="3"/>
  <c r="N491" i="3"/>
  <c r="M491" i="3"/>
  <c r="L491" i="3"/>
  <c r="AE491" i="3"/>
  <c r="K491" i="3"/>
  <c r="J491" i="3"/>
  <c r="I491" i="3"/>
  <c r="H491" i="3"/>
  <c r="W491" i="3"/>
  <c r="V491" i="3"/>
  <c r="U491" i="3"/>
  <c r="T491" i="3"/>
  <c r="S491" i="3"/>
  <c r="R491" i="3"/>
  <c r="Q491" i="3"/>
  <c r="O491" i="3"/>
  <c r="D431" i="4"/>
  <c r="E431" i="4"/>
  <c r="M435" i="3"/>
  <c r="T435" i="3"/>
  <c r="S435" i="3"/>
  <c r="AE435" i="3"/>
  <c r="R435" i="3"/>
  <c r="Q435" i="3"/>
  <c r="P435" i="3"/>
  <c r="O435" i="3"/>
  <c r="N435" i="3"/>
  <c r="L435" i="3"/>
  <c r="K435" i="3"/>
  <c r="W435" i="3"/>
  <c r="V435" i="3"/>
  <c r="U435" i="3"/>
  <c r="J435" i="3"/>
  <c r="I435" i="3"/>
  <c r="H435" i="3"/>
  <c r="I479" i="4"/>
  <c r="J479" i="4"/>
  <c r="AB483" i="3"/>
  <c r="B483" i="3"/>
  <c r="AA483" i="3"/>
  <c r="F483" i="3"/>
  <c r="AD483" i="3"/>
  <c r="AC483" i="3"/>
  <c r="I487" i="4"/>
  <c r="J487" i="4"/>
  <c r="D447" i="4"/>
  <c r="E447" i="4"/>
  <c r="U451" i="3"/>
  <c r="I451" i="3"/>
  <c r="Q451" i="3"/>
  <c r="P451" i="3"/>
  <c r="J451" i="3"/>
  <c r="H451" i="3"/>
  <c r="W451" i="3"/>
  <c r="V451" i="3"/>
  <c r="T451" i="3"/>
  <c r="S451" i="3"/>
  <c r="R451" i="3"/>
  <c r="O451" i="3"/>
  <c r="AE451" i="3"/>
  <c r="N451" i="3"/>
  <c r="M451" i="3"/>
  <c r="L451" i="3"/>
  <c r="K451" i="3"/>
  <c r="J430" i="4"/>
  <c r="I430" i="4"/>
  <c r="J418" i="4"/>
  <c r="I418" i="4"/>
  <c r="E428" i="4"/>
  <c r="D428" i="4"/>
  <c r="O432" i="3"/>
  <c r="N432" i="3"/>
  <c r="M432" i="3"/>
  <c r="L432" i="3"/>
  <c r="W432" i="3"/>
  <c r="K432" i="3"/>
  <c r="V432" i="3"/>
  <c r="J432" i="3"/>
  <c r="U432" i="3"/>
  <c r="I432" i="3"/>
  <c r="T432" i="3"/>
  <c r="H432" i="3"/>
  <c r="AE432" i="3"/>
  <c r="S432" i="3"/>
  <c r="R432" i="3"/>
  <c r="Q432" i="3"/>
  <c r="P432" i="3"/>
  <c r="I416" i="4"/>
  <c r="J416" i="4"/>
  <c r="F469" i="4"/>
  <c r="H469" i="4" s="1"/>
  <c r="G469" i="4"/>
  <c r="C469" i="4"/>
  <c r="B469" i="4"/>
  <c r="K469" i="4"/>
  <c r="F441" i="4"/>
  <c r="H441" i="4" s="1"/>
  <c r="B441" i="4"/>
  <c r="K441" i="4"/>
  <c r="C441" i="4"/>
  <c r="G441" i="4"/>
  <c r="E422" i="4"/>
  <c r="D422" i="4"/>
  <c r="U426" i="3"/>
  <c r="I426" i="3"/>
  <c r="T426" i="3"/>
  <c r="H426" i="3"/>
  <c r="AE426" i="3"/>
  <c r="S426" i="3"/>
  <c r="R426" i="3"/>
  <c r="Q426" i="3"/>
  <c r="P426" i="3"/>
  <c r="N426" i="3"/>
  <c r="M426" i="3"/>
  <c r="O426" i="3"/>
  <c r="L426" i="3"/>
  <c r="K426" i="3"/>
  <c r="J426" i="3"/>
  <c r="W426" i="3"/>
  <c r="V426" i="3"/>
  <c r="E461" i="4"/>
  <c r="D461" i="4"/>
  <c r="AE465" i="3"/>
  <c r="S465" i="3"/>
  <c r="R465" i="3"/>
  <c r="O465" i="3"/>
  <c r="N465" i="3"/>
  <c r="L465" i="3"/>
  <c r="W465" i="3"/>
  <c r="K465" i="3"/>
  <c r="U465" i="3"/>
  <c r="T465" i="3"/>
  <c r="Q465" i="3"/>
  <c r="P465" i="3"/>
  <c r="M465" i="3"/>
  <c r="J465" i="3"/>
  <c r="I465" i="3"/>
  <c r="H465" i="3"/>
  <c r="V465" i="3"/>
  <c r="E369" i="4"/>
  <c r="D369" i="4"/>
  <c r="M373" i="3"/>
  <c r="L373" i="3"/>
  <c r="T373" i="3"/>
  <c r="H373" i="3"/>
  <c r="P373" i="3"/>
  <c r="O373" i="3"/>
  <c r="N373" i="3"/>
  <c r="K373" i="3"/>
  <c r="J373" i="3"/>
  <c r="I373" i="3"/>
  <c r="W373" i="3"/>
  <c r="V373" i="3"/>
  <c r="U373" i="3"/>
  <c r="S373" i="3"/>
  <c r="R373" i="3"/>
  <c r="Q373" i="3"/>
  <c r="AE373" i="3"/>
  <c r="E362" i="4"/>
  <c r="D362" i="4"/>
  <c r="N366" i="3"/>
  <c r="M366" i="3"/>
  <c r="U366" i="3"/>
  <c r="I366" i="3"/>
  <c r="J366" i="3"/>
  <c r="H366" i="3"/>
  <c r="W366" i="3"/>
  <c r="V366" i="3"/>
  <c r="T366" i="3"/>
  <c r="S366" i="3"/>
  <c r="R366" i="3"/>
  <c r="Q366" i="3"/>
  <c r="AE366" i="3"/>
  <c r="P366" i="3"/>
  <c r="O366" i="3"/>
  <c r="L366" i="3"/>
  <c r="K366" i="3"/>
  <c r="AD492" i="3"/>
  <c r="F492" i="3"/>
  <c r="AC492" i="3"/>
  <c r="AB492" i="3"/>
  <c r="AA492" i="3"/>
  <c r="B492" i="3"/>
  <c r="D415" i="4"/>
  <c r="E415" i="4"/>
  <c r="V419" i="3"/>
  <c r="J419" i="3"/>
  <c r="T419" i="3"/>
  <c r="H419" i="3"/>
  <c r="R419" i="3"/>
  <c r="Q419" i="3"/>
  <c r="O419" i="3"/>
  <c r="N419" i="3"/>
  <c r="L419" i="3"/>
  <c r="K419" i="3"/>
  <c r="I419" i="3"/>
  <c r="AE419" i="3"/>
  <c r="W419" i="3"/>
  <c r="U419" i="3"/>
  <c r="S419" i="3"/>
  <c r="P419" i="3"/>
  <c r="M419" i="3"/>
  <c r="AB409" i="3"/>
  <c r="AA409" i="3"/>
  <c r="AD409" i="3"/>
  <c r="AC409" i="3"/>
  <c r="F409" i="3"/>
  <c r="B409" i="3"/>
  <c r="E320" i="4"/>
  <c r="D320" i="4"/>
  <c r="M324" i="3"/>
  <c r="U324" i="3"/>
  <c r="I324" i="3"/>
  <c r="T324" i="3"/>
  <c r="H324" i="3"/>
  <c r="R324" i="3"/>
  <c r="AE324" i="3"/>
  <c r="N324" i="3"/>
  <c r="L324" i="3"/>
  <c r="K324" i="3"/>
  <c r="J324" i="3"/>
  <c r="W324" i="3"/>
  <c r="V324" i="3"/>
  <c r="Q324" i="3"/>
  <c r="P324" i="3"/>
  <c r="O324" i="3"/>
  <c r="S324" i="3"/>
  <c r="G376" i="4"/>
  <c r="F376" i="4"/>
  <c r="H376" i="4" s="1"/>
  <c r="K376" i="4"/>
  <c r="C376" i="4"/>
  <c r="B376" i="4"/>
  <c r="J347" i="4"/>
  <c r="I347" i="4"/>
  <c r="J338" i="4"/>
  <c r="I338" i="4"/>
  <c r="E367" i="4"/>
  <c r="D367" i="4"/>
  <c r="O371" i="3"/>
  <c r="N371" i="3"/>
  <c r="V371" i="3"/>
  <c r="J371" i="3"/>
  <c r="AE371" i="3"/>
  <c r="P371" i="3"/>
  <c r="M371" i="3"/>
  <c r="L371" i="3"/>
  <c r="K371" i="3"/>
  <c r="I371" i="3"/>
  <c r="H371" i="3"/>
  <c r="W371" i="3"/>
  <c r="U371" i="3"/>
  <c r="T371" i="3"/>
  <c r="S371" i="3"/>
  <c r="R371" i="3"/>
  <c r="Q371" i="3"/>
  <c r="AC331" i="3"/>
  <c r="AB331" i="3"/>
  <c r="B331" i="3"/>
  <c r="AA331" i="3"/>
  <c r="F331" i="3"/>
  <c r="AD331" i="3"/>
  <c r="AB299" i="3"/>
  <c r="AA299" i="3"/>
  <c r="B299" i="3"/>
  <c r="F299" i="3"/>
  <c r="AD299" i="3"/>
  <c r="AC299" i="3"/>
  <c r="AB327" i="3"/>
  <c r="F327" i="3"/>
  <c r="B327" i="3"/>
  <c r="AA327" i="3"/>
  <c r="AD327" i="3"/>
  <c r="AC327" i="3"/>
  <c r="G364" i="4"/>
  <c r="F364" i="4"/>
  <c r="H364" i="4" s="1"/>
  <c r="K364" i="4"/>
  <c r="C364" i="4"/>
  <c r="B364" i="4"/>
  <c r="G339" i="4"/>
  <c r="F339" i="4"/>
  <c r="H339" i="4" s="1"/>
  <c r="C339" i="4"/>
  <c r="B339" i="4"/>
  <c r="K339" i="4"/>
  <c r="B305" i="4"/>
  <c r="G305" i="4"/>
  <c r="F305" i="4"/>
  <c r="H305" i="4" s="1"/>
  <c r="C305" i="4"/>
  <c r="K305" i="4"/>
  <c r="J267" i="4"/>
  <c r="I267" i="4"/>
  <c r="E368" i="4"/>
  <c r="D368" i="4"/>
  <c r="T372" i="3"/>
  <c r="H372" i="3"/>
  <c r="AE372" i="3"/>
  <c r="S372" i="3"/>
  <c r="O372" i="3"/>
  <c r="P372" i="3"/>
  <c r="N372" i="3"/>
  <c r="M372" i="3"/>
  <c r="L372" i="3"/>
  <c r="K372" i="3"/>
  <c r="J372" i="3"/>
  <c r="I372" i="3"/>
  <c r="W372" i="3"/>
  <c r="V372" i="3"/>
  <c r="U372" i="3"/>
  <c r="R372" i="3"/>
  <c r="Q372" i="3"/>
  <c r="J243" i="4"/>
  <c r="I243" i="4"/>
  <c r="J296" i="4"/>
  <c r="I296" i="4"/>
  <c r="G270" i="4"/>
  <c r="F270" i="4"/>
  <c r="H270" i="4" s="1"/>
  <c r="C270" i="4"/>
  <c r="B270" i="4"/>
  <c r="K270" i="4"/>
  <c r="K263" i="4"/>
  <c r="G263" i="4"/>
  <c r="F263" i="4"/>
  <c r="H263" i="4" s="1"/>
  <c r="C263" i="4"/>
  <c r="B263" i="4"/>
  <c r="K301" i="4"/>
  <c r="G301" i="4"/>
  <c r="F301" i="4"/>
  <c r="H301" i="4" s="1"/>
  <c r="B301" i="4"/>
  <c r="C301" i="4"/>
  <c r="I246" i="4"/>
  <c r="J246" i="4"/>
  <c r="F282" i="4"/>
  <c r="H282" i="4" s="1"/>
  <c r="G282" i="4"/>
  <c r="C282" i="4"/>
  <c r="B282" i="4"/>
  <c r="K282" i="4"/>
  <c r="AD298" i="3"/>
  <c r="F298" i="3"/>
  <c r="AC298" i="3"/>
  <c r="AB298" i="3"/>
  <c r="B298" i="3"/>
  <c r="AA298" i="3"/>
  <c r="E259" i="4"/>
  <c r="D259" i="4"/>
  <c r="P263" i="3"/>
  <c r="W263" i="3"/>
  <c r="K263" i="3"/>
  <c r="R263" i="3"/>
  <c r="AE263" i="3"/>
  <c r="Q263" i="3"/>
  <c r="O263" i="3"/>
  <c r="N263" i="3"/>
  <c r="M263" i="3"/>
  <c r="L263" i="3"/>
  <c r="J263" i="3"/>
  <c r="I263" i="3"/>
  <c r="V263" i="3"/>
  <c r="H263" i="3"/>
  <c r="S263" i="3"/>
  <c r="T263" i="3"/>
  <c r="U263" i="3"/>
  <c r="I240" i="4"/>
  <c r="J240" i="4"/>
  <c r="AD345" i="3"/>
  <c r="F345" i="3"/>
  <c r="AC345" i="3"/>
  <c r="AB345" i="3"/>
  <c r="AA345" i="3"/>
  <c r="B345" i="3"/>
  <c r="E209" i="4"/>
  <c r="D209" i="4"/>
  <c r="Q213" i="3"/>
  <c r="O213" i="3"/>
  <c r="M213" i="3"/>
  <c r="P213" i="3"/>
  <c r="AE213" i="3"/>
  <c r="N213" i="3"/>
  <c r="L213" i="3"/>
  <c r="K213" i="3"/>
  <c r="J213" i="3"/>
  <c r="I213" i="3"/>
  <c r="W213" i="3"/>
  <c r="H213" i="3"/>
  <c r="V213" i="3"/>
  <c r="U213" i="3"/>
  <c r="T213" i="3"/>
  <c r="S213" i="3"/>
  <c r="R213" i="3"/>
  <c r="B265" i="4"/>
  <c r="K265" i="4"/>
  <c r="G265" i="4"/>
  <c r="F265" i="4"/>
  <c r="H265" i="4" s="1"/>
  <c r="C265" i="4"/>
  <c r="E189" i="4"/>
  <c r="D189" i="4"/>
  <c r="M193" i="3"/>
  <c r="L193" i="3"/>
  <c r="W193" i="3"/>
  <c r="K193" i="3"/>
  <c r="V193" i="3"/>
  <c r="J193" i="3"/>
  <c r="U193" i="3"/>
  <c r="I193" i="3"/>
  <c r="T193" i="3"/>
  <c r="H193" i="3"/>
  <c r="AE193" i="3"/>
  <c r="S193" i="3"/>
  <c r="R193" i="3"/>
  <c r="Q193" i="3"/>
  <c r="O193" i="3"/>
  <c r="N193" i="3"/>
  <c r="P193" i="3"/>
  <c r="AA282" i="3"/>
  <c r="AD282" i="3"/>
  <c r="AC282" i="3"/>
  <c r="AB282" i="3"/>
  <c r="F282" i="3"/>
  <c r="B282" i="3"/>
  <c r="AD193" i="3"/>
  <c r="F193" i="3"/>
  <c r="AC193" i="3"/>
  <c r="B193" i="3"/>
  <c r="AB193" i="3"/>
  <c r="AA193" i="3"/>
  <c r="AA203" i="3"/>
  <c r="B203" i="3"/>
  <c r="AB203" i="3"/>
  <c r="F203" i="3"/>
  <c r="AD203" i="3"/>
  <c r="AC203" i="3"/>
  <c r="K238" i="4"/>
  <c r="G238" i="4"/>
  <c r="F238" i="4"/>
  <c r="H238" i="4" s="1"/>
  <c r="C238" i="4"/>
  <c r="B238" i="4"/>
  <c r="AD184" i="3"/>
  <c r="F184" i="3"/>
  <c r="AC184" i="3"/>
  <c r="AB184" i="3"/>
  <c r="AA184" i="3"/>
  <c r="B184" i="3"/>
  <c r="K202" i="4"/>
  <c r="G202" i="4"/>
  <c r="F202" i="4"/>
  <c r="H202" i="4" s="1"/>
  <c r="B202" i="4"/>
  <c r="C202" i="4"/>
  <c r="E183" i="4"/>
  <c r="D183" i="4"/>
  <c r="P187" i="3"/>
  <c r="O187" i="3"/>
  <c r="N187" i="3"/>
  <c r="M187" i="3"/>
  <c r="L187" i="3"/>
  <c r="W187" i="3"/>
  <c r="K187" i="3"/>
  <c r="T187" i="3"/>
  <c r="S187" i="3"/>
  <c r="R187" i="3"/>
  <c r="Q187" i="3"/>
  <c r="J187" i="3"/>
  <c r="I187" i="3"/>
  <c r="AE187" i="3"/>
  <c r="H187" i="3"/>
  <c r="V187" i="3"/>
  <c r="U187" i="3"/>
  <c r="J171" i="4"/>
  <c r="I171" i="4"/>
  <c r="C206" i="4"/>
  <c r="B206" i="4"/>
  <c r="K206" i="4"/>
  <c r="F206" i="4"/>
  <c r="H206" i="4" s="1"/>
  <c r="G206" i="4"/>
  <c r="E249" i="4"/>
  <c r="D249" i="4"/>
  <c r="N253" i="3"/>
  <c r="U253" i="3"/>
  <c r="I253" i="3"/>
  <c r="M253" i="3"/>
  <c r="L253" i="3"/>
  <c r="K253" i="3"/>
  <c r="J253" i="3"/>
  <c r="W253" i="3"/>
  <c r="H253" i="3"/>
  <c r="V253" i="3"/>
  <c r="T253" i="3"/>
  <c r="S253" i="3"/>
  <c r="R253" i="3"/>
  <c r="AE253" i="3"/>
  <c r="Q253" i="3"/>
  <c r="P253" i="3"/>
  <c r="O253" i="3"/>
  <c r="I232" i="4"/>
  <c r="J232" i="4"/>
  <c r="AD192" i="3"/>
  <c r="F192" i="3"/>
  <c r="AC192" i="3"/>
  <c r="AB192" i="3"/>
  <c r="AA192" i="3"/>
  <c r="B192" i="3"/>
  <c r="E226" i="4"/>
  <c r="D226" i="4"/>
  <c r="R230" i="3"/>
  <c r="Q230" i="3"/>
  <c r="P230" i="3"/>
  <c r="O230" i="3"/>
  <c r="N230" i="3"/>
  <c r="T230" i="3"/>
  <c r="S230" i="3"/>
  <c r="M230" i="3"/>
  <c r="L230" i="3"/>
  <c r="K230" i="3"/>
  <c r="J230" i="3"/>
  <c r="AE230" i="3"/>
  <c r="I230" i="3"/>
  <c r="H230" i="3"/>
  <c r="V230" i="3"/>
  <c r="W230" i="3"/>
  <c r="U230" i="3"/>
  <c r="E130" i="4"/>
  <c r="D130" i="4"/>
  <c r="M134" i="3"/>
  <c r="W134" i="3"/>
  <c r="K134" i="3"/>
  <c r="V134" i="3"/>
  <c r="J134" i="3"/>
  <c r="U134" i="3"/>
  <c r="I134" i="3"/>
  <c r="T134" i="3"/>
  <c r="H134" i="3"/>
  <c r="AE134" i="3"/>
  <c r="S134" i="3"/>
  <c r="R134" i="3"/>
  <c r="Q134" i="3"/>
  <c r="P134" i="3"/>
  <c r="O134" i="3"/>
  <c r="N134" i="3"/>
  <c r="L134" i="3"/>
  <c r="J170" i="4"/>
  <c r="I170" i="4"/>
  <c r="B163" i="3"/>
  <c r="AB163" i="3"/>
  <c r="F163" i="3"/>
  <c r="AD163" i="3"/>
  <c r="AC163" i="3"/>
  <c r="AA163" i="3"/>
  <c r="E212" i="4"/>
  <c r="D212" i="4"/>
  <c r="T216" i="3"/>
  <c r="H216" i="3"/>
  <c r="R216" i="3"/>
  <c r="P216" i="3"/>
  <c r="O216" i="3"/>
  <c r="AE216" i="3"/>
  <c r="N216" i="3"/>
  <c r="M216" i="3"/>
  <c r="L216" i="3"/>
  <c r="K216" i="3"/>
  <c r="J216" i="3"/>
  <c r="I216" i="3"/>
  <c r="W216" i="3"/>
  <c r="V216" i="3"/>
  <c r="Q216" i="3"/>
  <c r="U216" i="3"/>
  <c r="S216" i="3"/>
  <c r="AB161" i="3"/>
  <c r="AA161" i="3"/>
  <c r="B161" i="3"/>
  <c r="AD161" i="3"/>
  <c r="F161" i="3"/>
  <c r="AC161" i="3"/>
  <c r="C182" i="4"/>
  <c r="G182" i="4"/>
  <c r="F182" i="4"/>
  <c r="H182" i="4" s="1"/>
  <c r="B182" i="4"/>
  <c r="K182" i="4"/>
  <c r="AD178" i="3"/>
  <c r="F178" i="3"/>
  <c r="AC178" i="3"/>
  <c r="AB178" i="3"/>
  <c r="AA178" i="3"/>
  <c r="B178" i="3"/>
  <c r="E132" i="4"/>
  <c r="D132" i="4"/>
  <c r="W136" i="3"/>
  <c r="K136" i="3"/>
  <c r="U136" i="3"/>
  <c r="I136" i="3"/>
  <c r="T136" i="3"/>
  <c r="H136" i="3"/>
  <c r="AE136" i="3"/>
  <c r="S136" i="3"/>
  <c r="R136" i="3"/>
  <c r="Q136" i="3"/>
  <c r="J136" i="3"/>
  <c r="V136" i="3"/>
  <c r="P136" i="3"/>
  <c r="O136" i="3"/>
  <c r="N136" i="3"/>
  <c r="M136" i="3"/>
  <c r="L136" i="3"/>
  <c r="K105" i="4"/>
  <c r="C105" i="4"/>
  <c r="G105" i="4"/>
  <c r="F105" i="4"/>
  <c r="H105" i="4" s="1"/>
  <c r="B105" i="4"/>
  <c r="C134" i="4"/>
  <c r="B134" i="4"/>
  <c r="K134" i="4"/>
  <c r="G134" i="4"/>
  <c r="F134" i="4"/>
  <c r="H134" i="4" s="1"/>
  <c r="I86" i="4"/>
  <c r="J86" i="4"/>
  <c r="E43" i="4"/>
  <c r="D43" i="4"/>
  <c r="M47" i="3"/>
  <c r="W47" i="3"/>
  <c r="K47" i="3"/>
  <c r="V47" i="3"/>
  <c r="J47" i="3"/>
  <c r="T47" i="3"/>
  <c r="S47" i="3"/>
  <c r="R47" i="3"/>
  <c r="Q47" i="3"/>
  <c r="AE47" i="3"/>
  <c r="P47" i="3"/>
  <c r="O47" i="3"/>
  <c r="N47" i="3"/>
  <c r="L47" i="3"/>
  <c r="I47" i="3"/>
  <c r="H47" i="3"/>
  <c r="U47" i="3"/>
  <c r="I89" i="4"/>
  <c r="J89" i="4"/>
  <c r="D53" i="4"/>
  <c r="E53" i="4"/>
  <c r="AE57" i="3"/>
  <c r="S57" i="3"/>
  <c r="P57" i="3"/>
  <c r="O57" i="3"/>
  <c r="M57" i="3"/>
  <c r="L57" i="3"/>
  <c r="T57" i="3"/>
  <c r="R57" i="3"/>
  <c r="Q57" i="3"/>
  <c r="N57" i="3"/>
  <c r="K57" i="3"/>
  <c r="J57" i="3"/>
  <c r="I57" i="3"/>
  <c r="H57" i="3"/>
  <c r="W57" i="3"/>
  <c r="V57" i="3"/>
  <c r="U57" i="3"/>
  <c r="B99" i="4"/>
  <c r="G99" i="4"/>
  <c r="C99" i="4"/>
  <c r="K99" i="4"/>
  <c r="F99" i="4"/>
  <c r="H99" i="4" s="1"/>
  <c r="B63" i="4"/>
  <c r="G63" i="4"/>
  <c r="C63" i="4"/>
  <c r="K63" i="4"/>
  <c r="F63" i="4"/>
  <c r="H63" i="4" s="1"/>
  <c r="E66" i="4"/>
  <c r="D66" i="4"/>
  <c r="L70" i="3"/>
  <c r="U70" i="3"/>
  <c r="I70" i="3"/>
  <c r="T70" i="3"/>
  <c r="H70" i="3"/>
  <c r="R70" i="3"/>
  <c r="Q70" i="3"/>
  <c r="W70" i="3"/>
  <c r="V70" i="3"/>
  <c r="S70" i="3"/>
  <c r="P70" i="3"/>
  <c r="O70" i="3"/>
  <c r="N70" i="3"/>
  <c r="M70" i="3"/>
  <c r="AE70" i="3"/>
  <c r="K70" i="3"/>
  <c r="J70" i="3"/>
  <c r="AD31" i="3"/>
  <c r="F31" i="3"/>
  <c r="AC31" i="3"/>
  <c r="AB31" i="3"/>
  <c r="AA31" i="3"/>
  <c r="B31" i="3"/>
  <c r="AB99" i="3"/>
  <c r="F99" i="3"/>
  <c r="AC99" i="3"/>
  <c r="AA99" i="3"/>
  <c r="B99" i="3"/>
  <c r="AD99" i="3"/>
  <c r="E18" i="4"/>
  <c r="D18" i="4"/>
  <c r="P22" i="3"/>
  <c r="O22" i="3"/>
  <c r="N22" i="3"/>
  <c r="M22" i="3"/>
  <c r="L22" i="3"/>
  <c r="W22" i="3"/>
  <c r="K22" i="3"/>
  <c r="V22" i="3"/>
  <c r="J22" i="3"/>
  <c r="U22" i="3"/>
  <c r="I22" i="3"/>
  <c r="T22" i="3"/>
  <c r="H22" i="3"/>
  <c r="AE22" i="3"/>
  <c r="S22" i="3"/>
  <c r="R22" i="3"/>
  <c r="Q22" i="3"/>
  <c r="AB34" i="3"/>
  <c r="AA34" i="3"/>
  <c r="B34" i="3"/>
  <c r="AD34" i="3"/>
  <c r="F34" i="3"/>
  <c r="AC34" i="3"/>
  <c r="K84" i="4"/>
  <c r="G84" i="4"/>
  <c r="F84" i="4"/>
  <c r="H84" i="4" s="1"/>
  <c r="C84" i="4"/>
  <c r="B84" i="4"/>
  <c r="C69" i="4"/>
  <c r="G69" i="4"/>
  <c r="F69" i="4"/>
  <c r="H69" i="4" s="1"/>
  <c r="B69" i="4"/>
  <c r="K69" i="4"/>
  <c r="J26" i="4"/>
  <c r="I26" i="4"/>
  <c r="E14" i="4"/>
  <c r="D14" i="4"/>
  <c r="T18" i="3"/>
  <c r="H18" i="3"/>
  <c r="AE18" i="3"/>
  <c r="S18" i="3"/>
  <c r="R18" i="3"/>
  <c r="Q18" i="3"/>
  <c r="P18" i="3"/>
  <c r="O18" i="3"/>
  <c r="N18" i="3"/>
  <c r="M18" i="3"/>
  <c r="L18" i="3"/>
  <c r="W18" i="3"/>
  <c r="K18" i="3"/>
  <c r="V18" i="3"/>
  <c r="J18" i="3"/>
  <c r="U18" i="3"/>
  <c r="I18" i="3"/>
  <c r="J19" i="4"/>
  <c r="I19" i="4"/>
  <c r="AD72" i="3"/>
  <c r="F72" i="3"/>
  <c r="AB72" i="3"/>
  <c r="AA72" i="3"/>
  <c r="AC72" i="3"/>
  <c r="B72" i="3"/>
  <c r="C52" i="4"/>
  <c r="K52" i="4"/>
  <c r="G52" i="4"/>
  <c r="F52" i="4"/>
  <c r="H52" i="4" s="1"/>
  <c r="B52" i="4"/>
  <c r="J17" i="4"/>
  <c r="I17" i="4"/>
  <c r="E454" i="4"/>
  <c r="D454" i="4"/>
  <c r="T458" i="3"/>
  <c r="H458" i="3"/>
  <c r="P458" i="3"/>
  <c r="O458" i="3"/>
  <c r="M458" i="3"/>
  <c r="L458" i="3"/>
  <c r="V458" i="3"/>
  <c r="U458" i="3"/>
  <c r="S458" i="3"/>
  <c r="R458" i="3"/>
  <c r="Q458" i="3"/>
  <c r="N458" i="3"/>
  <c r="AE458" i="3"/>
  <c r="K458" i="3"/>
  <c r="J458" i="3"/>
  <c r="I458" i="3"/>
  <c r="W458" i="3"/>
  <c r="I333" i="4"/>
  <c r="J333" i="4"/>
  <c r="AD429" i="3"/>
  <c r="F429" i="3"/>
  <c r="AC429" i="3"/>
  <c r="AB429" i="3"/>
  <c r="AA429" i="3"/>
  <c r="B429" i="3"/>
  <c r="I300" i="4"/>
  <c r="J300" i="4"/>
  <c r="AD509" i="3"/>
  <c r="F509" i="3"/>
  <c r="AC509" i="3"/>
  <c r="B509" i="3"/>
  <c r="AB509" i="3"/>
  <c r="AA509" i="3"/>
  <c r="J421" i="4"/>
  <c r="I421" i="4"/>
  <c r="E291" i="4"/>
  <c r="D291" i="4"/>
  <c r="T295" i="3"/>
  <c r="H295" i="3"/>
  <c r="AE295" i="3"/>
  <c r="S295" i="3"/>
  <c r="R295" i="3"/>
  <c r="Q295" i="3"/>
  <c r="P295" i="3"/>
  <c r="O295" i="3"/>
  <c r="N295" i="3"/>
  <c r="M295" i="3"/>
  <c r="W295" i="3"/>
  <c r="V295" i="3"/>
  <c r="U295" i="3"/>
  <c r="L295" i="3"/>
  <c r="K295" i="3"/>
  <c r="J295" i="3"/>
  <c r="I295" i="3"/>
  <c r="E496" i="4"/>
  <c r="D496" i="4"/>
  <c r="O500" i="3"/>
  <c r="M500" i="3"/>
  <c r="L500" i="3"/>
  <c r="W500" i="3"/>
  <c r="K500" i="3"/>
  <c r="V500" i="3"/>
  <c r="J500" i="3"/>
  <c r="U500" i="3"/>
  <c r="I500" i="3"/>
  <c r="T500" i="3"/>
  <c r="S500" i="3"/>
  <c r="R500" i="3"/>
  <c r="Q500" i="3"/>
  <c r="P500" i="3"/>
  <c r="N500" i="3"/>
  <c r="AE500" i="3"/>
  <c r="H500" i="3"/>
  <c r="E492" i="4"/>
  <c r="D492" i="4"/>
  <c r="Q496" i="3"/>
  <c r="P496" i="3"/>
  <c r="O496" i="3"/>
  <c r="N496" i="3"/>
  <c r="M496" i="3"/>
  <c r="J496" i="3"/>
  <c r="AE496" i="3"/>
  <c r="I496" i="3"/>
  <c r="H496" i="3"/>
  <c r="W496" i="3"/>
  <c r="V496" i="3"/>
  <c r="U496" i="3"/>
  <c r="T496" i="3"/>
  <c r="S496" i="3"/>
  <c r="R496" i="3"/>
  <c r="L496" i="3"/>
  <c r="K496" i="3"/>
  <c r="J481" i="4"/>
  <c r="I481" i="4"/>
  <c r="K483" i="4"/>
  <c r="C483" i="4"/>
  <c r="B483" i="4"/>
  <c r="G483" i="4"/>
  <c r="F483" i="4"/>
  <c r="H483" i="4" s="1"/>
  <c r="J435" i="4"/>
  <c r="I435" i="4"/>
  <c r="B427" i="3"/>
  <c r="AD427" i="3"/>
  <c r="F427" i="3"/>
  <c r="AC427" i="3"/>
  <c r="AB427" i="3"/>
  <c r="AA427" i="3"/>
  <c r="D407" i="4"/>
  <c r="E407" i="4"/>
  <c r="R411" i="3"/>
  <c r="N411" i="3"/>
  <c r="M411" i="3"/>
  <c r="V411" i="3"/>
  <c r="J411" i="3"/>
  <c r="S411" i="3"/>
  <c r="Q411" i="3"/>
  <c r="P411" i="3"/>
  <c r="AE411" i="3"/>
  <c r="O411" i="3"/>
  <c r="L411" i="3"/>
  <c r="K411" i="3"/>
  <c r="I411" i="3"/>
  <c r="H411" i="3"/>
  <c r="W411" i="3"/>
  <c r="U411" i="3"/>
  <c r="T411" i="3"/>
  <c r="E409" i="4"/>
  <c r="D409" i="4"/>
  <c r="P413" i="3"/>
  <c r="L413" i="3"/>
  <c r="W413" i="3"/>
  <c r="K413" i="3"/>
  <c r="T413" i="3"/>
  <c r="H413" i="3"/>
  <c r="I413" i="3"/>
  <c r="V413" i="3"/>
  <c r="U413" i="3"/>
  <c r="S413" i="3"/>
  <c r="R413" i="3"/>
  <c r="Q413" i="3"/>
  <c r="O413" i="3"/>
  <c r="M413" i="3"/>
  <c r="J413" i="3"/>
  <c r="AE413" i="3"/>
  <c r="N413" i="3"/>
  <c r="I489" i="4"/>
  <c r="J489" i="4"/>
  <c r="AC480" i="3"/>
  <c r="AD480" i="3"/>
  <c r="AB480" i="3"/>
  <c r="B480" i="3"/>
  <c r="AA480" i="3"/>
  <c r="F480" i="3"/>
  <c r="AA453" i="3"/>
  <c r="B453" i="3"/>
  <c r="AB453" i="3"/>
  <c r="F453" i="3"/>
  <c r="AD453" i="3"/>
  <c r="AC453" i="3"/>
  <c r="D498" i="4"/>
  <c r="E498" i="4"/>
  <c r="M502" i="3"/>
  <c r="L502" i="3"/>
  <c r="W502" i="3"/>
  <c r="K502" i="3"/>
  <c r="V502" i="3"/>
  <c r="J502" i="3"/>
  <c r="U502" i="3"/>
  <c r="I502" i="3"/>
  <c r="T502" i="3"/>
  <c r="H502" i="3"/>
  <c r="AE502" i="3"/>
  <c r="S502" i="3"/>
  <c r="O502" i="3"/>
  <c r="N502" i="3"/>
  <c r="R502" i="3"/>
  <c r="Q502" i="3"/>
  <c r="P502" i="3"/>
  <c r="I503" i="4"/>
  <c r="J503" i="4"/>
  <c r="AC505" i="3"/>
  <c r="AB505" i="3"/>
  <c r="AA505" i="3"/>
  <c r="B505" i="3"/>
  <c r="AD505" i="3"/>
  <c r="F505" i="3"/>
  <c r="E482" i="4"/>
  <c r="D482" i="4"/>
  <c r="M486" i="3"/>
  <c r="W486" i="3"/>
  <c r="K486" i="3"/>
  <c r="N486" i="3"/>
  <c r="L486" i="3"/>
  <c r="J486" i="3"/>
  <c r="I486" i="3"/>
  <c r="V486" i="3"/>
  <c r="H486" i="3"/>
  <c r="U486" i="3"/>
  <c r="T486" i="3"/>
  <c r="S486" i="3"/>
  <c r="R486" i="3"/>
  <c r="Q486" i="3"/>
  <c r="P486" i="3"/>
  <c r="O486" i="3"/>
  <c r="AE486" i="3"/>
  <c r="E504" i="4"/>
  <c r="D504" i="4"/>
  <c r="T508" i="3"/>
  <c r="H508" i="3"/>
  <c r="AE508" i="3"/>
  <c r="S508" i="3"/>
  <c r="R508" i="3"/>
  <c r="Q508" i="3"/>
  <c r="P508" i="3"/>
  <c r="O508" i="3"/>
  <c r="N508" i="3"/>
  <c r="M508" i="3"/>
  <c r="W508" i="3"/>
  <c r="V508" i="3"/>
  <c r="U508" i="3"/>
  <c r="L508" i="3"/>
  <c r="K508" i="3"/>
  <c r="J508" i="3"/>
  <c r="I508" i="3"/>
  <c r="J492" i="4"/>
  <c r="I492" i="4"/>
  <c r="E460" i="4"/>
  <c r="D460" i="4"/>
  <c r="N464" i="3"/>
  <c r="M464" i="3"/>
  <c r="V464" i="3"/>
  <c r="J464" i="3"/>
  <c r="U464" i="3"/>
  <c r="I464" i="3"/>
  <c r="AE464" i="3"/>
  <c r="S464" i="3"/>
  <c r="R464" i="3"/>
  <c r="W464" i="3"/>
  <c r="T464" i="3"/>
  <c r="Q464" i="3"/>
  <c r="P464" i="3"/>
  <c r="O464" i="3"/>
  <c r="L464" i="3"/>
  <c r="K464" i="3"/>
  <c r="H464" i="3"/>
  <c r="D451" i="4"/>
  <c r="E451" i="4"/>
  <c r="Q455" i="3"/>
  <c r="M455" i="3"/>
  <c r="L455" i="3"/>
  <c r="K455" i="3"/>
  <c r="J455" i="3"/>
  <c r="I455" i="3"/>
  <c r="W455" i="3"/>
  <c r="H455" i="3"/>
  <c r="V455" i="3"/>
  <c r="U455" i="3"/>
  <c r="T455" i="3"/>
  <c r="S455" i="3"/>
  <c r="R455" i="3"/>
  <c r="AE455" i="3"/>
  <c r="P455" i="3"/>
  <c r="O455" i="3"/>
  <c r="N455" i="3"/>
  <c r="J439" i="4"/>
  <c r="I439" i="4"/>
  <c r="E495" i="4"/>
  <c r="D495" i="4"/>
  <c r="V499" i="3"/>
  <c r="J499" i="3"/>
  <c r="T499" i="3"/>
  <c r="H499" i="3"/>
  <c r="AE499" i="3"/>
  <c r="S499" i="3"/>
  <c r="R499" i="3"/>
  <c r="Q499" i="3"/>
  <c r="P499" i="3"/>
  <c r="M499" i="3"/>
  <c r="L499" i="3"/>
  <c r="K499" i="3"/>
  <c r="I499" i="3"/>
  <c r="W499" i="3"/>
  <c r="N499" i="3"/>
  <c r="U499" i="3"/>
  <c r="O499" i="3"/>
  <c r="C485" i="4"/>
  <c r="B485" i="4"/>
  <c r="G485" i="4"/>
  <c r="F485" i="4"/>
  <c r="H485" i="4" s="1"/>
  <c r="K485" i="4"/>
  <c r="F479" i="3"/>
  <c r="AD479" i="3"/>
  <c r="AC479" i="3"/>
  <c r="AB479" i="3"/>
  <c r="B479" i="3"/>
  <c r="AA479" i="3"/>
  <c r="J466" i="4"/>
  <c r="I466" i="4"/>
  <c r="E446" i="4"/>
  <c r="D446" i="4"/>
  <c r="P450" i="3"/>
  <c r="L450" i="3"/>
  <c r="W450" i="3"/>
  <c r="K450" i="3"/>
  <c r="H450" i="3"/>
  <c r="V450" i="3"/>
  <c r="U450" i="3"/>
  <c r="T450" i="3"/>
  <c r="S450" i="3"/>
  <c r="R450" i="3"/>
  <c r="Q450" i="3"/>
  <c r="AE450" i="3"/>
  <c r="O450" i="3"/>
  <c r="N450" i="3"/>
  <c r="I450" i="3"/>
  <c r="M450" i="3"/>
  <c r="J450" i="3"/>
  <c r="E423" i="4"/>
  <c r="D423" i="4"/>
  <c r="N427" i="3"/>
  <c r="M427" i="3"/>
  <c r="L427" i="3"/>
  <c r="W427" i="3"/>
  <c r="K427" i="3"/>
  <c r="V427" i="3"/>
  <c r="J427" i="3"/>
  <c r="U427" i="3"/>
  <c r="I427" i="3"/>
  <c r="AE427" i="3"/>
  <c r="S427" i="3"/>
  <c r="R427" i="3"/>
  <c r="O427" i="3"/>
  <c r="H427" i="3"/>
  <c r="Q427" i="3"/>
  <c r="P427" i="3"/>
  <c r="T427" i="3"/>
  <c r="E457" i="4"/>
  <c r="D457" i="4"/>
  <c r="W461" i="3"/>
  <c r="K461" i="3"/>
  <c r="V461" i="3"/>
  <c r="J461" i="3"/>
  <c r="AE461" i="3"/>
  <c r="S461" i="3"/>
  <c r="R461" i="3"/>
  <c r="P461" i="3"/>
  <c r="O461" i="3"/>
  <c r="U461" i="3"/>
  <c r="T461" i="3"/>
  <c r="Q461" i="3"/>
  <c r="N461" i="3"/>
  <c r="M461" i="3"/>
  <c r="L461" i="3"/>
  <c r="I461" i="3"/>
  <c r="H461" i="3"/>
  <c r="E452" i="4"/>
  <c r="D452" i="4"/>
  <c r="V456" i="3"/>
  <c r="J456" i="3"/>
  <c r="R456" i="3"/>
  <c r="Q456" i="3"/>
  <c r="O456" i="3"/>
  <c r="AE456" i="3"/>
  <c r="L456" i="3"/>
  <c r="K456" i="3"/>
  <c r="I456" i="3"/>
  <c r="H456" i="3"/>
  <c r="W456" i="3"/>
  <c r="U456" i="3"/>
  <c r="T456" i="3"/>
  <c r="S456" i="3"/>
  <c r="P456" i="3"/>
  <c r="N456" i="3"/>
  <c r="M456" i="3"/>
  <c r="E414" i="4"/>
  <c r="D414" i="4"/>
  <c r="Q418" i="3"/>
  <c r="O418" i="3"/>
  <c r="M418" i="3"/>
  <c r="L418" i="3"/>
  <c r="V418" i="3"/>
  <c r="J418" i="3"/>
  <c r="U418" i="3"/>
  <c r="I418" i="3"/>
  <c r="S418" i="3"/>
  <c r="R418" i="3"/>
  <c r="P418" i="3"/>
  <c r="N418" i="3"/>
  <c r="K418" i="3"/>
  <c r="H418" i="3"/>
  <c r="AE418" i="3"/>
  <c r="T418" i="3"/>
  <c r="W418" i="3"/>
  <c r="C464" i="4"/>
  <c r="K464" i="4"/>
  <c r="G464" i="4"/>
  <c r="F464" i="4"/>
  <c r="H464" i="4" s="1"/>
  <c r="B464" i="4"/>
  <c r="E488" i="4"/>
  <c r="D488" i="4"/>
  <c r="U492" i="3"/>
  <c r="I492" i="3"/>
  <c r="AE492" i="3"/>
  <c r="S492" i="3"/>
  <c r="R492" i="3"/>
  <c r="Q492" i="3"/>
  <c r="P492" i="3"/>
  <c r="O492" i="3"/>
  <c r="N492" i="3"/>
  <c r="M492" i="3"/>
  <c r="L492" i="3"/>
  <c r="K492" i="3"/>
  <c r="J492" i="3"/>
  <c r="H492" i="3"/>
  <c r="W492" i="3"/>
  <c r="V492" i="3"/>
  <c r="T492" i="3"/>
  <c r="AB454" i="3"/>
  <c r="AA454" i="3"/>
  <c r="F454" i="3"/>
  <c r="B454" i="3"/>
  <c r="AD454" i="3"/>
  <c r="AC454" i="3"/>
  <c r="J308" i="4"/>
  <c r="I308" i="4"/>
  <c r="E388" i="4"/>
  <c r="D388" i="4"/>
  <c r="L392" i="3"/>
  <c r="W392" i="3"/>
  <c r="K392" i="3"/>
  <c r="V392" i="3"/>
  <c r="J392" i="3"/>
  <c r="U392" i="3"/>
  <c r="I392" i="3"/>
  <c r="AE392" i="3"/>
  <c r="S392" i="3"/>
  <c r="R392" i="3"/>
  <c r="Q392" i="3"/>
  <c r="T392" i="3"/>
  <c r="P392" i="3"/>
  <c r="O392" i="3"/>
  <c r="N392" i="3"/>
  <c r="M392" i="3"/>
  <c r="H392" i="3"/>
  <c r="E340" i="4"/>
  <c r="D340" i="4"/>
  <c r="Q344" i="3"/>
  <c r="P344" i="3"/>
  <c r="O344" i="3"/>
  <c r="N344" i="3"/>
  <c r="M344" i="3"/>
  <c r="L344" i="3"/>
  <c r="W344" i="3"/>
  <c r="K344" i="3"/>
  <c r="V344" i="3"/>
  <c r="J344" i="3"/>
  <c r="U344" i="3"/>
  <c r="I344" i="3"/>
  <c r="T344" i="3"/>
  <c r="S344" i="3"/>
  <c r="R344" i="3"/>
  <c r="H344" i="3"/>
  <c r="AE344" i="3"/>
  <c r="AD387" i="3"/>
  <c r="F387" i="3"/>
  <c r="AC387" i="3"/>
  <c r="AB387" i="3"/>
  <c r="AA387" i="3"/>
  <c r="B387" i="3"/>
  <c r="AC395" i="3"/>
  <c r="AB395" i="3"/>
  <c r="AA395" i="3"/>
  <c r="F395" i="3"/>
  <c r="B395" i="3"/>
  <c r="AD395" i="3"/>
  <c r="F361" i="4"/>
  <c r="H361" i="4" s="1"/>
  <c r="C361" i="4"/>
  <c r="B361" i="4"/>
  <c r="K361" i="4"/>
  <c r="G361" i="4"/>
  <c r="E331" i="4"/>
  <c r="D331" i="4"/>
  <c r="T335" i="3"/>
  <c r="H335" i="3"/>
  <c r="R335" i="3"/>
  <c r="P335" i="3"/>
  <c r="O335" i="3"/>
  <c r="M335" i="3"/>
  <c r="L335" i="3"/>
  <c r="AE335" i="3"/>
  <c r="I335" i="3"/>
  <c r="W335" i="3"/>
  <c r="V335" i="3"/>
  <c r="U335" i="3"/>
  <c r="S335" i="3"/>
  <c r="Q335" i="3"/>
  <c r="N335" i="3"/>
  <c r="K335" i="3"/>
  <c r="J335" i="3"/>
  <c r="G385" i="4"/>
  <c r="F385" i="4"/>
  <c r="H385" i="4" s="1"/>
  <c r="B385" i="4"/>
  <c r="K385" i="4"/>
  <c r="C385" i="4"/>
  <c r="F354" i="3"/>
  <c r="AD354" i="3"/>
  <c r="AC354" i="3"/>
  <c r="AB354" i="3"/>
  <c r="B354" i="3"/>
  <c r="AA354" i="3"/>
  <c r="AC369" i="3"/>
  <c r="AB369" i="3"/>
  <c r="AD369" i="3"/>
  <c r="AA369" i="3"/>
  <c r="F369" i="3"/>
  <c r="B369" i="3"/>
  <c r="J256" i="4"/>
  <c r="I256" i="4"/>
  <c r="C327" i="4"/>
  <c r="B327" i="4"/>
  <c r="K327" i="4"/>
  <c r="G327" i="4"/>
  <c r="F327" i="4"/>
  <c r="H327" i="4" s="1"/>
  <c r="B314" i="4"/>
  <c r="K314" i="4"/>
  <c r="G314" i="4"/>
  <c r="F314" i="4"/>
  <c r="H314" i="4" s="1"/>
  <c r="C314" i="4"/>
  <c r="D295" i="4"/>
  <c r="E295" i="4"/>
  <c r="P299" i="3"/>
  <c r="O299" i="3"/>
  <c r="N299" i="3"/>
  <c r="M299" i="3"/>
  <c r="L299" i="3"/>
  <c r="W299" i="3"/>
  <c r="K299" i="3"/>
  <c r="V299" i="3"/>
  <c r="J299" i="3"/>
  <c r="U299" i="3"/>
  <c r="I299" i="3"/>
  <c r="AE299" i="3"/>
  <c r="T299" i="3"/>
  <c r="S299" i="3"/>
  <c r="R299" i="3"/>
  <c r="Q299" i="3"/>
  <c r="H299" i="3"/>
  <c r="F306" i="4"/>
  <c r="H306" i="4" s="1"/>
  <c r="C306" i="4"/>
  <c r="B306" i="4"/>
  <c r="K306" i="4"/>
  <c r="G306" i="4"/>
  <c r="E286" i="4"/>
  <c r="D286" i="4"/>
  <c r="AE290" i="3"/>
  <c r="S290" i="3"/>
  <c r="R290" i="3"/>
  <c r="Q290" i="3"/>
  <c r="O290" i="3"/>
  <c r="N290" i="3"/>
  <c r="M290" i="3"/>
  <c r="L290" i="3"/>
  <c r="J290" i="3"/>
  <c r="I290" i="3"/>
  <c r="H290" i="3"/>
  <c r="W290" i="3"/>
  <c r="V290" i="3"/>
  <c r="U290" i="3"/>
  <c r="T290" i="3"/>
  <c r="P290" i="3"/>
  <c r="K290" i="3"/>
  <c r="J274" i="4"/>
  <c r="I274" i="4"/>
  <c r="AA330" i="3"/>
  <c r="B330" i="3"/>
  <c r="AD330" i="3"/>
  <c r="AC330" i="3"/>
  <c r="AB330" i="3"/>
  <c r="F330" i="3"/>
  <c r="G260" i="4"/>
  <c r="F260" i="4"/>
  <c r="H260" i="4" s="1"/>
  <c r="C260" i="4"/>
  <c r="B260" i="4"/>
  <c r="K260" i="4"/>
  <c r="AD291" i="3"/>
  <c r="F291" i="3"/>
  <c r="AC291" i="3"/>
  <c r="B291" i="3"/>
  <c r="AB291" i="3"/>
  <c r="AA291" i="3"/>
  <c r="C254" i="4"/>
  <c r="B254" i="4"/>
  <c r="K254" i="4"/>
  <c r="G254" i="4"/>
  <c r="F254" i="4"/>
  <c r="H254" i="4" s="1"/>
  <c r="J237" i="4"/>
  <c r="I237" i="4"/>
  <c r="AA247" i="3"/>
  <c r="AC247" i="3"/>
  <c r="AB247" i="3"/>
  <c r="F247" i="3"/>
  <c r="B247" i="3"/>
  <c r="AD247" i="3"/>
  <c r="E379" i="4"/>
  <c r="D379" i="4"/>
  <c r="O383" i="3"/>
  <c r="N383" i="3"/>
  <c r="V383" i="3"/>
  <c r="J383" i="3"/>
  <c r="T383" i="3"/>
  <c r="H383" i="3"/>
  <c r="R383" i="3"/>
  <c r="Q383" i="3"/>
  <c r="P383" i="3"/>
  <c r="AE383" i="3"/>
  <c r="M383" i="3"/>
  <c r="L383" i="3"/>
  <c r="K383" i="3"/>
  <c r="I383" i="3"/>
  <c r="W383" i="3"/>
  <c r="U383" i="3"/>
  <c r="S383" i="3"/>
  <c r="AC256" i="3"/>
  <c r="F256" i="3"/>
  <c r="B256" i="3"/>
  <c r="AD256" i="3"/>
  <c r="AB256" i="3"/>
  <c r="AA256" i="3"/>
  <c r="E341" i="4"/>
  <c r="D341" i="4"/>
  <c r="V345" i="3"/>
  <c r="J345" i="3"/>
  <c r="U345" i="3"/>
  <c r="I345" i="3"/>
  <c r="T345" i="3"/>
  <c r="H345" i="3"/>
  <c r="AE345" i="3"/>
  <c r="S345" i="3"/>
  <c r="R345" i="3"/>
  <c r="Q345" i="3"/>
  <c r="P345" i="3"/>
  <c r="O345" i="3"/>
  <c r="N345" i="3"/>
  <c r="W345" i="3"/>
  <c r="M345" i="3"/>
  <c r="L345" i="3"/>
  <c r="K345" i="3"/>
  <c r="K231" i="4"/>
  <c r="F231" i="4"/>
  <c r="H231" i="4" s="1"/>
  <c r="C231" i="4"/>
  <c r="B231" i="4"/>
  <c r="G231" i="4"/>
  <c r="B224" i="3"/>
  <c r="AD224" i="3"/>
  <c r="AC224" i="3"/>
  <c r="AB224" i="3"/>
  <c r="AA224" i="3"/>
  <c r="F224" i="3"/>
  <c r="E192" i="4"/>
  <c r="D192" i="4"/>
  <c r="P196" i="3"/>
  <c r="O196" i="3"/>
  <c r="N196" i="3"/>
  <c r="M196" i="3"/>
  <c r="L196" i="3"/>
  <c r="W196" i="3"/>
  <c r="K196" i="3"/>
  <c r="V196" i="3"/>
  <c r="J196" i="3"/>
  <c r="U196" i="3"/>
  <c r="I196" i="3"/>
  <c r="T196" i="3"/>
  <c r="H196" i="3"/>
  <c r="AE196" i="3"/>
  <c r="Q196" i="3"/>
  <c r="S196" i="3"/>
  <c r="R196" i="3"/>
  <c r="AD293" i="3"/>
  <c r="F293" i="3"/>
  <c r="AC293" i="3"/>
  <c r="AB293" i="3"/>
  <c r="AA293" i="3"/>
  <c r="B293" i="3"/>
  <c r="D218" i="4"/>
  <c r="E218" i="4"/>
  <c r="N222" i="3"/>
  <c r="L222" i="3"/>
  <c r="W222" i="3"/>
  <c r="K222" i="3"/>
  <c r="V222" i="3"/>
  <c r="J222" i="3"/>
  <c r="M222" i="3"/>
  <c r="I222" i="3"/>
  <c r="H222" i="3"/>
  <c r="U222" i="3"/>
  <c r="T222" i="3"/>
  <c r="S222" i="3"/>
  <c r="R222" i="3"/>
  <c r="AE222" i="3"/>
  <c r="Q222" i="3"/>
  <c r="P222" i="3"/>
  <c r="O222" i="3"/>
  <c r="AD204" i="3"/>
  <c r="F204" i="3"/>
  <c r="AC204" i="3"/>
  <c r="AB204" i="3"/>
  <c r="AA204" i="3"/>
  <c r="B204" i="3"/>
  <c r="E140" i="4"/>
  <c r="D140" i="4"/>
  <c r="O144" i="3"/>
  <c r="N144" i="3"/>
  <c r="M144" i="3"/>
  <c r="L144" i="3"/>
  <c r="W144" i="3"/>
  <c r="K144" i="3"/>
  <c r="V144" i="3"/>
  <c r="J144" i="3"/>
  <c r="U144" i="3"/>
  <c r="I144" i="3"/>
  <c r="T144" i="3"/>
  <c r="S144" i="3"/>
  <c r="R144" i="3"/>
  <c r="Q144" i="3"/>
  <c r="P144" i="3"/>
  <c r="AE144" i="3"/>
  <c r="H144" i="3"/>
  <c r="AC223" i="3"/>
  <c r="AB223" i="3"/>
  <c r="AA223" i="3"/>
  <c r="AD223" i="3"/>
  <c r="F223" i="3"/>
  <c r="B223" i="3"/>
  <c r="G198" i="4"/>
  <c r="F198" i="4"/>
  <c r="H198" i="4" s="1"/>
  <c r="C198" i="4"/>
  <c r="B198" i="4"/>
  <c r="K198" i="4"/>
  <c r="E138" i="4"/>
  <c r="D138" i="4"/>
  <c r="Q142" i="3"/>
  <c r="O142" i="3"/>
  <c r="N142" i="3"/>
  <c r="M142" i="3"/>
  <c r="L142" i="3"/>
  <c r="W142" i="3"/>
  <c r="K142" i="3"/>
  <c r="S142" i="3"/>
  <c r="R142" i="3"/>
  <c r="P142" i="3"/>
  <c r="AE142" i="3"/>
  <c r="J142" i="3"/>
  <c r="I142" i="3"/>
  <c r="H142" i="3"/>
  <c r="V142" i="3"/>
  <c r="U142" i="3"/>
  <c r="T142" i="3"/>
  <c r="AC169" i="3"/>
  <c r="AD169" i="3"/>
  <c r="AB169" i="3"/>
  <c r="AA169" i="3"/>
  <c r="F169" i="3"/>
  <c r="B169" i="3"/>
  <c r="D143" i="4"/>
  <c r="E143" i="4"/>
  <c r="R147" i="3"/>
  <c r="Q147" i="3"/>
  <c r="P147" i="3"/>
  <c r="O147" i="3"/>
  <c r="N147" i="3"/>
  <c r="M147" i="3"/>
  <c r="L147" i="3"/>
  <c r="AE147" i="3"/>
  <c r="W147" i="3"/>
  <c r="V147" i="3"/>
  <c r="U147" i="3"/>
  <c r="T147" i="3"/>
  <c r="S147" i="3"/>
  <c r="K147" i="3"/>
  <c r="J147" i="3"/>
  <c r="I147" i="3"/>
  <c r="H147" i="3"/>
  <c r="AD179" i="3"/>
  <c r="F179" i="3"/>
  <c r="AC179" i="3"/>
  <c r="AB179" i="3"/>
  <c r="AA179" i="3"/>
  <c r="B179" i="3"/>
  <c r="E148" i="4"/>
  <c r="D148" i="4"/>
  <c r="AE152" i="3"/>
  <c r="S152" i="3"/>
  <c r="R152" i="3"/>
  <c r="Q152" i="3"/>
  <c r="P152" i="3"/>
  <c r="O152" i="3"/>
  <c r="N152" i="3"/>
  <c r="M152" i="3"/>
  <c r="U152" i="3"/>
  <c r="I152" i="3"/>
  <c r="J152" i="3"/>
  <c r="H152" i="3"/>
  <c r="W152" i="3"/>
  <c r="V152" i="3"/>
  <c r="T152" i="3"/>
  <c r="L152" i="3"/>
  <c r="K152" i="3"/>
  <c r="K165" i="4"/>
  <c r="G165" i="4"/>
  <c r="F165" i="4"/>
  <c r="H165" i="4" s="1"/>
  <c r="B165" i="4"/>
  <c r="C165" i="4"/>
  <c r="C120" i="4"/>
  <c r="B120" i="4"/>
  <c r="K120" i="4"/>
  <c r="F120" i="4"/>
  <c r="H120" i="4" s="1"/>
  <c r="G120" i="4"/>
  <c r="AD153" i="3"/>
  <c r="F153" i="3"/>
  <c r="B153" i="3"/>
  <c r="AC153" i="3"/>
  <c r="AB153" i="3"/>
  <c r="AA153" i="3"/>
  <c r="K236" i="4"/>
  <c r="G236" i="4"/>
  <c r="F236" i="4"/>
  <c r="H236" i="4" s="1"/>
  <c r="C236" i="4"/>
  <c r="B236" i="4"/>
  <c r="G174" i="4"/>
  <c r="K174" i="4"/>
  <c r="F174" i="4"/>
  <c r="H174" i="4" s="1"/>
  <c r="C174" i="4"/>
  <c r="B174" i="4"/>
  <c r="G127" i="4"/>
  <c r="F127" i="4"/>
  <c r="H127" i="4" s="1"/>
  <c r="C127" i="4"/>
  <c r="K127" i="4"/>
  <c r="B127" i="4"/>
  <c r="J85" i="4"/>
  <c r="I85" i="4"/>
  <c r="J90" i="4"/>
  <c r="I90" i="4"/>
  <c r="J59" i="4"/>
  <c r="I59" i="4"/>
  <c r="AD126" i="3"/>
  <c r="F126" i="3"/>
  <c r="AC126" i="3"/>
  <c r="AB126" i="3"/>
  <c r="AA126" i="3"/>
  <c r="B126" i="3"/>
  <c r="E62" i="4"/>
  <c r="D62" i="4"/>
  <c r="P66" i="3"/>
  <c r="M66" i="3"/>
  <c r="L66" i="3"/>
  <c r="V66" i="3"/>
  <c r="J66" i="3"/>
  <c r="U66" i="3"/>
  <c r="I66" i="3"/>
  <c r="N66" i="3"/>
  <c r="AE66" i="3"/>
  <c r="K66" i="3"/>
  <c r="H66" i="3"/>
  <c r="W66" i="3"/>
  <c r="T66" i="3"/>
  <c r="S66" i="3"/>
  <c r="R66" i="3"/>
  <c r="Q66" i="3"/>
  <c r="O66" i="3"/>
  <c r="B94" i="4"/>
  <c r="C94" i="4"/>
  <c r="K94" i="4"/>
  <c r="G94" i="4"/>
  <c r="F94" i="4"/>
  <c r="H94" i="4" s="1"/>
  <c r="E70" i="4"/>
  <c r="D70" i="4"/>
  <c r="T74" i="3"/>
  <c r="H74" i="3"/>
  <c r="Q74" i="3"/>
  <c r="P74" i="3"/>
  <c r="N74" i="3"/>
  <c r="M74" i="3"/>
  <c r="O74" i="3"/>
  <c r="L74" i="3"/>
  <c r="AE74" i="3"/>
  <c r="K74" i="3"/>
  <c r="J74" i="3"/>
  <c r="I74" i="3"/>
  <c r="W74" i="3"/>
  <c r="V74" i="3"/>
  <c r="U74" i="3"/>
  <c r="S74" i="3"/>
  <c r="R74" i="3"/>
  <c r="E61" i="4"/>
  <c r="D61" i="4"/>
  <c r="W65" i="3"/>
  <c r="K65" i="3"/>
  <c r="T65" i="3"/>
  <c r="H65" i="3"/>
  <c r="AE65" i="3"/>
  <c r="S65" i="3"/>
  <c r="Q65" i="3"/>
  <c r="P65" i="3"/>
  <c r="V65" i="3"/>
  <c r="U65" i="3"/>
  <c r="R65" i="3"/>
  <c r="O65" i="3"/>
  <c r="N65" i="3"/>
  <c r="M65" i="3"/>
  <c r="L65" i="3"/>
  <c r="J65" i="3"/>
  <c r="I65" i="3"/>
  <c r="AD38" i="3"/>
  <c r="F38" i="3"/>
  <c r="AC38" i="3"/>
  <c r="AB38" i="3"/>
  <c r="AA38" i="3"/>
  <c r="B38" i="3"/>
  <c r="J18" i="4"/>
  <c r="I18" i="4"/>
  <c r="J80" i="4"/>
  <c r="I80" i="4"/>
  <c r="AB22" i="3"/>
  <c r="AA22" i="3"/>
  <c r="B22" i="3"/>
  <c r="AD22" i="3"/>
  <c r="F22" i="3"/>
  <c r="AC22" i="3"/>
  <c r="D81" i="4"/>
  <c r="E81" i="4"/>
  <c r="Q85" i="3"/>
  <c r="O85" i="3"/>
  <c r="L85" i="3"/>
  <c r="W85" i="3"/>
  <c r="K85" i="3"/>
  <c r="U85" i="3"/>
  <c r="I85" i="3"/>
  <c r="T85" i="3"/>
  <c r="H85" i="3"/>
  <c r="R85" i="3"/>
  <c r="AE85" i="3"/>
  <c r="V85" i="3"/>
  <c r="S85" i="3"/>
  <c r="P85" i="3"/>
  <c r="N85" i="3"/>
  <c r="M85" i="3"/>
  <c r="J85" i="3"/>
  <c r="B51" i="4"/>
  <c r="G51" i="4"/>
  <c r="F51" i="4"/>
  <c r="H51" i="4" s="1"/>
  <c r="C51" i="4"/>
  <c r="K51" i="4"/>
  <c r="E21" i="4"/>
  <c r="D21" i="4"/>
  <c r="AE25" i="3"/>
  <c r="S25" i="3"/>
  <c r="R25" i="3"/>
  <c r="Q25" i="3"/>
  <c r="P25" i="3"/>
  <c r="O25" i="3"/>
  <c r="N25" i="3"/>
  <c r="M25" i="3"/>
  <c r="L25" i="3"/>
  <c r="W25" i="3"/>
  <c r="K25" i="3"/>
  <c r="V25" i="3"/>
  <c r="J25" i="3"/>
  <c r="U25" i="3"/>
  <c r="I25" i="3"/>
  <c r="T25" i="3"/>
  <c r="H25" i="3"/>
  <c r="E68" i="4"/>
  <c r="D68" i="4"/>
  <c r="V72" i="3"/>
  <c r="J72" i="3"/>
  <c r="AE72" i="3"/>
  <c r="S72" i="3"/>
  <c r="R72" i="3"/>
  <c r="P72" i="3"/>
  <c r="O72" i="3"/>
  <c r="U72" i="3"/>
  <c r="T72" i="3"/>
  <c r="Q72" i="3"/>
  <c r="N72" i="3"/>
  <c r="M72" i="3"/>
  <c r="L72" i="3"/>
  <c r="K72" i="3"/>
  <c r="I72" i="3"/>
  <c r="H72" i="3"/>
  <c r="W72" i="3"/>
  <c r="J24" i="4"/>
  <c r="I24" i="4"/>
  <c r="I34" i="4"/>
  <c r="J34" i="4"/>
  <c r="AD14" i="3"/>
  <c r="F14" i="3"/>
  <c r="AC14" i="3"/>
  <c r="AB14" i="3"/>
  <c r="AA14" i="3"/>
  <c r="B14" i="3"/>
  <c r="C462" i="4"/>
  <c r="B462" i="4"/>
  <c r="K462" i="4"/>
  <c r="F462" i="4"/>
  <c r="H462" i="4" s="1"/>
  <c r="G462" i="4"/>
  <c r="E363" i="4"/>
  <c r="D363" i="4"/>
  <c r="AE367" i="3"/>
  <c r="S367" i="3"/>
  <c r="R367" i="3"/>
  <c r="N367" i="3"/>
  <c r="K367" i="3"/>
  <c r="J367" i="3"/>
  <c r="I367" i="3"/>
  <c r="W367" i="3"/>
  <c r="H367" i="3"/>
  <c r="V367" i="3"/>
  <c r="U367" i="3"/>
  <c r="T367" i="3"/>
  <c r="Q367" i="3"/>
  <c r="P367" i="3"/>
  <c r="L367" i="3"/>
  <c r="O367" i="3"/>
  <c r="M367" i="3"/>
  <c r="J331" i="4"/>
  <c r="I331" i="4"/>
  <c r="AB360" i="3"/>
  <c r="AA360" i="3"/>
  <c r="F360" i="3"/>
  <c r="AD360" i="3"/>
  <c r="AC360" i="3"/>
  <c r="B360" i="3"/>
  <c r="J501" i="4"/>
  <c r="I501" i="4"/>
  <c r="AD489" i="3"/>
  <c r="F489" i="3"/>
  <c r="AB489" i="3"/>
  <c r="B489" i="3"/>
  <c r="AC489" i="3"/>
  <c r="AA489" i="3"/>
  <c r="J451" i="4"/>
  <c r="I451" i="4"/>
  <c r="I456" i="4"/>
  <c r="J456" i="4"/>
  <c r="G490" i="4"/>
  <c r="F490" i="4"/>
  <c r="H490" i="4" s="1"/>
  <c r="C490" i="4"/>
  <c r="B490" i="4"/>
  <c r="K490" i="4"/>
  <c r="C475" i="4"/>
  <c r="B475" i="4"/>
  <c r="G475" i="4"/>
  <c r="F475" i="4"/>
  <c r="H475" i="4" s="1"/>
  <c r="K475" i="4"/>
  <c r="AD449" i="3"/>
  <c r="F449" i="3"/>
  <c r="B449" i="3"/>
  <c r="AC449" i="3"/>
  <c r="AB449" i="3"/>
  <c r="AA449" i="3"/>
  <c r="J394" i="4"/>
  <c r="I394" i="4"/>
  <c r="J428" i="4"/>
  <c r="I428" i="4"/>
  <c r="B442" i="3"/>
  <c r="AD442" i="3"/>
  <c r="AC442" i="3"/>
  <c r="AB442" i="3"/>
  <c r="AA442" i="3"/>
  <c r="F442" i="3"/>
  <c r="E426" i="4"/>
  <c r="D426" i="4"/>
  <c r="Q430" i="3"/>
  <c r="P430" i="3"/>
  <c r="O430" i="3"/>
  <c r="N430" i="3"/>
  <c r="M430" i="3"/>
  <c r="L430" i="3"/>
  <c r="W430" i="3"/>
  <c r="K430" i="3"/>
  <c r="V430" i="3"/>
  <c r="J430" i="3"/>
  <c r="U430" i="3"/>
  <c r="I430" i="3"/>
  <c r="AE430" i="3"/>
  <c r="T430" i="3"/>
  <c r="S430" i="3"/>
  <c r="R430" i="3"/>
  <c r="H430" i="3"/>
  <c r="J402" i="4"/>
  <c r="I402" i="4"/>
  <c r="E462" i="4"/>
  <c r="D462" i="4"/>
  <c r="L466" i="3"/>
  <c r="W466" i="3"/>
  <c r="K466" i="3"/>
  <c r="T466" i="3"/>
  <c r="H466" i="3"/>
  <c r="AE466" i="3"/>
  <c r="S466" i="3"/>
  <c r="Q466" i="3"/>
  <c r="P466" i="3"/>
  <c r="N466" i="3"/>
  <c r="M466" i="3"/>
  <c r="J466" i="3"/>
  <c r="I466" i="3"/>
  <c r="V466" i="3"/>
  <c r="U466" i="3"/>
  <c r="R466" i="3"/>
  <c r="O466" i="3"/>
  <c r="B449" i="4"/>
  <c r="G449" i="4"/>
  <c r="F449" i="4"/>
  <c r="H449" i="4" s="1"/>
  <c r="K449" i="4"/>
  <c r="C449" i="4"/>
  <c r="AD428" i="3"/>
  <c r="F428" i="3"/>
  <c r="AC428" i="3"/>
  <c r="AB428" i="3"/>
  <c r="AA428" i="3"/>
  <c r="B428" i="3"/>
  <c r="I410" i="4"/>
  <c r="J410" i="4"/>
  <c r="AB462" i="3"/>
  <c r="AA462" i="3"/>
  <c r="AD462" i="3"/>
  <c r="F462" i="3"/>
  <c r="AC462" i="3"/>
  <c r="B462" i="3"/>
  <c r="F481" i="3"/>
  <c r="AD481" i="3"/>
  <c r="AC481" i="3"/>
  <c r="AB481" i="3"/>
  <c r="AA481" i="3"/>
  <c r="B481" i="3"/>
  <c r="K403" i="4"/>
  <c r="G403" i="4"/>
  <c r="F403" i="4"/>
  <c r="H403" i="4" s="1"/>
  <c r="B403" i="4"/>
  <c r="C403" i="4"/>
  <c r="E370" i="4"/>
  <c r="D370" i="4"/>
  <c r="R374" i="3"/>
  <c r="Q374" i="3"/>
  <c r="M374" i="3"/>
  <c r="AE374" i="3"/>
  <c r="N374" i="3"/>
  <c r="L374" i="3"/>
  <c r="K374" i="3"/>
  <c r="J374" i="3"/>
  <c r="I374" i="3"/>
  <c r="W374" i="3"/>
  <c r="H374" i="3"/>
  <c r="V374" i="3"/>
  <c r="U374" i="3"/>
  <c r="T374" i="3"/>
  <c r="S374" i="3"/>
  <c r="P374" i="3"/>
  <c r="O374" i="3"/>
  <c r="J387" i="4"/>
  <c r="I387" i="4"/>
  <c r="C450" i="4"/>
  <c r="B450" i="4"/>
  <c r="K450" i="4"/>
  <c r="F450" i="4"/>
  <c r="H450" i="4" s="1"/>
  <c r="G450" i="4"/>
  <c r="E344" i="4"/>
  <c r="D344" i="4"/>
  <c r="M348" i="3"/>
  <c r="L348" i="3"/>
  <c r="W348" i="3"/>
  <c r="K348" i="3"/>
  <c r="V348" i="3"/>
  <c r="J348" i="3"/>
  <c r="U348" i="3"/>
  <c r="I348" i="3"/>
  <c r="T348" i="3"/>
  <c r="H348" i="3"/>
  <c r="AE348" i="3"/>
  <c r="S348" i="3"/>
  <c r="R348" i="3"/>
  <c r="Q348" i="3"/>
  <c r="P348" i="3"/>
  <c r="O348" i="3"/>
  <c r="N348" i="3"/>
  <c r="E383" i="4"/>
  <c r="D383" i="4"/>
  <c r="W387" i="3"/>
  <c r="K387" i="3"/>
  <c r="V387" i="3"/>
  <c r="J387" i="3"/>
  <c r="T387" i="3"/>
  <c r="R387" i="3"/>
  <c r="P387" i="3"/>
  <c r="L387" i="3"/>
  <c r="AE387" i="3"/>
  <c r="I387" i="3"/>
  <c r="H387" i="3"/>
  <c r="U387" i="3"/>
  <c r="S387" i="3"/>
  <c r="Q387" i="3"/>
  <c r="O387" i="3"/>
  <c r="N387" i="3"/>
  <c r="M387" i="3"/>
  <c r="D328" i="4"/>
  <c r="E328" i="4"/>
  <c r="Q332" i="3"/>
  <c r="M332" i="3"/>
  <c r="L332" i="3"/>
  <c r="V332" i="3"/>
  <c r="J332" i="3"/>
  <c r="U332" i="3"/>
  <c r="I332" i="3"/>
  <c r="K332" i="3"/>
  <c r="AE332" i="3"/>
  <c r="H332" i="3"/>
  <c r="W332" i="3"/>
  <c r="T332" i="3"/>
  <c r="S332" i="3"/>
  <c r="R332" i="3"/>
  <c r="P332" i="3"/>
  <c r="O332" i="3"/>
  <c r="N332" i="3"/>
  <c r="J316" i="4"/>
  <c r="I316" i="4"/>
  <c r="J345" i="4"/>
  <c r="I345" i="4"/>
  <c r="E391" i="4"/>
  <c r="D391" i="4"/>
  <c r="V395" i="3"/>
  <c r="J395" i="3"/>
  <c r="Q395" i="3"/>
  <c r="N395" i="3"/>
  <c r="M395" i="3"/>
  <c r="L395" i="3"/>
  <c r="K395" i="3"/>
  <c r="I395" i="3"/>
  <c r="W395" i="3"/>
  <c r="H395" i="3"/>
  <c r="U395" i="3"/>
  <c r="T395" i="3"/>
  <c r="R395" i="3"/>
  <c r="P395" i="3"/>
  <c r="O395" i="3"/>
  <c r="S395" i="3"/>
  <c r="AE395" i="3"/>
  <c r="E343" i="4"/>
  <c r="D343" i="4"/>
  <c r="T347" i="3"/>
  <c r="H347" i="3"/>
  <c r="AE347" i="3"/>
  <c r="S347" i="3"/>
  <c r="R347" i="3"/>
  <c r="Q347" i="3"/>
  <c r="P347" i="3"/>
  <c r="O347" i="3"/>
  <c r="N347" i="3"/>
  <c r="M347" i="3"/>
  <c r="L347" i="3"/>
  <c r="W347" i="3"/>
  <c r="V347" i="3"/>
  <c r="U347" i="3"/>
  <c r="K347" i="3"/>
  <c r="J347" i="3"/>
  <c r="I347" i="3"/>
  <c r="E348" i="4"/>
  <c r="D348" i="4"/>
  <c r="U352" i="3"/>
  <c r="I352" i="3"/>
  <c r="T352" i="3"/>
  <c r="H352" i="3"/>
  <c r="AE352" i="3"/>
  <c r="S352" i="3"/>
  <c r="R352" i="3"/>
  <c r="Q352" i="3"/>
  <c r="P352" i="3"/>
  <c r="O352" i="3"/>
  <c r="N352" i="3"/>
  <c r="M352" i="3"/>
  <c r="V352" i="3"/>
  <c r="L352" i="3"/>
  <c r="K352" i="3"/>
  <c r="J352" i="3"/>
  <c r="W352" i="3"/>
  <c r="J336" i="4"/>
  <c r="I336" i="4"/>
  <c r="B289" i="3"/>
  <c r="F289" i="3"/>
  <c r="AD289" i="3"/>
  <c r="AC289" i="3"/>
  <c r="AB289" i="3"/>
  <c r="AA289" i="3"/>
  <c r="F356" i="3"/>
  <c r="AD356" i="3"/>
  <c r="AC356" i="3"/>
  <c r="AB356" i="3"/>
  <c r="B356" i="3"/>
  <c r="AA356" i="3"/>
  <c r="E288" i="4"/>
  <c r="D288" i="4"/>
  <c r="Q292" i="3"/>
  <c r="P292" i="3"/>
  <c r="O292" i="3"/>
  <c r="N292" i="3"/>
  <c r="M292" i="3"/>
  <c r="L292" i="3"/>
  <c r="W292" i="3"/>
  <c r="K292" i="3"/>
  <c r="V292" i="3"/>
  <c r="J292" i="3"/>
  <c r="AE292" i="3"/>
  <c r="U292" i="3"/>
  <c r="T292" i="3"/>
  <c r="S292" i="3"/>
  <c r="R292" i="3"/>
  <c r="I292" i="3"/>
  <c r="H292" i="3"/>
  <c r="J276" i="4"/>
  <c r="I276" i="4"/>
  <c r="K323" i="4"/>
  <c r="G323" i="4"/>
  <c r="F323" i="4"/>
  <c r="H323" i="4" s="1"/>
  <c r="B323" i="4"/>
  <c r="C323" i="4"/>
  <c r="E257" i="4"/>
  <c r="D257" i="4"/>
  <c r="R261" i="3"/>
  <c r="M261" i="3"/>
  <c r="V261" i="3"/>
  <c r="H261" i="3"/>
  <c r="U261" i="3"/>
  <c r="T261" i="3"/>
  <c r="S261" i="3"/>
  <c r="Q261" i="3"/>
  <c r="AE261" i="3"/>
  <c r="P261" i="3"/>
  <c r="O261" i="3"/>
  <c r="N261" i="3"/>
  <c r="L261" i="3"/>
  <c r="W261" i="3"/>
  <c r="K261" i="3"/>
  <c r="J261" i="3"/>
  <c r="I261" i="3"/>
  <c r="AC276" i="3"/>
  <c r="AB276" i="3"/>
  <c r="AA276" i="3"/>
  <c r="B276" i="3"/>
  <c r="F276" i="3"/>
  <c r="AD276" i="3"/>
  <c r="D304" i="4"/>
  <c r="E304" i="4"/>
  <c r="Q308" i="3"/>
  <c r="L308" i="3"/>
  <c r="K308" i="3"/>
  <c r="J308" i="3"/>
  <c r="W308" i="3"/>
  <c r="I308" i="3"/>
  <c r="V308" i="3"/>
  <c r="H308" i="3"/>
  <c r="U308" i="3"/>
  <c r="T308" i="3"/>
  <c r="S308" i="3"/>
  <c r="R308" i="3"/>
  <c r="AE308" i="3"/>
  <c r="P308" i="3"/>
  <c r="O308" i="3"/>
  <c r="N308" i="3"/>
  <c r="M308" i="3"/>
  <c r="K287" i="4"/>
  <c r="G287" i="4"/>
  <c r="F287" i="4"/>
  <c r="H287" i="4" s="1"/>
  <c r="C287" i="4"/>
  <c r="B287" i="4"/>
  <c r="B254" i="3"/>
  <c r="F254" i="3"/>
  <c r="AD254" i="3"/>
  <c r="AC254" i="3"/>
  <c r="AB254" i="3"/>
  <c r="AA254" i="3"/>
  <c r="G259" i="4"/>
  <c r="F259" i="4"/>
  <c r="H259" i="4" s="1"/>
  <c r="C259" i="4"/>
  <c r="B259" i="4"/>
  <c r="K259" i="4"/>
  <c r="E211" i="4"/>
  <c r="D211" i="4"/>
  <c r="O215" i="3"/>
  <c r="M215" i="3"/>
  <c r="W215" i="3"/>
  <c r="K215" i="3"/>
  <c r="AE215" i="3"/>
  <c r="P215" i="3"/>
  <c r="N215" i="3"/>
  <c r="L215" i="3"/>
  <c r="J215" i="3"/>
  <c r="I215" i="3"/>
  <c r="H215" i="3"/>
  <c r="V215" i="3"/>
  <c r="U215" i="3"/>
  <c r="T215" i="3"/>
  <c r="R215" i="3"/>
  <c r="S215" i="3"/>
  <c r="Q215" i="3"/>
  <c r="AA258" i="3"/>
  <c r="B258" i="3"/>
  <c r="AD258" i="3"/>
  <c r="AC258" i="3"/>
  <c r="AB258" i="3"/>
  <c r="F258" i="3"/>
  <c r="B277" i="3"/>
  <c r="AD277" i="3"/>
  <c r="AC277" i="3"/>
  <c r="AB277" i="3"/>
  <c r="F277" i="3"/>
  <c r="AA277" i="3"/>
  <c r="AB251" i="3"/>
  <c r="B251" i="3"/>
  <c r="AD251" i="3"/>
  <c r="AC251" i="3"/>
  <c r="AA251" i="3"/>
  <c r="F251" i="3"/>
  <c r="E229" i="4"/>
  <c r="D229" i="4"/>
  <c r="U233" i="3"/>
  <c r="I233" i="3"/>
  <c r="T233" i="3"/>
  <c r="H233" i="3"/>
  <c r="AE233" i="3"/>
  <c r="S233" i="3"/>
  <c r="R233" i="3"/>
  <c r="Q233" i="3"/>
  <c r="W233" i="3"/>
  <c r="V233" i="3"/>
  <c r="P233" i="3"/>
  <c r="O233" i="3"/>
  <c r="N233" i="3"/>
  <c r="M233" i="3"/>
  <c r="L233" i="3"/>
  <c r="K233" i="3"/>
  <c r="J233" i="3"/>
  <c r="E278" i="4"/>
  <c r="D278" i="4"/>
  <c r="O282" i="3"/>
  <c r="W282" i="3"/>
  <c r="K282" i="3"/>
  <c r="V282" i="3"/>
  <c r="J282" i="3"/>
  <c r="U282" i="3"/>
  <c r="I282" i="3"/>
  <c r="T282" i="3"/>
  <c r="H282" i="3"/>
  <c r="P282" i="3"/>
  <c r="N282" i="3"/>
  <c r="AE282" i="3"/>
  <c r="M282" i="3"/>
  <c r="L282" i="3"/>
  <c r="Q282" i="3"/>
  <c r="S282" i="3"/>
  <c r="R282" i="3"/>
  <c r="K215" i="4"/>
  <c r="G215" i="4"/>
  <c r="F215" i="4"/>
  <c r="H215" i="4" s="1"/>
  <c r="C215" i="4"/>
  <c r="B215" i="4"/>
  <c r="AA259" i="3"/>
  <c r="AC259" i="3"/>
  <c r="AB259" i="3"/>
  <c r="F259" i="3"/>
  <c r="B259" i="3"/>
  <c r="AD259" i="3"/>
  <c r="B229" i="4"/>
  <c r="K229" i="4"/>
  <c r="G229" i="4"/>
  <c r="F229" i="4"/>
  <c r="H229" i="4" s="1"/>
  <c r="C229" i="4"/>
  <c r="G220" i="4"/>
  <c r="F220" i="4"/>
  <c r="H220" i="4" s="1"/>
  <c r="C220" i="4"/>
  <c r="B220" i="4"/>
  <c r="K220" i="4"/>
  <c r="E289" i="4"/>
  <c r="D289" i="4"/>
  <c r="V293" i="3"/>
  <c r="J293" i="3"/>
  <c r="U293" i="3"/>
  <c r="I293" i="3"/>
  <c r="T293" i="3"/>
  <c r="H293" i="3"/>
  <c r="AE293" i="3"/>
  <c r="S293" i="3"/>
  <c r="R293" i="3"/>
  <c r="Q293" i="3"/>
  <c r="P293" i="3"/>
  <c r="O293" i="3"/>
  <c r="W293" i="3"/>
  <c r="N293" i="3"/>
  <c r="M293" i="3"/>
  <c r="L293" i="3"/>
  <c r="K293" i="3"/>
  <c r="AB196" i="3"/>
  <c r="AA196" i="3"/>
  <c r="B196" i="3"/>
  <c r="F196" i="3"/>
  <c r="AD196" i="3"/>
  <c r="AC196" i="3"/>
  <c r="E173" i="4"/>
  <c r="D173" i="4"/>
  <c r="N177" i="3"/>
  <c r="M177" i="3"/>
  <c r="L177" i="3"/>
  <c r="W177" i="3"/>
  <c r="K177" i="3"/>
  <c r="V177" i="3"/>
  <c r="U177" i="3"/>
  <c r="I177" i="3"/>
  <c r="T177" i="3"/>
  <c r="S177" i="3"/>
  <c r="R177" i="3"/>
  <c r="Q177" i="3"/>
  <c r="P177" i="3"/>
  <c r="O177" i="3"/>
  <c r="J177" i="3"/>
  <c r="H177" i="3"/>
  <c r="AE177" i="3"/>
  <c r="AC201" i="3"/>
  <c r="AB201" i="3"/>
  <c r="AA201" i="3"/>
  <c r="B201" i="3"/>
  <c r="F201" i="3"/>
  <c r="AD201" i="3"/>
  <c r="AB189" i="3"/>
  <c r="B189" i="3"/>
  <c r="F189" i="3"/>
  <c r="AD189" i="3"/>
  <c r="AC189" i="3"/>
  <c r="AA189" i="3"/>
  <c r="B177" i="3"/>
  <c r="AA177" i="3"/>
  <c r="AC177" i="3"/>
  <c r="F177" i="3"/>
  <c r="AD177" i="3"/>
  <c r="AB177" i="3"/>
  <c r="E195" i="4"/>
  <c r="D195" i="4"/>
  <c r="AE199" i="3"/>
  <c r="S199" i="3"/>
  <c r="R199" i="3"/>
  <c r="Q199" i="3"/>
  <c r="P199" i="3"/>
  <c r="O199" i="3"/>
  <c r="N199" i="3"/>
  <c r="M199" i="3"/>
  <c r="L199" i="3"/>
  <c r="W199" i="3"/>
  <c r="K199" i="3"/>
  <c r="V199" i="3"/>
  <c r="I199" i="3"/>
  <c r="U199" i="3"/>
  <c r="T199" i="3"/>
  <c r="J199" i="3"/>
  <c r="H199" i="3"/>
  <c r="J188" i="4"/>
  <c r="I188" i="4"/>
  <c r="G249" i="4"/>
  <c r="F249" i="4"/>
  <c r="H249" i="4" s="1"/>
  <c r="K249" i="4"/>
  <c r="C249" i="4"/>
  <c r="B249" i="4"/>
  <c r="B222" i="3"/>
  <c r="AD222" i="3"/>
  <c r="AC222" i="3"/>
  <c r="AB222" i="3"/>
  <c r="AA222" i="3"/>
  <c r="F222" i="3"/>
  <c r="E181" i="4"/>
  <c r="D181" i="4"/>
  <c r="R185" i="3"/>
  <c r="Q185" i="3"/>
  <c r="P185" i="3"/>
  <c r="O185" i="3"/>
  <c r="N185" i="3"/>
  <c r="M185" i="3"/>
  <c r="T185" i="3"/>
  <c r="S185" i="3"/>
  <c r="L185" i="3"/>
  <c r="K185" i="3"/>
  <c r="J185" i="3"/>
  <c r="I185" i="3"/>
  <c r="AE185" i="3"/>
  <c r="H185" i="3"/>
  <c r="V185" i="3"/>
  <c r="W185" i="3"/>
  <c r="U185" i="3"/>
  <c r="J128" i="4"/>
  <c r="I128" i="4"/>
  <c r="D219" i="4"/>
  <c r="E219" i="4"/>
  <c r="AE223" i="3"/>
  <c r="S223" i="3"/>
  <c r="Q223" i="3"/>
  <c r="P223" i="3"/>
  <c r="O223" i="3"/>
  <c r="R223" i="3"/>
  <c r="N223" i="3"/>
  <c r="M223" i="3"/>
  <c r="L223" i="3"/>
  <c r="K223" i="3"/>
  <c r="J223" i="3"/>
  <c r="I223" i="3"/>
  <c r="H223" i="3"/>
  <c r="W223" i="3"/>
  <c r="U223" i="3"/>
  <c r="T223" i="3"/>
  <c r="V223" i="3"/>
  <c r="D133" i="4"/>
  <c r="E133" i="4"/>
  <c r="P137" i="3"/>
  <c r="N137" i="3"/>
  <c r="M137" i="3"/>
  <c r="L137" i="3"/>
  <c r="W137" i="3"/>
  <c r="K137" i="3"/>
  <c r="V137" i="3"/>
  <c r="J137" i="3"/>
  <c r="T137" i="3"/>
  <c r="S137" i="3"/>
  <c r="R137" i="3"/>
  <c r="Q137" i="3"/>
  <c r="O137" i="3"/>
  <c r="I137" i="3"/>
  <c r="H137" i="3"/>
  <c r="AE137" i="3"/>
  <c r="U137" i="3"/>
  <c r="J121" i="4"/>
  <c r="I121" i="4"/>
  <c r="K175" i="4"/>
  <c r="G175" i="4"/>
  <c r="F175" i="4"/>
  <c r="H175" i="4" s="1"/>
  <c r="B175" i="4"/>
  <c r="C175" i="4"/>
  <c r="AB123" i="3"/>
  <c r="AA123" i="3"/>
  <c r="B123" i="3"/>
  <c r="AD123" i="3"/>
  <c r="AC123" i="3"/>
  <c r="F123" i="3"/>
  <c r="AA168" i="3"/>
  <c r="AD168" i="3"/>
  <c r="AC168" i="3"/>
  <c r="AB168" i="3"/>
  <c r="F168" i="3"/>
  <c r="B168" i="3"/>
  <c r="E118" i="4"/>
  <c r="D118" i="4"/>
  <c r="W122" i="3"/>
  <c r="K122" i="3"/>
  <c r="V122" i="3"/>
  <c r="J122" i="3"/>
  <c r="U122" i="3"/>
  <c r="I122" i="3"/>
  <c r="T122" i="3"/>
  <c r="H122" i="3"/>
  <c r="AE122" i="3"/>
  <c r="S122" i="3"/>
  <c r="R122" i="3"/>
  <c r="Q122" i="3"/>
  <c r="P122" i="3"/>
  <c r="O122" i="3"/>
  <c r="N122" i="3"/>
  <c r="M122" i="3"/>
  <c r="L122" i="3"/>
  <c r="G125" i="4"/>
  <c r="F125" i="4"/>
  <c r="H125" i="4" s="1"/>
  <c r="C125" i="4"/>
  <c r="B125" i="4"/>
  <c r="K125" i="4"/>
  <c r="E161" i="4"/>
  <c r="D161" i="4"/>
  <c r="L165" i="3"/>
  <c r="W165" i="3"/>
  <c r="K165" i="3"/>
  <c r="V165" i="3"/>
  <c r="J165" i="3"/>
  <c r="U165" i="3"/>
  <c r="I165" i="3"/>
  <c r="T165" i="3"/>
  <c r="H165" i="3"/>
  <c r="S165" i="3"/>
  <c r="AE165" i="3"/>
  <c r="R165" i="3"/>
  <c r="N165" i="3"/>
  <c r="M165" i="3"/>
  <c r="Q165" i="3"/>
  <c r="P165" i="3"/>
  <c r="O165" i="3"/>
  <c r="G149" i="4"/>
  <c r="F149" i="4"/>
  <c r="H149" i="4" s="1"/>
  <c r="C149" i="4"/>
  <c r="B149" i="4"/>
  <c r="K149" i="4"/>
  <c r="J100" i="4"/>
  <c r="I100" i="4"/>
  <c r="E127" i="4"/>
  <c r="D127" i="4"/>
  <c r="T131" i="3"/>
  <c r="H131" i="3"/>
  <c r="AE131" i="3"/>
  <c r="S131" i="3"/>
  <c r="R131" i="3"/>
  <c r="Q131" i="3"/>
  <c r="P131" i="3"/>
  <c r="N131" i="3"/>
  <c r="M131" i="3"/>
  <c r="L131" i="3"/>
  <c r="K131" i="3"/>
  <c r="J131" i="3"/>
  <c r="I131" i="3"/>
  <c r="W131" i="3"/>
  <c r="V131" i="3"/>
  <c r="O131" i="3"/>
  <c r="U131" i="3"/>
  <c r="E146" i="4"/>
  <c r="D146" i="4"/>
  <c r="U150" i="3"/>
  <c r="I150" i="3"/>
  <c r="T150" i="3"/>
  <c r="H150" i="3"/>
  <c r="AE150" i="3"/>
  <c r="S150" i="3"/>
  <c r="R150" i="3"/>
  <c r="Q150" i="3"/>
  <c r="P150" i="3"/>
  <c r="O150" i="3"/>
  <c r="W150" i="3"/>
  <c r="N150" i="3"/>
  <c r="M150" i="3"/>
  <c r="L150" i="3"/>
  <c r="K150" i="3"/>
  <c r="J150" i="3"/>
  <c r="V150" i="3"/>
  <c r="E122" i="4"/>
  <c r="D122" i="4"/>
  <c r="AE126" i="3"/>
  <c r="S126" i="3"/>
  <c r="R126" i="3"/>
  <c r="Q126" i="3"/>
  <c r="P126" i="3"/>
  <c r="O126" i="3"/>
  <c r="U126" i="3"/>
  <c r="T126" i="3"/>
  <c r="N126" i="3"/>
  <c r="M126" i="3"/>
  <c r="L126" i="3"/>
  <c r="K126" i="3"/>
  <c r="J126" i="3"/>
  <c r="I126" i="3"/>
  <c r="H126" i="3"/>
  <c r="W126" i="3"/>
  <c r="V126" i="3"/>
  <c r="J79" i="4"/>
  <c r="I79" i="4"/>
  <c r="E108" i="4"/>
  <c r="D108" i="4"/>
  <c r="AE112" i="3"/>
  <c r="S112" i="3"/>
  <c r="Q112" i="3"/>
  <c r="K112" i="3"/>
  <c r="U112" i="3"/>
  <c r="T112" i="3"/>
  <c r="P112" i="3"/>
  <c r="N112" i="3"/>
  <c r="O112" i="3"/>
  <c r="M112" i="3"/>
  <c r="L112" i="3"/>
  <c r="J112" i="3"/>
  <c r="I112" i="3"/>
  <c r="H112" i="3"/>
  <c r="W112" i="3"/>
  <c r="R112" i="3"/>
  <c r="V112" i="3"/>
  <c r="AD375" i="3"/>
  <c r="F375" i="3"/>
  <c r="AC375" i="3"/>
  <c r="AB375" i="3"/>
  <c r="AA375" i="3"/>
  <c r="B375" i="3"/>
  <c r="I53" i="4"/>
  <c r="J53" i="4"/>
  <c r="AB93" i="3"/>
  <c r="AA93" i="3"/>
  <c r="F93" i="3"/>
  <c r="B93" i="3"/>
  <c r="AD93" i="3"/>
  <c r="AC93" i="3"/>
  <c r="E32" i="4"/>
  <c r="D32" i="4"/>
  <c r="N36" i="3"/>
  <c r="M36" i="3"/>
  <c r="L36" i="3"/>
  <c r="W36" i="3"/>
  <c r="K36" i="3"/>
  <c r="V36" i="3"/>
  <c r="J36" i="3"/>
  <c r="U36" i="3"/>
  <c r="I36" i="3"/>
  <c r="T36" i="3"/>
  <c r="H36" i="3"/>
  <c r="AE36" i="3"/>
  <c r="S36" i="3"/>
  <c r="R36" i="3"/>
  <c r="Q36" i="3"/>
  <c r="P36" i="3"/>
  <c r="O36" i="3"/>
  <c r="F95" i="4"/>
  <c r="H95" i="4" s="1"/>
  <c r="C95" i="4"/>
  <c r="K95" i="4"/>
  <c r="G95" i="4"/>
  <c r="B95" i="4"/>
  <c r="AD55" i="3"/>
  <c r="AC55" i="3"/>
  <c r="AA55" i="3"/>
  <c r="B55" i="3"/>
  <c r="AB55" i="3"/>
  <c r="F55" i="3"/>
  <c r="AC85" i="3"/>
  <c r="AA85" i="3"/>
  <c r="AD85" i="3"/>
  <c r="F85" i="3"/>
  <c r="B85" i="3"/>
  <c r="AB85" i="3"/>
  <c r="AD91" i="3"/>
  <c r="F91" i="3"/>
  <c r="AC91" i="3"/>
  <c r="AA91" i="3"/>
  <c r="B91" i="3"/>
  <c r="AB91" i="3"/>
  <c r="E75" i="4"/>
  <c r="D75" i="4"/>
  <c r="W79" i="3"/>
  <c r="K79" i="3"/>
  <c r="U79" i="3"/>
  <c r="I79" i="3"/>
  <c r="R79" i="3"/>
  <c r="Q79" i="3"/>
  <c r="O79" i="3"/>
  <c r="N79" i="3"/>
  <c r="J79" i="3"/>
  <c r="H79" i="3"/>
  <c r="AE79" i="3"/>
  <c r="V79" i="3"/>
  <c r="T79" i="3"/>
  <c r="S79" i="3"/>
  <c r="P79" i="3"/>
  <c r="M79" i="3"/>
  <c r="L79" i="3"/>
  <c r="D16" i="4"/>
  <c r="E16" i="4"/>
  <c r="R20" i="3"/>
  <c r="Q20" i="3"/>
  <c r="P20" i="3"/>
  <c r="O20" i="3"/>
  <c r="N20" i="3"/>
  <c r="M20" i="3"/>
  <c r="L20" i="3"/>
  <c r="W20" i="3"/>
  <c r="K20" i="3"/>
  <c r="V20" i="3"/>
  <c r="J20" i="3"/>
  <c r="U20" i="3"/>
  <c r="I20" i="3"/>
  <c r="T20" i="3"/>
  <c r="H20" i="3"/>
  <c r="S20" i="3"/>
  <c r="AE20" i="3"/>
  <c r="F111" i="4"/>
  <c r="H111" i="4" s="1"/>
  <c r="K111" i="4"/>
  <c r="G111" i="4"/>
  <c r="B111" i="4"/>
  <c r="C111" i="4"/>
  <c r="E29" i="4"/>
  <c r="D29" i="4"/>
  <c r="W33" i="3"/>
  <c r="K33" i="3"/>
  <c r="V33" i="3"/>
  <c r="J33" i="3"/>
  <c r="U33" i="3"/>
  <c r="I33" i="3"/>
  <c r="T33" i="3"/>
  <c r="H33" i="3"/>
  <c r="AE33" i="3"/>
  <c r="S33" i="3"/>
  <c r="R33" i="3"/>
  <c r="Q33" i="3"/>
  <c r="P33" i="3"/>
  <c r="O33" i="3"/>
  <c r="N33" i="3"/>
  <c r="M33" i="3"/>
  <c r="L33" i="3"/>
  <c r="F10" i="4"/>
  <c r="H10" i="4" s="1"/>
  <c r="C10" i="4"/>
  <c r="B10" i="4"/>
  <c r="E395" i="4"/>
  <c r="D395" i="4"/>
  <c r="R399" i="3"/>
  <c r="M399" i="3"/>
  <c r="Q399" i="3"/>
  <c r="AE399" i="3"/>
  <c r="P399" i="3"/>
  <c r="O399" i="3"/>
  <c r="N399" i="3"/>
  <c r="L399" i="3"/>
  <c r="K399" i="3"/>
  <c r="J399" i="3"/>
  <c r="W399" i="3"/>
  <c r="I399" i="3"/>
  <c r="V399" i="3"/>
  <c r="U399" i="3"/>
  <c r="T399" i="3"/>
  <c r="S399" i="3"/>
  <c r="H399" i="3"/>
  <c r="K471" i="4"/>
  <c r="G471" i="4"/>
  <c r="F471" i="4"/>
  <c r="H471" i="4" s="1"/>
  <c r="C471" i="4"/>
  <c r="B471" i="4"/>
  <c r="E429" i="4"/>
  <c r="D429" i="4"/>
  <c r="T433" i="3"/>
  <c r="H433" i="3"/>
  <c r="AE433" i="3"/>
  <c r="S433" i="3"/>
  <c r="R433" i="3"/>
  <c r="Q433" i="3"/>
  <c r="P433" i="3"/>
  <c r="O433" i="3"/>
  <c r="N433" i="3"/>
  <c r="M433" i="3"/>
  <c r="L433" i="3"/>
  <c r="W433" i="3"/>
  <c r="V433" i="3"/>
  <c r="U433" i="3"/>
  <c r="K433" i="3"/>
  <c r="J433" i="3"/>
  <c r="I433" i="3"/>
  <c r="E494" i="4"/>
  <c r="D494" i="4"/>
  <c r="O498" i="3"/>
  <c r="N498" i="3"/>
  <c r="M498" i="3"/>
  <c r="L498" i="3"/>
  <c r="W498" i="3"/>
  <c r="K498" i="3"/>
  <c r="V498" i="3"/>
  <c r="U498" i="3"/>
  <c r="T498" i="3"/>
  <c r="S498" i="3"/>
  <c r="R498" i="3"/>
  <c r="Q498" i="3"/>
  <c r="AE498" i="3"/>
  <c r="P498" i="3"/>
  <c r="J498" i="3"/>
  <c r="I498" i="3"/>
  <c r="H498" i="3"/>
  <c r="AB491" i="3"/>
  <c r="B491" i="3"/>
  <c r="AD491" i="3"/>
  <c r="AC491" i="3"/>
  <c r="AA491" i="3"/>
  <c r="F491" i="3"/>
  <c r="G502" i="4"/>
  <c r="F502" i="4"/>
  <c r="H502" i="4" s="1"/>
  <c r="C502" i="4"/>
  <c r="K502" i="4"/>
  <c r="B502" i="4"/>
  <c r="J467" i="4"/>
  <c r="I467" i="4"/>
  <c r="AD487" i="3"/>
  <c r="F487" i="3"/>
  <c r="AB487" i="3"/>
  <c r="B487" i="3"/>
  <c r="AC487" i="3"/>
  <c r="AA487" i="3"/>
  <c r="B495" i="3"/>
  <c r="AD495" i="3"/>
  <c r="AC495" i="3"/>
  <c r="AB495" i="3"/>
  <c r="F495" i="3"/>
  <c r="AA495" i="3"/>
  <c r="D463" i="4"/>
  <c r="E463" i="4"/>
  <c r="Q467" i="3"/>
  <c r="P467" i="3"/>
  <c r="M467" i="3"/>
  <c r="L467" i="3"/>
  <c r="V467" i="3"/>
  <c r="J467" i="3"/>
  <c r="U467" i="3"/>
  <c r="I467" i="3"/>
  <c r="W467" i="3"/>
  <c r="T467" i="3"/>
  <c r="S467" i="3"/>
  <c r="R467" i="3"/>
  <c r="O467" i="3"/>
  <c r="N467" i="3"/>
  <c r="AE467" i="3"/>
  <c r="K467" i="3"/>
  <c r="H467" i="3"/>
  <c r="D481" i="4"/>
  <c r="E481" i="4"/>
  <c r="R485" i="3"/>
  <c r="AE485" i="3"/>
  <c r="Q485" i="3"/>
  <c r="P485" i="3"/>
  <c r="O485" i="3"/>
  <c r="N485" i="3"/>
  <c r="M485" i="3"/>
  <c r="L485" i="3"/>
  <c r="K485" i="3"/>
  <c r="W485" i="3"/>
  <c r="J485" i="3"/>
  <c r="V485" i="3"/>
  <c r="I485" i="3"/>
  <c r="U485" i="3"/>
  <c r="T485" i="3"/>
  <c r="S485" i="3"/>
  <c r="H485" i="3"/>
  <c r="F478" i="3"/>
  <c r="AD478" i="3"/>
  <c r="AC478" i="3"/>
  <c r="AB478" i="3"/>
  <c r="AA478" i="3"/>
  <c r="B478" i="3"/>
  <c r="E406" i="4"/>
  <c r="D406" i="4"/>
  <c r="M410" i="3"/>
  <c r="U410" i="3"/>
  <c r="I410" i="3"/>
  <c r="T410" i="3"/>
  <c r="H410" i="3"/>
  <c r="Q410" i="3"/>
  <c r="O410" i="3"/>
  <c r="AE410" i="3"/>
  <c r="N410" i="3"/>
  <c r="L410" i="3"/>
  <c r="K410" i="3"/>
  <c r="J410" i="3"/>
  <c r="W410" i="3"/>
  <c r="V410" i="3"/>
  <c r="S410" i="3"/>
  <c r="R410" i="3"/>
  <c r="P410" i="3"/>
  <c r="I432" i="4"/>
  <c r="J432" i="4"/>
  <c r="AD456" i="3"/>
  <c r="F456" i="3"/>
  <c r="AC456" i="3"/>
  <c r="AA456" i="3"/>
  <c r="AB456" i="3"/>
  <c r="B456" i="3"/>
  <c r="C438" i="4"/>
  <c r="B438" i="4"/>
  <c r="K438" i="4"/>
  <c r="F438" i="4"/>
  <c r="H438" i="4" s="1"/>
  <c r="G438" i="4"/>
  <c r="J419" i="4"/>
  <c r="I419" i="4"/>
  <c r="AC406" i="3"/>
  <c r="F406" i="3"/>
  <c r="B406" i="3"/>
  <c r="AD406" i="3"/>
  <c r="AB406" i="3"/>
  <c r="AA406" i="3"/>
  <c r="J369" i="4"/>
  <c r="I369" i="4"/>
  <c r="AC394" i="3"/>
  <c r="B394" i="3"/>
  <c r="AD394" i="3"/>
  <c r="AB394" i="3"/>
  <c r="AA394" i="3"/>
  <c r="F394" i="3"/>
  <c r="E477" i="4"/>
  <c r="D477" i="4"/>
  <c r="V481" i="3"/>
  <c r="J481" i="3"/>
  <c r="L481" i="3"/>
  <c r="K481" i="3"/>
  <c r="W481" i="3"/>
  <c r="I481" i="3"/>
  <c r="U481" i="3"/>
  <c r="H481" i="3"/>
  <c r="T481" i="3"/>
  <c r="S481" i="3"/>
  <c r="AE481" i="3"/>
  <c r="R481" i="3"/>
  <c r="Q481" i="3"/>
  <c r="P481" i="3"/>
  <c r="O481" i="3"/>
  <c r="N481" i="3"/>
  <c r="M481" i="3"/>
  <c r="J370" i="4"/>
  <c r="I370" i="4"/>
  <c r="K405" i="4"/>
  <c r="F405" i="4"/>
  <c r="H405" i="4" s="1"/>
  <c r="C405" i="4"/>
  <c r="B405" i="4"/>
  <c r="G405" i="4"/>
  <c r="E332" i="4"/>
  <c r="D332" i="4"/>
  <c r="M336" i="3"/>
  <c r="W336" i="3"/>
  <c r="K336" i="3"/>
  <c r="U336" i="3"/>
  <c r="I336" i="3"/>
  <c r="T336" i="3"/>
  <c r="H336" i="3"/>
  <c r="R336" i="3"/>
  <c r="Q336" i="3"/>
  <c r="S336" i="3"/>
  <c r="P336" i="3"/>
  <c r="O336" i="3"/>
  <c r="N336" i="3"/>
  <c r="L336" i="3"/>
  <c r="J336" i="3"/>
  <c r="AE336" i="3"/>
  <c r="V336" i="3"/>
  <c r="E296" i="4"/>
  <c r="D296" i="4"/>
  <c r="M300" i="3"/>
  <c r="V300" i="3"/>
  <c r="I300" i="3"/>
  <c r="U300" i="3"/>
  <c r="H300" i="3"/>
  <c r="T300" i="3"/>
  <c r="S300" i="3"/>
  <c r="AE300" i="3"/>
  <c r="R300" i="3"/>
  <c r="Q300" i="3"/>
  <c r="P300" i="3"/>
  <c r="O300" i="3"/>
  <c r="W300" i="3"/>
  <c r="N300" i="3"/>
  <c r="L300" i="3"/>
  <c r="K300" i="3"/>
  <c r="J300" i="3"/>
  <c r="B353" i="3"/>
  <c r="AD353" i="3"/>
  <c r="F353" i="3"/>
  <c r="AC353" i="3"/>
  <c r="AB353" i="3"/>
  <c r="AA353" i="3"/>
  <c r="AC382" i="3"/>
  <c r="AA382" i="3"/>
  <c r="AD382" i="3"/>
  <c r="AB382" i="3"/>
  <c r="F382" i="3"/>
  <c r="B382" i="3"/>
  <c r="I321" i="4"/>
  <c r="J321" i="4"/>
  <c r="I359" i="4"/>
  <c r="J359" i="4"/>
  <c r="J319" i="4"/>
  <c r="I319" i="4"/>
  <c r="B415" i="3"/>
  <c r="AD415" i="3"/>
  <c r="F415" i="3"/>
  <c r="AC415" i="3"/>
  <c r="AB415" i="3"/>
  <c r="AA415" i="3"/>
  <c r="E268" i="4"/>
  <c r="D268" i="4"/>
  <c r="M272" i="3"/>
  <c r="U272" i="3"/>
  <c r="I272" i="3"/>
  <c r="T272" i="3"/>
  <c r="H272" i="3"/>
  <c r="AE272" i="3"/>
  <c r="S272" i="3"/>
  <c r="R272" i="3"/>
  <c r="L272" i="3"/>
  <c r="K272" i="3"/>
  <c r="J272" i="3"/>
  <c r="W272" i="3"/>
  <c r="V272" i="3"/>
  <c r="Q272" i="3"/>
  <c r="P272" i="3"/>
  <c r="O272" i="3"/>
  <c r="N272" i="3"/>
  <c r="K367" i="4"/>
  <c r="G367" i="4"/>
  <c r="F367" i="4"/>
  <c r="H367" i="4" s="1"/>
  <c r="B367" i="4"/>
  <c r="C367" i="4"/>
  <c r="G322" i="4"/>
  <c r="F322" i="4"/>
  <c r="H322" i="4" s="1"/>
  <c r="C322" i="4"/>
  <c r="K322" i="4"/>
  <c r="B322" i="4"/>
  <c r="F352" i="4"/>
  <c r="H352" i="4" s="1"/>
  <c r="C352" i="4"/>
  <c r="B352" i="4"/>
  <c r="K352" i="4"/>
  <c r="G352" i="4"/>
  <c r="K313" i="4"/>
  <c r="G313" i="4"/>
  <c r="F313" i="4"/>
  <c r="H313" i="4" s="1"/>
  <c r="B313" i="4"/>
  <c r="C313" i="4"/>
  <c r="AC280" i="3"/>
  <c r="AD280" i="3"/>
  <c r="AB280" i="3"/>
  <c r="AA280" i="3"/>
  <c r="F280" i="3"/>
  <c r="B280" i="3"/>
  <c r="AC370" i="3"/>
  <c r="AD370" i="3"/>
  <c r="AB370" i="3"/>
  <c r="AA370" i="3"/>
  <c r="F370" i="3"/>
  <c r="B370" i="3"/>
  <c r="D279" i="4"/>
  <c r="E279" i="4"/>
  <c r="T283" i="3"/>
  <c r="H283" i="3"/>
  <c r="P283" i="3"/>
  <c r="O283" i="3"/>
  <c r="N283" i="3"/>
  <c r="M283" i="3"/>
  <c r="W283" i="3"/>
  <c r="V283" i="3"/>
  <c r="U283" i="3"/>
  <c r="S283" i="3"/>
  <c r="R283" i="3"/>
  <c r="Q283" i="3"/>
  <c r="L283" i="3"/>
  <c r="K283" i="3"/>
  <c r="J283" i="3"/>
  <c r="AE283" i="3"/>
  <c r="I283" i="3"/>
  <c r="E270" i="4"/>
  <c r="D270" i="4"/>
  <c r="W274" i="3"/>
  <c r="K274" i="3"/>
  <c r="AE274" i="3"/>
  <c r="S274" i="3"/>
  <c r="R274" i="3"/>
  <c r="Q274" i="3"/>
  <c r="P274" i="3"/>
  <c r="V274" i="3"/>
  <c r="U274" i="3"/>
  <c r="T274" i="3"/>
  <c r="O274" i="3"/>
  <c r="N274" i="3"/>
  <c r="M274" i="3"/>
  <c r="L274" i="3"/>
  <c r="J274" i="3"/>
  <c r="I274" i="3"/>
  <c r="H274" i="3"/>
  <c r="E283" i="4"/>
  <c r="D283" i="4"/>
  <c r="P287" i="3"/>
  <c r="N287" i="3"/>
  <c r="L287" i="3"/>
  <c r="W287" i="3"/>
  <c r="K287" i="3"/>
  <c r="V287" i="3"/>
  <c r="J287" i="3"/>
  <c r="U287" i="3"/>
  <c r="I287" i="3"/>
  <c r="T287" i="3"/>
  <c r="S287" i="3"/>
  <c r="R287" i="3"/>
  <c r="Q287" i="3"/>
  <c r="O287" i="3"/>
  <c r="M287" i="3"/>
  <c r="AE287" i="3"/>
  <c r="H287" i="3"/>
  <c r="E213" i="4"/>
  <c r="D213" i="4"/>
  <c r="M217" i="3"/>
  <c r="W217" i="3"/>
  <c r="K217" i="3"/>
  <c r="U217" i="3"/>
  <c r="I217" i="3"/>
  <c r="AE217" i="3"/>
  <c r="P217" i="3"/>
  <c r="O217" i="3"/>
  <c r="N217" i="3"/>
  <c r="L217" i="3"/>
  <c r="J217" i="3"/>
  <c r="H217" i="3"/>
  <c r="V217" i="3"/>
  <c r="T217" i="3"/>
  <c r="S217" i="3"/>
  <c r="R217" i="3"/>
  <c r="Q217" i="3"/>
  <c r="F302" i="3"/>
  <c r="B302" i="3"/>
  <c r="AD302" i="3"/>
  <c r="AC302" i="3"/>
  <c r="AB302" i="3"/>
  <c r="AA302" i="3"/>
  <c r="AD279" i="3"/>
  <c r="F279" i="3"/>
  <c r="AC279" i="3"/>
  <c r="AA279" i="3"/>
  <c r="B279" i="3"/>
  <c r="AB279" i="3"/>
  <c r="J258" i="4"/>
  <c r="I258" i="4"/>
  <c r="C242" i="4"/>
  <c r="K242" i="4"/>
  <c r="G242" i="4"/>
  <c r="F242" i="4"/>
  <c r="H242" i="4" s="1"/>
  <c r="B242" i="4"/>
  <c r="K252" i="4"/>
  <c r="G252" i="4"/>
  <c r="F252" i="4"/>
  <c r="H252" i="4" s="1"/>
  <c r="C252" i="4"/>
  <c r="B252" i="4"/>
  <c r="E228" i="4"/>
  <c r="D228" i="4"/>
  <c r="P232" i="3"/>
  <c r="O232" i="3"/>
  <c r="N232" i="3"/>
  <c r="M232" i="3"/>
  <c r="L232" i="3"/>
  <c r="Q232" i="3"/>
  <c r="K232" i="3"/>
  <c r="J232" i="3"/>
  <c r="AE232" i="3"/>
  <c r="I232" i="3"/>
  <c r="H232" i="3"/>
  <c r="W232" i="3"/>
  <c r="V232" i="3"/>
  <c r="U232" i="3"/>
  <c r="S232" i="3"/>
  <c r="T232" i="3"/>
  <c r="R232" i="3"/>
  <c r="AB232" i="3"/>
  <c r="AA232" i="3"/>
  <c r="B232" i="3"/>
  <c r="AD232" i="3"/>
  <c r="AC232" i="3"/>
  <c r="F232" i="3"/>
  <c r="AD233" i="3"/>
  <c r="F233" i="3"/>
  <c r="AC233" i="3"/>
  <c r="B233" i="3"/>
  <c r="AB233" i="3"/>
  <c r="AA233" i="3"/>
  <c r="D255" i="4"/>
  <c r="E255" i="4"/>
  <c r="T259" i="3"/>
  <c r="H259" i="3"/>
  <c r="O259" i="3"/>
  <c r="N259" i="3"/>
  <c r="M259" i="3"/>
  <c r="L259" i="3"/>
  <c r="K259" i="3"/>
  <c r="J259" i="3"/>
  <c r="W259" i="3"/>
  <c r="I259" i="3"/>
  <c r="V259" i="3"/>
  <c r="U259" i="3"/>
  <c r="S259" i="3"/>
  <c r="AE259" i="3"/>
  <c r="R259" i="3"/>
  <c r="Q259" i="3"/>
  <c r="P259" i="3"/>
  <c r="E203" i="4"/>
  <c r="D203" i="4"/>
  <c r="U207" i="3"/>
  <c r="I207" i="3"/>
  <c r="AE207" i="3"/>
  <c r="S207" i="3"/>
  <c r="O207" i="3"/>
  <c r="N207" i="3"/>
  <c r="M207" i="3"/>
  <c r="L207" i="3"/>
  <c r="K207" i="3"/>
  <c r="J207" i="3"/>
  <c r="W207" i="3"/>
  <c r="H207" i="3"/>
  <c r="V207" i="3"/>
  <c r="T207" i="3"/>
  <c r="R207" i="3"/>
  <c r="Q207" i="3"/>
  <c r="P207" i="3"/>
  <c r="AB275" i="3"/>
  <c r="AD275" i="3"/>
  <c r="AC275" i="3"/>
  <c r="AA275" i="3"/>
  <c r="F275" i="3"/>
  <c r="B275" i="3"/>
  <c r="E200" i="4"/>
  <c r="D200" i="4"/>
  <c r="T204" i="3"/>
  <c r="H204" i="3"/>
  <c r="AE204" i="3"/>
  <c r="S204" i="3"/>
  <c r="R204" i="3"/>
  <c r="Q204" i="3"/>
  <c r="P204" i="3"/>
  <c r="O204" i="3"/>
  <c r="N204" i="3"/>
  <c r="M204" i="3"/>
  <c r="L204" i="3"/>
  <c r="W204" i="3"/>
  <c r="V204" i="3"/>
  <c r="U204" i="3"/>
  <c r="K204" i="3"/>
  <c r="J204" i="3"/>
  <c r="I204" i="3"/>
  <c r="J181" i="4"/>
  <c r="I181" i="4"/>
  <c r="E152" i="4"/>
  <c r="D152" i="4"/>
  <c r="O156" i="3"/>
  <c r="N156" i="3"/>
  <c r="M156" i="3"/>
  <c r="L156" i="3"/>
  <c r="W156" i="3"/>
  <c r="K156" i="3"/>
  <c r="V156" i="3"/>
  <c r="J156" i="3"/>
  <c r="U156" i="3"/>
  <c r="I156" i="3"/>
  <c r="Q156" i="3"/>
  <c r="T156" i="3"/>
  <c r="S156" i="3"/>
  <c r="R156" i="3"/>
  <c r="P156" i="3"/>
  <c r="H156" i="3"/>
  <c r="AE156" i="3"/>
  <c r="G212" i="4"/>
  <c r="F212" i="4"/>
  <c r="H212" i="4" s="1"/>
  <c r="K212" i="4"/>
  <c r="C212" i="4"/>
  <c r="B212" i="4"/>
  <c r="J133" i="4"/>
  <c r="I133" i="4"/>
  <c r="E150" i="4"/>
  <c r="D150" i="4"/>
  <c r="Q154" i="3"/>
  <c r="P154" i="3"/>
  <c r="O154" i="3"/>
  <c r="N154" i="3"/>
  <c r="M154" i="3"/>
  <c r="L154" i="3"/>
  <c r="W154" i="3"/>
  <c r="K154" i="3"/>
  <c r="AE154" i="3"/>
  <c r="S154" i="3"/>
  <c r="V154" i="3"/>
  <c r="U154" i="3"/>
  <c r="T154" i="3"/>
  <c r="R154" i="3"/>
  <c r="J154" i="3"/>
  <c r="I154" i="3"/>
  <c r="H154" i="3"/>
  <c r="AC167" i="3"/>
  <c r="B167" i="3"/>
  <c r="AB167" i="3"/>
  <c r="AA167" i="3"/>
  <c r="F167" i="3"/>
  <c r="AD167" i="3"/>
  <c r="E119" i="4"/>
  <c r="D119" i="4"/>
  <c r="P123" i="3"/>
  <c r="O123" i="3"/>
  <c r="N123" i="3"/>
  <c r="M123" i="3"/>
  <c r="L123" i="3"/>
  <c r="J123" i="3"/>
  <c r="AE123" i="3"/>
  <c r="I123" i="3"/>
  <c r="H123" i="3"/>
  <c r="W123" i="3"/>
  <c r="V123" i="3"/>
  <c r="U123" i="3"/>
  <c r="T123" i="3"/>
  <c r="S123" i="3"/>
  <c r="R123" i="3"/>
  <c r="Q123" i="3"/>
  <c r="K123" i="3"/>
  <c r="E160" i="4"/>
  <c r="D160" i="4"/>
  <c r="AE164" i="3"/>
  <c r="S164" i="3"/>
  <c r="R164" i="3"/>
  <c r="Q164" i="3"/>
  <c r="P164" i="3"/>
  <c r="O164" i="3"/>
  <c r="N164" i="3"/>
  <c r="M164" i="3"/>
  <c r="U164" i="3"/>
  <c r="I164" i="3"/>
  <c r="J164" i="3"/>
  <c r="H164" i="3"/>
  <c r="W164" i="3"/>
  <c r="V164" i="3"/>
  <c r="T164" i="3"/>
  <c r="L164" i="3"/>
  <c r="K164" i="3"/>
  <c r="E112" i="4"/>
  <c r="D112" i="4"/>
  <c r="Q116" i="3"/>
  <c r="P116" i="3"/>
  <c r="O116" i="3"/>
  <c r="M116" i="3"/>
  <c r="R116" i="3"/>
  <c r="J116" i="3"/>
  <c r="I116" i="3"/>
  <c r="H116" i="3"/>
  <c r="W116" i="3"/>
  <c r="V116" i="3"/>
  <c r="U116" i="3"/>
  <c r="T116" i="3"/>
  <c r="S116" i="3"/>
  <c r="N116" i="3"/>
  <c r="L116" i="3"/>
  <c r="K116" i="3"/>
  <c r="AE116" i="3"/>
  <c r="B122" i="3"/>
  <c r="AD122" i="3"/>
  <c r="AC122" i="3"/>
  <c r="AB122" i="3"/>
  <c r="F122" i="3"/>
  <c r="AA122" i="3"/>
  <c r="G118" i="4"/>
  <c r="F118" i="4"/>
  <c r="H118" i="4" s="1"/>
  <c r="B118" i="4"/>
  <c r="K118" i="4"/>
  <c r="C118" i="4"/>
  <c r="F165" i="3"/>
  <c r="AA165" i="3"/>
  <c r="B165" i="3"/>
  <c r="AD165" i="3"/>
  <c r="AC165" i="3"/>
  <c r="AB165" i="3"/>
  <c r="C132" i="4"/>
  <c r="B132" i="4"/>
  <c r="K132" i="4"/>
  <c r="G132" i="4"/>
  <c r="F132" i="4"/>
  <c r="H132" i="4" s="1"/>
  <c r="K110" i="4"/>
  <c r="G110" i="4"/>
  <c r="F110" i="4"/>
  <c r="H110" i="4" s="1"/>
  <c r="B110" i="4"/>
  <c r="C110" i="4"/>
  <c r="AD121" i="3"/>
  <c r="F121" i="3"/>
  <c r="AC121" i="3"/>
  <c r="AB121" i="3"/>
  <c r="AA121" i="3"/>
  <c r="B121" i="3"/>
  <c r="G97" i="4"/>
  <c r="F97" i="4"/>
  <c r="H97" i="4" s="1"/>
  <c r="C97" i="4"/>
  <c r="B97" i="4"/>
  <c r="K97" i="4"/>
  <c r="AD84" i="3"/>
  <c r="F84" i="3"/>
  <c r="AB84" i="3"/>
  <c r="AA84" i="3"/>
  <c r="B84" i="3"/>
  <c r="AC84" i="3"/>
  <c r="E71" i="4"/>
  <c r="D71" i="4"/>
  <c r="M75" i="3"/>
  <c r="V75" i="3"/>
  <c r="J75" i="3"/>
  <c r="U75" i="3"/>
  <c r="I75" i="3"/>
  <c r="AE75" i="3"/>
  <c r="S75" i="3"/>
  <c r="R75" i="3"/>
  <c r="W75" i="3"/>
  <c r="T75" i="3"/>
  <c r="Q75" i="3"/>
  <c r="P75" i="3"/>
  <c r="O75" i="3"/>
  <c r="N75" i="3"/>
  <c r="L75" i="3"/>
  <c r="K75" i="3"/>
  <c r="H75" i="3"/>
  <c r="G151" i="4"/>
  <c r="F151" i="4"/>
  <c r="H151" i="4" s="1"/>
  <c r="C151" i="4"/>
  <c r="K151" i="4"/>
  <c r="B151" i="4"/>
  <c r="E91" i="4"/>
  <c r="D91" i="4"/>
  <c r="AE95" i="3"/>
  <c r="S95" i="3"/>
  <c r="R95" i="3"/>
  <c r="Q95" i="3"/>
  <c r="N95" i="3"/>
  <c r="M95" i="3"/>
  <c r="W95" i="3"/>
  <c r="K95" i="3"/>
  <c r="V95" i="3"/>
  <c r="J95" i="3"/>
  <c r="T95" i="3"/>
  <c r="H95" i="3"/>
  <c r="U95" i="3"/>
  <c r="P95" i="3"/>
  <c r="O95" i="3"/>
  <c r="L95" i="3"/>
  <c r="I95" i="3"/>
  <c r="D371" i="4"/>
  <c r="E371" i="4"/>
  <c r="W375" i="3"/>
  <c r="K375" i="3"/>
  <c r="V375" i="3"/>
  <c r="J375" i="3"/>
  <c r="R375" i="3"/>
  <c r="AE375" i="3"/>
  <c r="O375" i="3"/>
  <c r="N375" i="3"/>
  <c r="M375" i="3"/>
  <c r="L375" i="3"/>
  <c r="I375" i="3"/>
  <c r="H375" i="3"/>
  <c r="U375" i="3"/>
  <c r="T375" i="3"/>
  <c r="S375" i="3"/>
  <c r="Q375" i="3"/>
  <c r="P375" i="3"/>
  <c r="E82" i="4"/>
  <c r="D82" i="4"/>
  <c r="V86" i="3"/>
  <c r="J86" i="3"/>
  <c r="T86" i="3"/>
  <c r="H86" i="3"/>
  <c r="Q86" i="3"/>
  <c r="P86" i="3"/>
  <c r="N86" i="3"/>
  <c r="M86" i="3"/>
  <c r="W86" i="3"/>
  <c r="K86" i="3"/>
  <c r="U86" i="3"/>
  <c r="S86" i="3"/>
  <c r="R86" i="3"/>
  <c r="O86" i="3"/>
  <c r="L86" i="3"/>
  <c r="I86" i="3"/>
  <c r="AE86" i="3"/>
  <c r="F49" i="3"/>
  <c r="B49" i="3"/>
  <c r="AD49" i="3"/>
  <c r="AC49" i="3"/>
  <c r="AB49" i="3"/>
  <c r="AA49" i="3"/>
  <c r="AD26" i="3"/>
  <c r="F26" i="3"/>
  <c r="AC26" i="3"/>
  <c r="AB26" i="3"/>
  <c r="AA26" i="3"/>
  <c r="B26" i="3"/>
  <c r="D76" i="4"/>
  <c r="E76" i="4"/>
  <c r="P80" i="3"/>
  <c r="N80" i="3"/>
  <c r="W80" i="3"/>
  <c r="K80" i="3"/>
  <c r="V80" i="3"/>
  <c r="J80" i="3"/>
  <c r="T80" i="3"/>
  <c r="H80" i="3"/>
  <c r="AE80" i="3"/>
  <c r="S80" i="3"/>
  <c r="U80" i="3"/>
  <c r="R80" i="3"/>
  <c r="Q80" i="3"/>
  <c r="O80" i="3"/>
  <c r="M80" i="3"/>
  <c r="L80" i="3"/>
  <c r="I80" i="3"/>
  <c r="G56" i="4"/>
  <c r="C56" i="4"/>
  <c r="B56" i="4"/>
  <c r="F56" i="4"/>
  <c r="H56" i="4" s="1"/>
  <c r="K56" i="4"/>
  <c r="E38" i="4"/>
  <c r="D38" i="4"/>
  <c r="V42" i="3"/>
  <c r="J42" i="3"/>
  <c r="U42" i="3"/>
  <c r="I42" i="3"/>
  <c r="M42" i="3"/>
  <c r="L42" i="3"/>
  <c r="K42" i="3"/>
  <c r="H42" i="3"/>
  <c r="W42" i="3"/>
  <c r="T42" i="3"/>
  <c r="S42" i="3"/>
  <c r="R42" i="3"/>
  <c r="AE42" i="3"/>
  <c r="Q42" i="3"/>
  <c r="P42" i="3"/>
  <c r="O42" i="3"/>
  <c r="N42" i="3"/>
  <c r="E30" i="4"/>
  <c r="D30" i="4"/>
  <c r="P34" i="3"/>
  <c r="O34" i="3"/>
  <c r="N34" i="3"/>
  <c r="M34" i="3"/>
  <c r="L34" i="3"/>
  <c r="W34" i="3"/>
  <c r="K34" i="3"/>
  <c r="V34" i="3"/>
  <c r="J34" i="3"/>
  <c r="U34" i="3"/>
  <c r="I34" i="3"/>
  <c r="T34" i="3"/>
  <c r="H34" i="3"/>
  <c r="AE34" i="3"/>
  <c r="S34" i="3"/>
  <c r="R34" i="3"/>
  <c r="Q34" i="3"/>
  <c r="AB10" i="3"/>
  <c r="AA10" i="3"/>
  <c r="B10" i="3"/>
  <c r="AD10" i="3"/>
  <c r="F10" i="3"/>
  <c r="AC10" i="3"/>
  <c r="D72" i="4"/>
  <c r="E72" i="4"/>
  <c r="T76" i="3"/>
  <c r="R76" i="3"/>
  <c r="O76" i="3"/>
  <c r="N76" i="3"/>
  <c r="L76" i="3"/>
  <c r="W76" i="3"/>
  <c r="K76" i="3"/>
  <c r="J76" i="3"/>
  <c r="I76" i="3"/>
  <c r="AE76" i="3"/>
  <c r="H76" i="3"/>
  <c r="V76" i="3"/>
  <c r="U76" i="3"/>
  <c r="S76" i="3"/>
  <c r="Q76" i="3"/>
  <c r="P76" i="3"/>
  <c r="M76" i="3"/>
  <c r="J45" i="4"/>
  <c r="I45" i="4"/>
  <c r="D28" i="4"/>
  <c r="E28" i="4"/>
  <c r="R32" i="3"/>
  <c r="Q32" i="3"/>
  <c r="P32" i="3"/>
  <c r="O32" i="3"/>
  <c r="N32" i="3"/>
  <c r="M32" i="3"/>
  <c r="L32" i="3"/>
  <c r="W32" i="3"/>
  <c r="K32" i="3"/>
  <c r="V32" i="3"/>
  <c r="J32" i="3"/>
  <c r="U32" i="3"/>
  <c r="I32" i="3"/>
  <c r="T32" i="3"/>
  <c r="H32" i="3"/>
  <c r="AE32" i="3"/>
  <c r="S32" i="3"/>
  <c r="B111" i="3"/>
  <c r="AB111" i="3"/>
  <c r="AD111" i="3"/>
  <c r="F111" i="3"/>
  <c r="AC111" i="3"/>
  <c r="AA111" i="3"/>
  <c r="AD76" i="3"/>
  <c r="F76" i="3"/>
  <c r="AA76" i="3"/>
  <c r="B76" i="3"/>
  <c r="AC76" i="3"/>
  <c r="AB76" i="3"/>
  <c r="E33" i="4"/>
  <c r="D33" i="4"/>
  <c r="AE37" i="3"/>
  <c r="S37" i="3"/>
  <c r="R37" i="3"/>
  <c r="Q37" i="3"/>
  <c r="P37" i="3"/>
  <c r="O37" i="3"/>
  <c r="N37" i="3"/>
  <c r="M37" i="3"/>
  <c r="L37" i="3"/>
  <c r="W37" i="3"/>
  <c r="K37" i="3"/>
  <c r="V37" i="3"/>
  <c r="J37" i="3"/>
  <c r="U37" i="3"/>
  <c r="I37" i="3"/>
  <c r="T37" i="3"/>
  <c r="H37" i="3"/>
  <c r="J14" i="4"/>
  <c r="I14" i="4"/>
  <c r="E31" i="4"/>
  <c r="D31" i="4"/>
  <c r="U35" i="3"/>
  <c r="I35" i="3"/>
  <c r="T35" i="3"/>
  <c r="H35" i="3"/>
  <c r="AE35" i="3"/>
  <c r="S35" i="3"/>
  <c r="R35" i="3"/>
  <c r="Q35" i="3"/>
  <c r="P35" i="3"/>
  <c r="O35" i="3"/>
  <c r="N35" i="3"/>
  <c r="M35" i="3"/>
  <c r="L35" i="3"/>
  <c r="W35" i="3"/>
  <c r="K35" i="3"/>
  <c r="V35" i="3"/>
  <c r="J35" i="3"/>
  <c r="AD18" i="3"/>
  <c r="F18" i="3"/>
  <c r="AC18" i="3"/>
  <c r="AB18" i="3"/>
  <c r="AA18" i="3"/>
  <c r="B18" i="3"/>
  <c r="E44" i="4"/>
  <c r="D44" i="4"/>
  <c r="R48" i="3"/>
  <c r="P48" i="3"/>
  <c r="O48" i="3"/>
  <c r="V48" i="3"/>
  <c r="U48" i="3"/>
  <c r="T48" i="3"/>
  <c r="S48" i="3"/>
  <c r="Q48" i="3"/>
  <c r="N48" i="3"/>
  <c r="AE48" i="3"/>
  <c r="M48" i="3"/>
  <c r="L48" i="3"/>
  <c r="K48" i="3"/>
  <c r="J48" i="3"/>
  <c r="I48" i="3"/>
  <c r="W48" i="3"/>
  <c r="H48" i="3"/>
  <c r="E164" i="4"/>
  <c r="D164" i="4"/>
  <c r="O168" i="3"/>
  <c r="N168" i="3"/>
  <c r="L168" i="3"/>
  <c r="M168" i="3"/>
  <c r="K168" i="3"/>
  <c r="J168" i="3"/>
  <c r="I168" i="3"/>
  <c r="W168" i="3"/>
  <c r="H168" i="3"/>
  <c r="V168" i="3"/>
  <c r="U168" i="3"/>
  <c r="Q168" i="3"/>
  <c r="T168" i="3"/>
  <c r="S168" i="3"/>
  <c r="R168" i="3"/>
  <c r="P168" i="3"/>
  <c r="AE168" i="3"/>
  <c r="I126" i="4"/>
  <c r="J126" i="4"/>
  <c r="J143" i="4"/>
  <c r="I143" i="4"/>
  <c r="I136" i="4"/>
  <c r="J136" i="4"/>
  <c r="C144" i="4"/>
  <c r="B144" i="4"/>
  <c r="K144" i="4"/>
  <c r="G144" i="4"/>
  <c r="F144" i="4"/>
  <c r="H144" i="4" s="1"/>
  <c r="J104" i="4"/>
  <c r="I104" i="4"/>
  <c r="E174" i="4"/>
  <c r="D174" i="4"/>
  <c r="AE178" i="3"/>
  <c r="S178" i="3"/>
  <c r="R178" i="3"/>
  <c r="Q178" i="3"/>
  <c r="P178" i="3"/>
  <c r="O178" i="3"/>
  <c r="N178" i="3"/>
  <c r="T178" i="3"/>
  <c r="M178" i="3"/>
  <c r="L178" i="3"/>
  <c r="K178" i="3"/>
  <c r="J178" i="3"/>
  <c r="I178" i="3"/>
  <c r="H178" i="3"/>
  <c r="V178" i="3"/>
  <c r="W178" i="3"/>
  <c r="U178" i="3"/>
  <c r="G161" i="4"/>
  <c r="F161" i="4"/>
  <c r="H161" i="4" s="1"/>
  <c r="C161" i="4"/>
  <c r="B161" i="4"/>
  <c r="K161" i="4"/>
  <c r="E137" i="4"/>
  <c r="D137" i="4"/>
  <c r="L141" i="3"/>
  <c r="V141" i="3"/>
  <c r="J141" i="3"/>
  <c r="U141" i="3"/>
  <c r="I141" i="3"/>
  <c r="T141" i="3"/>
  <c r="H141" i="3"/>
  <c r="AE141" i="3"/>
  <c r="S141" i="3"/>
  <c r="R141" i="3"/>
  <c r="W141" i="3"/>
  <c r="Q141" i="3"/>
  <c r="P141" i="3"/>
  <c r="O141" i="3"/>
  <c r="N141" i="3"/>
  <c r="K141" i="3"/>
  <c r="M141" i="3"/>
  <c r="AD133" i="3"/>
  <c r="F133" i="3"/>
  <c r="AC133" i="3"/>
  <c r="AB133" i="3"/>
  <c r="AA133" i="3"/>
  <c r="B133" i="3"/>
  <c r="AC127" i="3"/>
  <c r="AB127" i="3"/>
  <c r="F127" i="3"/>
  <c r="AA127" i="3"/>
  <c r="B127" i="3"/>
  <c r="AD127" i="3"/>
  <c r="G186" i="4"/>
  <c r="F186" i="4"/>
  <c r="H186" i="4" s="1"/>
  <c r="C186" i="4"/>
  <c r="B186" i="4"/>
  <c r="K186" i="4"/>
  <c r="E73" i="4"/>
  <c r="D73" i="4"/>
  <c r="M77" i="3"/>
  <c r="W77" i="3"/>
  <c r="K77" i="3"/>
  <c r="T77" i="3"/>
  <c r="H77" i="3"/>
  <c r="AE77" i="3"/>
  <c r="S77" i="3"/>
  <c r="Q77" i="3"/>
  <c r="P77" i="3"/>
  <c r="V77" i="3"/>
  <c r="U77" i="3"/>
  <c r="R77" i="3"/>
  <c r="O77" i="3"/>
  <c r="N77" i="3"/>
  <c r="L77" i="3"/>
  <c r="J77" i="3"/>
  <c r="I77" i="3"/>
  <c r="F103" i="4"/>
  <c r="H103" i="4" s="1"/>
  <c r="B103" i="4"/>
  <c r="K103" i="4"/>
  <c r="G103" i="4"/>
  <c r="C103" i="4"/>
  <c r="J71" i="4"/>
  <c r="I71" i="4"/>
  <c r="I62" i="4"/>
  <c r="J62" i="4"/>
  <c r="AB66" i="3"/>
  <c r="AD66" i="3"/>
  <c r="AC66" i="3"/>
  <c r="AA66" i="3"/>
  <c r="F66" i="3"/>
  <c r="B66" i="3"/>
  <c r="I43" i="4"/>
  <c r="J43" i="4"/>
  <c r="AA106" i="3"/>
  <c r="AD106" i="3"/>
  <c r="F106" i="3"/>
  <c r="AB106" i="3"/>
  <c r="B106" i="3"/>
  <c r="AC106" i="3"/>
  <c r="D65" i="4"/>
  <c r="E65" i="4"/>
  <c r="AE69" i="3"/>
  <c r="S69" i="3"/>
  <c r="P69" i="3"/>
  <c r="O69" i="3"/>
  <c r="M69" i="3"/>
  <c r="L69" i="3"/>
  <c r="Q69" i="3"/>
  <c r="N69" i="3"/>
  <c r="K69" i="3"/>
  <c r="J69" i="3"/>
  <c r="I69" i="3"/>
  <c r="H69" i="3"/>
  <c r="W69" i="3"/>
  <c r="V69" i="3"/>
  <c r="U69" i="3"/>
  <c r="T69" i="3"/>
  <c r="R69" i="3"/>
  <c r="I70" i="4"/>
  <c r="J70" i="4"/>
  <c r="AB57" i="3"/>
  <c r="AA57" i="3"/>
  <c r="B57" i="3"/>
  <c r="AD57" i="3"/>
  <c r="AC57" i="3"/>
  <c r="F57" i="3"/>
  <c r="AD19" i="3"/>
  <c r="F19" i="3"/>
  <c r="AC19" i="3"/>
  <c r="AB19" i="3"/>
  <c r="AA19" i="3"/>
  <c r="B19" i="3"/>
  <c r="AD70" i="3"/>
  <c r="F70" i="3"/>
  <c r="AC70" i="3"/>
  <c r="B70" i="3"/>
  <c r="AB70" i="3"/>
  <c r="AA70" i="3"/>
  <c r="J30" i="4"/>
  <c r="I30" i="4"/>
  <c r="E35" i="4"/>
  <c r="D35" i="4"/>
  <c r="Q39" i="3"/>
  <c r="P39" i="3"/>
  <c r="O39" i="3"/>
  <c r="N39" i="3"/>
  <c r="M39" i="3"/>
  <c r="L39" i="3"/>
  <c r="W39" i="3"/>
  <c r="K39" i="3"/>
  <c r="V39" i="3"/>
  <c r="J39" i="3"/>
  <c r="U39" i="3"/>
  <c r="I39" i="3"/>
  <c r="T39" i="3"/>
  <c r="H39" i="3"/>
  <c r="AE39" i="3"/>
  <c r="S39" i="3"/>
  <c r="R39" i="3"/>
  <c r="J16" i="4"/>
  <c r="I16" i="4"/>
  <c r="E52" i="4"/>
  <c r="D52" i="4"/>
  <c r="N56" i="3"/>
  <c r="W56" i="3"/>
  <c r="K56" i="3"/>
  <c r="V56" i="3"/>
  <c r="J56" i="3"/>
  <c r="T56" i="3"/>
  <c r="H56" i="3"/>
  <c r="AE56" i="3"/>
  <c r="S56" i="3"/>
  <c r="P56" i="3"/>
  <c r="O56" i="3"/>
  <c r="M56" i="3"/>
  <c r="L56" i="3"/>
  <c r="I56" i="3"/>
  <c r="U56" i="3"/>
  <c r="R56" i="3"/>
  <c r="Q56" i="3"/>
  <c r="AD37" i="3"/>
  <c r="F37" i="3"/>
  <c r="AC37" i="3"/>
  <c r="AB37" i="3"/>
  <c r="AA37" i="3"/>
  <c r="B37" i="3"/>
  <c r="AA61" i="3"/>
  <c r="AD61" i="3"/>
  <c r="AC61" i="3"/>
  <c r="AB61" i="3"/>
  <c r="F61" i="3"/>
  <c r="B61" i="3"/>
  <c r="E42" i="4"/>
  <c r="D42" i="4"/>
  <c r="T46" i="3"/>
  <c r="H46" i="3"/>
  <c r="R46" i="3"/>
  <c r="Q46" i="3"/>
  <c r="V46" i="3"/>
  <c r="U46" i="3"/>
  <c r="S46" i="3"/>
  <c r="P46" i="3"/>
  <c r="O46" i="3"/>
  <c r="AE46" i="3"/>
  <c r="N46" i="3"/>
  <c r="M46" i="3"/>
  <c r="L46" i="3"/>
  <c r="K46" i="3"/>
  <c r="J46" i="3"/>
  <c r="I46" i="3"/>
  <c r="W46" i="3"/>
  <c r="J29" i="4"/>
  <c r="I29" i="4"/>
  <c r="G68" i="4"/>
  <c r="C68" i="4"/>
  <c r="B68" i="4"/>
  <c r="K68" i="4"/>
  <c r="F68" i="4"/>
  <c r="H68" i="4" s="1"/>
  <c r="E22" i="4"/>
  <c r="D22" i="4"/>
  <c r="L26" i="3"/>
  <c r="W26" i="3"/>
  <c r="K26" i="3"/>
  <c r="V26" i="3"/>
  <c r="J26" i="3"/>
  <c r="U26" i="3"/>
  <c r="I26" i="3"/>
  <c r="T26" i="3"/>
  <c r="H26" i="3"/>
  <c r="AE26" i="3"/>
  <c r="S26" i="3"/>
  <c r="R26" i="3"/>
  <c r="Q26" i="3"/>
  <c r="P26" i="3"/>
  <c r="O26" i="3"/>
  <c r="N26" i="3"/>
  <c r="M26" i="3"/>
  <c r="J414" i="4"/>
  <c r="I414" i="4"/>
  <c r="E417" i="4"/>
  <c r="D417" i="4"/>
  <c r="T421" i="3"/>
  <c r="H421" i="3"/>
  <c r="AE421" i="3"/>
  <c r="S421" i="3"/>
  <c r="R421" i="3"/>
  <c r="Q421" i="3"/>
  <c r="P421" i="3"/>
  <c r="O421" i="3"/>
  <c r="M421" i="3"/>
  <c r="L421" i="3"/>
  <c r="W421" i="3"/>
  <c r="V421" i="3"/>
  <c r="U421" i="3"/>
  <c r="N421" i="3"/>
  <c r="K421" i="3"/>
  <c r="J421" i="3"/>
  <c r="I421" i="3"/>
  <c r="D335" i="4"/>
  <c r="E335" i="4"/>
  <c r="P339" i="3"/>
  <c r="O339" i="3"/>
  <c r="N339" i="3"/>
  <c r="M339" i="3"/>
  <c r="L339" i="3"/>
  <c r="W339" i="3"/>
  <c r="K339" i="3"/>
  <c r="V339" i="3"/>
  <c r="J339" i="3"/>
  <c r="U339" i="3"/>
  <c r="I339" i="3"/>
  <c r="T339" i="3"/>
  <c r="H339" i="3"/>
  <c r="S339" i="3"/>
  <c r="R339" i="3"/>
  <c r="Q339" i="3"/>
  <c r="AE339" i="3"/>
  <c r="J328" i="4"/>
  <c r="I328" i="4"/>
  <c r="AC292" i="3"/>
  <c r="AB292" i="3"/>
  <c r="AA292" i="3"/>
  <c r="B292" i="3"/>
  <c r="AD292" i="3"/>
  <c r="F292" i="3"/>
  <c r="AC308" i="3"/>
  <c r="F308" i="3"/>
  <c r="B308" i="3"/>
  <c r="AD308" i="3"/>
  <c r="AB308" i="3"/>
  <c r="AA308" i="3"/>
  <c r="E239" i="4"/>
  <c r="D239" i="4"/>
  <c r="N243" i="3"/>
  <c r="M243" i="3"/>
  <c r="L243" i="3"/>
  <c r="W243" i="3"/>
  <c r="K243" i="3"/>
  <c r="V243" i="3"/>
  <c r="J243" i="3"/>
  <c r="U243" i="3"/>
  <c r="I243" i="3"/>
  <c r="T243" i="3"/>
  <c r="H243" i="3"/>
  <c r="AE243" i="3"/>
  <c r="S243" i="3"/>
  <c r="P243" i="3"/>
  <c r="O243" i="3"/>
  <c r="R243" i="3"/>
  <c r="Q243" i="3"/>
  <c r="AD350" i="3"/>
  <c r="F350" i="3"/>
  <c r="AC350" i="3"/>
  <c r="AB350" i="3"/>
  <c r="AA350" i="3"/>
  <c r="B350" i="3"/>
  <c r="AD236" i="3"/>
  <c r="F236" i="3"/>
  <c r="AC236" i="3"/>
  <c r="AB236" i="3"/>
  <c r="AA236" i="3"/>
  <c r="B236" i="3"/>
  <c r="K275" i="4"/>
  <c r="G275" i="4"/>
  <c r="F275" i="4"/>
  <c r="H275" i="4" s="1"/>
  <c r="B275" i="4"/>
  <c r="C275" i="4"/>
  <c r="K379" i="4"/>
  <c r="F379" i="4"/>
  <c r="H379" i="4" s="1"/>
  <c r="G379" i="4"/>
  <c r="C379" i="4"/>
  <c r="B379" i="4"/>
  <c r="E247" i="4"/>
  <c r="D247" i="4"/>
  <c r="P251" i="3"/>
  <c r="W251" i="3"/>
  <c r="K251" i="3"/>
  <c r="R251" i="3"/>
  <c r="AE251" i="3"/>
  <c r="Q251" i="3"/>
  <c r="O251" i="3"/>
  <c r="N251" i="3"/>
  <c r="M251" i="3"/>
  <c r="L251" i="3"/>
  <c r="J251" i="3"/>
  <c r="I251" i="3"/>
  <c r="V251" i="3"/>
  <c r="H251" i="3"/>
  <c r="U251" i="3"/>
  <c r="T251" i="3"/>
  <c r="S251" i="3"/>
  <c r="K284" i="4"/>
  <c r="G284" i="4"/>
  <c r="F284" i="4"/>
  <c r="H284" i="4" s="1"/>
  <c r="B284" i="4"/>
  <c r="C284" i="4"/>
  <c r="K203" i="4"/>
  <c r="G203" i="4"/>
  <c r="F203" i="4"/>
  <c r="H203" i="4" s="1"/>
  <c r="C203" i="4"/>
  <c r="B203" i="4"/>
  <c r="AD205" i="3"/>
  <c r="F205" i="3"/>
  <c r="AC205" i="3"/>
  <c r="B205" i="3"/>
  <c r="AB205" i="3"/>
  <c r="AA205" i="3"/>
  <c r="D199" i="4"/>
  <c r="E199" i="4"/>
  <c r="O203" i="3"/>
  <c r="N203" i="3"/>
  <c r="M203" i="3"/>
  <c r="L203" i="3"/>
  <c r="W203" i="3"/>
  <c r="K203" i="3"/>
  <c r="V203" i="3"/>
  <c r="J203" i="3"/>
  <c r="U203" i="3"/>
  <c r="I203" i="3"/>
  <c r="T203" i="3"/>
  <c r="H203" i="3"/>
  <c r="AE203" i="3"/>
  <c r="S203" i="3"/>
  <c r="R203" i="3"/>
  <c r="Q203" i="3"/>
  <c r="P203" i="3"/>
  <c r="I192" i="4"/>
  <c r="J192" i="4"/>
  <c r="J130" i="4"/>
  <c r="I130" i="4"/>
  <c r="J499" i="4"/>
  <c r="I499" i="4"/>
  <c r="K493" i="4"/>
  <c r="G493" i="4"/>
  <c r="F493" i="4"/>
  <c r="H493" i="4" s="1"/>
  <c r="C493" i="4"/>
  <c r="B493" i="4"/>
  <c r="F476" i="4"/>
  <c r="H476" i="4" s="1"/>
  <c r="C476" i="4"/>
  <c r="K476" i="4"/>
  <c r="G476" i="4"/>
  <c r="B476" i="4"/>
  <c r="J463" i="4"/>
  <c r="I463" i="4"/>
  <c r="J423" i="4"/>
  <c r="I423" i="4"/>
  <c r="F457" i="4"/>
  <c r="H457" i="4" s="1"/>
  <c r="C457" i="4"/>
  <c r="B457" i="4"/>
  <c r="G457" i="4"/>
  <c r="K457" i="4"/>
  <c r="I426" i="4"/>
  <c r="J426" i="4"/>
  <c r="AB450" i="3"/>
  <c r="F450" i="3"/>
  <c r="B450" i="3"/>
  <c r="AD450" i="3"/>
  <c r="AC450" i="3"/>
  <c r="AA450" i="3"/>
  <c r="G452" i="4"/>
  <c r="F452" i="4"/>
  <c r="H452" i="4" s="1"/>
  <c r="C452" i="4"/>
  <c r="B452" i="4"/>
  <c r="K452" i="4"/>
  <c r="J422" i="4"/>
  <c r="I422" i="4"/>
  <c r="K458" i="4"/>
  <c r="G458" i="4"/>
  <c r="F458" i="4"/>
  <c r="H458" i="4" s="1"/>
  <c r="C458" i="4"/>
  <c r="B458" i="4"/>
  <c r="C427" i="4"/>
  <c r="K427" i="4"/>
  <c r="G427" i="4"/>
  <c r="F427" i="4"/>
  <c r="H427" i="4" s="1"/>
  <c r="B427" i="4"/>
  <c r="G390" i="4"/>
  <c r="F390" i="4"/>
  <c r="H390" i="4" s="1"/>
  <c r="B390" i="4"/>
  <c r="K390" i="4"/>
  <c r="C390" i="4"/>
  <c r="F488" i="4"/>
  <c r="H488" i="4" s="1"/>
  <c r="C488" i="4"/>
  <c r="G488" i="4"/>
  <c r="B488" i="4"/>
  <c r="K488" i="4"/>
  <c r="G401" i="4"/>
  <c r="F401" i="4"/>
  <c r="H401" i="4" s="1"/>
  <c r="K401" i="4"/>
  <c r="C401" i="4"/>
  <c r="B401" i="4"/>
  <c r="AA457" i="3"/>
  <c r="AD457" i="3"/>
  <c r="AC457" i="3"/>
  <c r="AB457" i="3"/>
  <c r="F457" i="3"/>
  <c r="B457" i="3"/>
  <c r="G413" i="4"/>
  <c r="F413" i="4"/>
  <c r="H413" i="4" s="1"/>
  <c r="K413" i="4"/>
  <c r="C413" i="4"/>
  <c r="B413" i="4"/>
  <c r="AD391" i="3"/>
  <c r="F391" i="3"/>
  <c r="AC391" i="3"/>
  <c r="AB391" i="3"/>
  <c r="B391" i="3"/>
  <c r="AA391" i="3"/>
  <c r="F389" i="4"/>
  <c r="H389" i="4" s="1"/>
  <c r="C389" i="4"/>
  <c r="B389" i="4"/>
  <c r="K389" i="4"/>
  <c r="G389" i="4"/>
  <c r="J320" i="4"/>
  <c r="I320" i="4"/>
  <c r="E337" i="4"/>
  <c r="D337" i="4"/>
  <c r="N341" i="3"/>
  <c r="M341" i="3"/>
  <c r="L341" i="3"/>
  <c r="W341" i="3"/>
  <c r="K341" i="3"/>
  <c r="V341" i="3"/>
  <c r="J341" i="3"/>
  <c r="U341" i="3"/>
  <c r="I341" i="3"/>
  <c r="T341" i="3"/>
  <c r="H341" i="3"/>
  <c r="AE341" i="3"/>
  <c r="S341" i="3"/>
  <c r="R341" i="3"/>
  <c r="Q341" i="3"/>
  <c r="P341" i="3"/>
  <c r="O341" i="3"/>
  <c r="AD367" i="3"/>
  <c r="F367" i="3"/>
  <c r="B367" i="3"/>
  <c r="AA367" i="3"/>
  <c r="AC367" i="3"/>
  <c r="AB367" i="3"/>
  <c r="G353" i="4"/>
  <c r="F353" i="4"/>
  <c r="H353" i="4" s="1"/>
  <c r="C353" i="4"/>
  <c r="B353" i="4"/>
  <c r="K353" i="4"/>
  <c r="AC381" i="3"/>
  <c r="AB381" i="3"/>
  <c r="F381" i="3"/>
  <c r="B381" i="3"/>
  <c r="AD381" i="3"/>
  <c r="AA381" i="3"/>
  <c r="K391" i="4"/>
  <c r="G391" i="4"/>
  <c r="F391" i="4"/>
  <c r="H391" i="4" s="1"/>
  <c r="C391" i="4"/>
  <c r="B391" i="4"/>
  <c r="G350" i="4"/>
  <c r="C350" i="4"/>
  <c r="F350" i="4"/>
  <c r="H350" i="4" s="1"/>
  <c r="B350" i="4"/>
  <c r="K350" i="4"/>
  <c r="C383" i="4"/>
  <c r="B383" i="4"/>
  <c r="K383" i="4"/>
  <c r="F383" i="4"/>
  <c r="H383" i="4" s="1"/>
  <c r="G383" i="4"/>
  <c r="B425" i="4"/>
  <c r="C425" i="4"/>
  <c r="K425" i="4"/>
  <c r="G425" i="4"/>
  <c r="F425" i="4"/>
  <c r="H425" i="4" s="1"/>
  <c r="D392" i="4"/>
  <c r="E392" i="4"/>
  <c r="O396" i="3"/>
  <c r="V396" i="3"/>
  <c r="J396" i="3"/>
  <c r="L396" i="3"/>
  <c r="K396" i="3"/>
  <c r="I396" i="3"/>
  <c r="W396" i="3"/>
  <c r="H396" i="3"/>
  <c r="U396" i="3"/>
  <c r="T396" i="3"/>
  <c r="S396" i="3"/>
  <c r="R396" i="3"/>
  <c r="Q396" i="3"/>
  <c r="P396" i="3"/>
  <c r="N396" i="3"/>
  <c r="M396" i="3"/>
  <c r="AE396" i="3"/>
  <c r="J348" i="4"/>
  <c r="I348" i="4"/>
  <c r="E411" i="4"/>
  <c r="D411" i="4"/>
  <c r="N415" i="3"/>
  <c r="V415" i="3"/>
  <c r="J415" i="3"/>
  <c r="U415" i="3"/>
  <c r="I415" i="3"/>
  <c r="R415" i="3"/>
  <c r="Q415" i="3"/>
  <c r="P415" i="3"/>
  <c r="O415" i="3"/>
  <c r="AE415" i="3"/>
  <c r="M415" i="3"/>
  <c r="L415" i="3"/>
  <c r="K415" i="3"/>
  <c r="H415" i="3"/>
  <c r="W415" i="3"/>
  <c r="T415" i="3"/>
  <c r="S415" i="3"/>
  <c r="AD321" i="3"/>
  <c r="F321" i="3"/>
  <c r="AC321" i="3"/>
  <c r="B321" i="3"/>
  <c r="AB321" i="3"/>
  <c r="AA321" i="3"/>
  <c r="D292" i="4"/>
  <c r="E292" i="4"/>
  <c r="M296" i="3"/>
  <c r="L296" i="3"/>
  <c r="W296" i="3"/>
  <c r="K296" i="3"/>
  <c r="V296" i="3"/>
  <c r="J296" i="3"/>
  <c r="U296" i="3"/>
  <c r="I296" i="3"/>
  <c r="T296" i="3"/>
  <c r="H296" i="3"/>
  <c r="AE296" i="3"/>
  <c r="S296" i="3"/>
  <c r="R296" i="3"/>
  <c r="Q296" i="3"/>
  <c r="P296" i="3"/>
  <c r="O296" i="3"/>
  <c r="N296" i="3"/>
  <c r="E280" i="4"/>
  <c r="D280" i="4"/>
  <c r="M284" i="3"/>
  <c r="W284" i="3"/>
  <c r="K284" i="3"/>
  <c r="U284" i="3"/>
  <c r="I284" i="3"/>
  <c r="T284" i="3"/>
  <c r="H284" i="3"/>
  <c r="AE284" i="3"/>
  <c r="S284" i="3"/>
  <c r="R284" i="3"/>
  <c r="N284" i="3"/>
  <c r="L284" i="3"/>
  <c r="J284" i="3"/>
  <c r="V284" i="3"/>
  <c r="Q284" i="3"/>
  <c r="P284" i="3"/>
  <c r="O284" i="3"/>
  <c r="C303" i="4"/>
  <c r="K303" i="4"/>
  <c r="G303" i="4"/>
  <c r="F303" i="4"/>
  <c r="H303" i="4" s="1"/>
  <c r="B303" i="4"/>
  <c r="E372" i="4"/>
  <c r="D372" i="4"/>
  <c r="P376" i="3"/>
  <c r="O376" i="3"/>
  <c r="W376" i="3"/>
  <c r="K376" i="3"/>
  <c r="Q376" i="3"/>
  <c r="AE376" i="3"/>
  <c r="N376" i="3"/>
  <c r="M376" i="3"/>
  <c r="L376" i="3"/>
  <c r="J376" i="3"/>
  <c r="I376" i="3"/>
  <c r="H376" i="3"/>
  <c r="V376" i="3"/>
  <c r="U376" i="3"/>
  <c r="R376" i="3"/>
  <c r="T376" i="3"/>
  <c r="S376" i="3"/>
  <c r="G307" i="4"/>
  <c r="F307" i="4"/>
  <c r="H307" i="4" s="1"/>
  <c r="C307" i="4"/>
  <c r="B307" i="4"/>
  <c r="K307" i="4"/>
  <c r="B302" i="4"/>
  <c r="K302" i="4"/>
  <c r="C302" i="4"/>
  <c r="G302" i="4"/>
  <c r="F302" i="4"/>
  <c r="H302" i="4" s="1"/>
  <c r="E269" i="4"/>
  <c r="D269" i="4"/>
  <c r="R273" i="3"/>
  <c r="N273" i="3"/>
  <c r="M273" i="3"/>
  <c r="L273" i="3"/>
  <c r="W273" i="3"/>
  <c r="K273" i="3"/>
  <c r="S273" i="3"/>
  <c r="Q273" i="3"/>
  <c r="P273" i="3"/>
  <c r="AE273" i="3"/>
  <c r="O273" i="3"/>
  <c r="J273" i="3"/>
  <c r="I273" i="3"/>
  <c r="H273" i="3"/>
  <c r="V273" i="3"/>
  <c r="U273" i="3"/>
  <c r="T273" i="3"/>
  <c r="F318" i="4"/>
  <c r="H318" i="4" s="1"/>
  <c r="C318" i="4"/>
  <c r="B318" i="4"/>
  <c r="K318" i="4"/>
  <c r="G318" i="4"/>
  <c r="E262" i="4"/>
  <c r="D262" i="4"/>
  <c r="AE266" i="3"/>
  <c r="S266" i="3"/>
  <c r="N266" i="3"/>
  <c r="M266" i="3"/>
  <c r="L266" i="3"/>
  <c r="R266" i="3"/>
  <c r="Q266" i="3"/>
  <c r="P266" i="3"/>
  <c r="O266" i="3"/>
  <c r="K266" i="3"/>
  <c r="J266" i="3"/>
  <c r="I266" i="3"/>
  <c r="H266" i="3"/>
  <c r="W266" i="3"/>
  <c r="V266" i="3"/>
  <c r="U266" i="3"/>
  <c r="T266" i="3"/>
  <c r="B326" i="4"/>
  <c r="K326" i="4"/>
  <c r="G326" i="4"/>
  <c r="C326" i="4"/>
  <c r="F326" i="4"/>
  <c r="H326" i="4" s="1"/>
  <c r="E346" i="4"/>
  <c r="D346" i="4"/>
  <c r="W350" i="3"/>
  <c r="K350" i="3"/>
  <c r="V350" i="3"/>
  <c r="J350" i="3"/>
  <c r="U350" i="3"/>
  <c r="I350" i="3"/>
  <c r="T350" i="3"/>
  <c r="H350" i="3"/>
  <c r="AE350" i="3"/>
  <c r="S350" i="3"/>
  <c r="R350" i="3"/>
  <c r="Q350" i="3"/>
  <c r="P350" i="3"/>
  <c r="O350" i="3"/>
  <c r="N350" i="3"/>
  <c r="M350" i="3"/>
  <c r="L350" i="3"/>
  <c r="E265" i="4"/>
  <c r="D265" i="4"/>
  <c r="V269" i="3"/>
  <c r="J269" i="3"/>
  <c r="Q269" i="3"/>
  <c r="P269" i="3"/>
  <c r="O269" i="3"/>
  <c r="M269" i="3"/>
  <c r="AE269" i="3"/>
  <c r="L269" i="3"/>
  <c r="K269" i="3"/>
  <c r="I269" i="3"/>
  <c r="H269" i="3"/>
  <c r="W269" i="3"/>
  <c r="U269" i="3"/>
  <c r="T269" i="3"/>
  <c r="N269" i="3"/>
  <c r="S269" i="3"/>
  <c r="R269" i="3"/>
  <c r="E248" i="4"/>
  <c r="D248" i="4"/>
  <c r="U252" i="3"/>
  <c r="I252" i="3"/>
  <c r="P252" i="3"/>
  <c r="O252" i="3"/>
  <c r="N252" i="3"/>
  <c r="M252" i="3"/>
  <c r="L252" i="3"/>
  <c r="K252" i="3"/>
  <c r="J252" i="3"/>
  <c r="W252" i="3"/>
  <c r="H252" i="3"/>
  <c r="V252" i="3"/>
  <c r="T252" i="3"/>
  <c r="Q252" i="3"/>
  <c r="S252" i="3"/>
  <c r="R252" i="3"/>
  <c r="AE252" i="3"/>
  <c r="J230" i="4"/>
  <c r="I230" i="4"/>
  <c r="AA246" i="3"/>
  <c r="F246" i="3"/>
  <c r="AD246" i="3"/>
  <c r="AC246" i="3"/>
  <c r="B246" i="3"/>
  <c r="AB246" i="3"/>
  <c r="E201" i="4"/>
  <c r="D201" i="4"/>
  <c r="M205" i="3"/>
  <c r="L205" i="3"/>
  <c r="W205" i="3"/>
  <c r="K205" i="3"/>
  <c r="V205" i="3"/>
  <c r="J205" i="3"/>
  <c r="U205" i="3"/>
  <c r="I205" i="3"/>
  <c r="T205" i="3"/>
  <c r="H205" i="3"/>
  <c r="AE205" i="3"/>
  <c r="S205" i="3"/>
  <c r="R205" i="3"/>
  <c r="Q205" i="3"/>
  <c r="P205" i="3"/>
  <c r="O205" i="3"/>
  <c r="N205" i="3"/>
  <c r="D194" i="4"/>
  <c r="E194" i="4"/>
  <c r="N198" i="3"/>
  <c r="M198" i="3"/>
  <c r="L198" i="3"/>
  <c r="W198" i="3"/>
  <c r="K198" i="3"/>
  <c r="V198" i="3"/>
  <c r="J198" i="3"/>
  <c r="U198" i="3"/>
  <c r="I198" i="3"/>
  <c r="T198" i="3"/>
  <c r="H198" i="3"/>
  <c r="AE198" i="3"/>
  <c r="S198" i="3"/>
  <c r="R198" i="3"/>
  <c r="P198" i="3"/>
  <c r="O198" i="3"/>
  <c r="Q198" i="3"/>
  <c r="B212" i="3"/>
  <c r="AD212" i="3"/>
  <c r="AC212" i="3"/>
  <c r="AB212" i="3"/>
  <c r="AA212" i="3"/>
  <c r="F212" i="3"/>
  <c r="C217" i="4"/>
  <c r="B217" i="4"/>
  <c r="K217" i="4"/>
  <c r="G217" i="4"/>
  <c r="F217" i="4"/>
  <c r="H217" i="4" s="1"/>
  <c r="E197" i="4"/>
  <c r="D197" i="4"/>
  <c r="Q201" i="3"/>
  <c r="P201" i="3"/>
  <c r="O201" i="3"/>
  <c r="N201" i="3"/>
  <c r="M201" i="3"/>
  <c r="L201" i="3"/>
  <c r="W201" i="3"/>
  <c r="K201" i="3"/>
  <c r="V201" i="3"/>
  <c r="J201" i="3"/>
  <c r="U201" i="3"/>
  <c r="I201" i="3"/>
  <c r="AE201" i="3"/>
  <c r="R201" i="3"/>
  <c r="T201" i="3"/>
  <c r="S201" i="3"/>
  <c r="H201" i="3"/>
  <c r="G271" i="4"/>
  <c r="F271" i="4"/>
  <c r="H271" i="4" s="1"/>
  <c r="C271" i="4"/>
  <c r="B271" i="4"/>
  <c r="K271" i="4"/>
  <c r="E166" i="4"/>
  <c r="D166" i="4"/>
  <c r="N170" i="3"/>
  <c r="M170" i="3"/>
  <c r="L170" i="3"/>
  <c r="V170" i="3"/>
  <c r="J170" i="3"/>
  <c r="P170" i="3"/>
  <c r="O170" i="3"/>
  <c r="K170" i="3"/>
  <c r="I170" i="3"/>
  <c r="H170" i="3"/>
  <c r="W170" i="3"/>
  <c r="R170" i="3"/>
  <c r="U170" i="3"/>
  <c r="T170" i="3"/>
  <c r="S170" i="3"/>
  <c r="Q170" i="3"/>
  <c r="AE170" i="3"/>
  <c r="J195" i="4"/>
  <c r="I195" i="4"/>
  <c r="AD238" i="3"/>
  <c r="F238" i="3"/>
  <c r="AC238" i="3"/>
  <c r="B238" i="3"/>
  <c r="AB238" i="3"/>
  <c r="AA238" i="3"/>
  <c r="K226" i="4"/>
  <c r="G226" i="4"/>
  <c r="F226" i="4"/>
  <c r="H226" i="4" s="1"/>
  <c r="C226" i="4"/>
  <c r="B226" i="4"/>
  <c r="G191" i="4"/>
  <c r="C191" i="4"/>
  <c r="B191" i="4"/>
  <c r="K191" i="4"/>
  <c r="F191" i="4"/>
  <c r="H191" i="4" s="1"/>
  <c r="E142" i="4"/>
  <c r="D142" i="4"/>
  <c r="M146" i="3"/>
  <c r="L146" i="3"/>
  <c r="W146" i="3"/>
  <c r="K146" i="3"/>
  <c r="V146" i="3"/>
  <c r="J146" i="3"/>
  <c r="U146" i="3"/>
  <c r="I146" i="3"/>
  <c r="T146" i="3"/>
  <c r="H146" i="3"/>
  <c r="AE146" i="3"/>
  <c r="S146" i="3"/>
  <c r="N146" i="3"/>
  <c r="R146" i="3"/>
  <c r="Q146" i="3"/>
  <c r="P146" i="3"/>
  <c r="O146" i="3"/>
  <c r="E147" i="4"/>
  <c r="D147" i="4"/>
  <c r="N151" i="3"/>
  <c r="M151" i="3"/>
  <c r="L151" i="3"/>
  <c r="W151" i="3"/>
  <c r="K151" i="3"/>
  <c r="V151" i="3"/>
  <c r="J151" i="3"/>
  <c r="U151" i="3"/>
  <c r="I151" i="3"/>
  <c r="T151" i="3"/>
  <c r="H151" i="3"/>
  <c r="P151" i="3"/>
  <c r="Q151" i="3"/>
  <c r="O151" i="3"/>
  <c r="AE151" i="3"/>
  <c r="R151" i="3"/>
  <c r="S151" i="3"/>
  <c r="J140" i="4"/>
  <c r="I140" i="4"/>
  <c r="D145" i="4"/>
  <c r="E145" i="4"/>
  <c r="P149" i="3"/>
  <c r="O149" i="3"/>
  <c r="N149" i="3"/>
  <c r="M149" i="3"/>
  <c r="L149" i="3"/>
  <c r="W149" i="3"/>
  <c r="K149" i="3"/>
  <c r="V149" i="3"/>
  <c r="J149" i="3"/>
  <c r="S149" i="3"/>
  <c r="R149" i="3"/>
  <c r="Q149" i="3"/>
  <c r="I149" i="3"/>
  <c r="H149" i="3"/>
  <c r="AE149" i="3"/>
  <c r="U149" i="3"/>
  <c r="T149" i="3"/>
  <c r="G162" i="4"/>
  <c r="F162" i="4"/>
  <c r="H162" i="4" s="1"/>
  <c r="C162" i="4"/>
  <c r="B162" i="4"/>
  <c r="K162" i="4"/>
  <c r="AD218" i="3"/>
  <c r="F218" i="3"/>
  <c r="AB218" i="3"/>
  <c r="B218" i="3"/>
  <c r="AC218" i="3"/>
  <c r="AA218" i="3"/>
  <c r="AD135" i="3"/>
  <c r="F135" i="3"/>
  <c r="AB135" i="3"/>
  <c r="AA135" i="3"/>
  <c r="B135" i="3"/>
  <c r="AC135" i="3"/>
  <c r="K164" i="4"/>
  <c r="G164" i="4"/>
  <c r="F164" i="4"/>
  <c r="H164" i="4" s="1"/>
  <c r="C164" i="4"/>
  <c r="B164" i="4"/>
  <c r="K179" i="4"/>
  <c r="G179" i="4"/>
  <c r="F179" i="4"/>
  <c r="H179" i="4" s="1"/>
  <c r="B179" i="4"/>
  <c r="C179" i="4"/>
  <c r="F123" i="4"/>
  <c r="H123" i="4" s="1"/>
  <c r="B123" i="4"/>
  <c r="G123" i="4"/>
  <c r="C123" i="4"/>
  <c r="K123" i="4"/>
  <c r="AD162" i="3"/>
  <c r="F162" i="3"/>
  <c r="AC162" i="3"/>
  <c r="AB162" i="3"/>
  <c r="AA162" i="3"/>
  <c r="B162" i="3"/>
  <c r="E99" i="4"/>
  <c r="D99" i="4"/>
  <c r="L103" i="3"/>
  <c r="T103" i="3"/>
  <c r="H103" i="3"/>
  <c r="AE103" i="3"/>
  <c r="S103" i="3"/>
  <c r="O103" i="3"/>
  <c r="N103" i="3"/>
  <c r="M103" i="3"/>
  <c r="I103" i="3"/>
  <c r="W103" i="3"/>
  <c r="V103" i="3"/>
  <c r="U103" i="3"/>
  <c r="R103" i="3"/>
  <c r="P103" i="3"/>
  <c r="J103" i="3"/>
  <c r="Q103" i="3"/>
  <c r="K103" i="3"/>
  <c r="J91" i="4"/>
  <c r="I91" i="4"/>
  <c r="E55" i="4"/>
  <c r="D55" i="4"/>
  <c r="Q59" i="3"/>
  <c r="N59" i="3"/>
  <c r="M59" i="3"/>
  <c r="W59" i="3"/>
  <c r="K59" i="3"/>
  <c r="V59" i="3"/>
  <c r="J59" i="3"/>
  <c r="P59" i="3"/>
  <c r="O59" i="3"/>
  <c r="AE59" i="3"/>
  <c r="L59" i="3"/>
  <c r="I59" i="3"/>
  <c r="H59" i="3"/>
  <c r="U59" i="3"/>
  <c r="T59" i="3"/>
  <c r="S59" i="3"/>
  <c r="R59" i="3"/>
  <c r="C108" i="4"/>
  <c r="B108" i="4"/>
  <c r="G108" i="4"/>
  <c r="K108" i="4"/>
  <c r="F108" i="4"/>
  <c r="H108" i="4" s="1"/>
  <c r="C371" i="4"/>
  <c r="B371" i="4"/>
  <c r="K371" i="4"/>
  <c r="G371" i="4"/>
  <c r="F371" i="4"/>
  <c r="H371" i="4" s="1"/>
  <c r="D46" i="4"/>
  <c r="E46" i="4"/>
  <c r="P50" i="3"/>
  <c r="N50" i="3"/>
  <c r="M50" i="3"/>
  <c r="U50" i="3"/>
  <c r="T50" i="3"/>
  <c r="S50" i="3"/>
  <c r="R50" i="3"/>
  <c r="Q50" i="3"/>
  <c r="AE50" i="3"/>
  <c r="O50" i="3"/>
  <c r="L50" i="3"/>
  <c r="K50" i="3"/>
  <c r="J50" i="3"/>
  <c r="I50" i="3"/>
  <c r="W50" i="3"/>
  <c r="H50" i="3"/>
  <c r="V50" i="3"/>
  <c r="AD60" i="3"/>
  <c r="F60" i="3"/>
  <c r="AB60" i="3"/>
  <c r="AA60" i="3"/>
  <c r="B60" i="3"/>
  <c r="AC60" i="3"/>
  <c r="AC65" i="3"/>
  <c r="AB65" i="3"/>
  <c r="B65" i="3"/>
  <c r="AD65" i="3"/>
  <c r="AA65" i="3"/>
  <c r="F65" i="3"/>
  <c r="E51" i="4"/>
  <c r="D51" i="4"/>
  <c r="R55" i="3"/>
  <c r="Q55" i="3"/>
  <c r="O55" i="3"/>
  <c r="N55" i="3"/>
  <c r="J55" i="3"/>
  <c r="I55" i="3"/>
  <c r="H55" i="3"/>
  <c r="W55" i="3"/>
  <c r="V55" i="3"/>
  <c r="U55" i="3"/>
  <c r="T55" i="3"/>
  <c r="S55" i="3"/>
  <c r="P55" i="3"/>
  <c r="M55" i="3"/>
  <c r="L55" i="3"/>
  <c r="AE55" i="3"/>
  <c r="K55" i="3"/>
  <c r="F44" i="3"/>
  <c r="B44" i="3"/>
  <c r="AD44" i="3"/>
  <c r="AC44" i="3"/>
  <c r="AB44" i="3"/>
  <c r="AA44" i="3"/>
  <c r="C81" i="4"/>
  <c r="B81" i="4"/>
  <c r="K81" i="4"/>
  <c r="G81" i="4"/>
  <c r="F81" i="4"/>
  <c r="H81" i="4" s="1"/>
  <c r="F66" i="4"/>
  <c r="H66" i="4" s="1"/>
  <c r="C66" i="4"/>
  <c r="B66" i="4"/>
  <c r="K66" i="4"/>
  <c r="G66" i="4"/>
  <c r="G44" i="4"/>
  <c r="B44" i="4"/>
  <c r="K44" i="4"/>
  <c r="F44" i="4"/>
  <c r="H44" i="4" s="1"/>
  <c r="C44" i="4"/>
  <c r="E23" i="4"/>
  <c r="D23" i="4"/>
  <c r="Q27" i="3"/>
  <c r="P27" i="3"/>
  <c r="O27" i="3"/>
  <c r="N27" i="3"/>
  <c r="M27" i="3"/>
  <c r="L27" i="3"/>
  <c r="W27" i="3"/>
  <c r="K27" i="3"/>
  <c r="V27" i="3"/>
  <c r="J27" i="3"/>
  <c r="U27" i="3"/>
  <c r="I27" i="3"/>
  <c r="T27" i="3"/>
  <c r="H27" i="3"/>
  <c r="AE27" i="3"/>
  <c r="S27" i="3"/>
  <c r="R27" i="3"/>
  <c r="G49" i="4"/>
  <c r="K49" i="4"/>
  <c r="F49" i="4"/>
  <c r="H49" i="4" s="1"/>
  <c r="C49" i="4"/>
  <c r="B49" i="4"/>
  <c r="J28" i="4"/>
  <c r="I28" i="4"/>
  <c r="B107" i="4"/>
  <c r="G107" i="4"/>
  <c r="F107" i="4"/>
  <c r="H107" i="4" s="1"/>
  <c r="C107" i="4"/>
  <c r="K107" i="4"/>
  <c r="D93" i="4"/>
  <c r="E93" i="4"/>
  <c r="R97" i="3"/>
  <c r="N97" i="3"/>
  <c r="J97" i="3"/>
  <c r="W97" i="3"/>
  <c r="I97" i="3"/>
  <c r="V97" i="3"/>
  <c r="H97" i="3"/>
  <c r="S97" i="3"/>
  <c r="Q97" i="3"/>
  <c r="O97" i="3"/>
  <c r="M97" i="3"/>
  <c r="K97" i="3"/>
  <c r="AE97" i="3"/>
  <c r="U97" i="3"/>
  <c r="T97" i="3"/>
  <c r="P97" i="3"/>
  <c r="L97" i="3"/>
  <c r="E480" i="4"/>
  <c r="D480" i="4"/>
  <c r="M484" i="3"/>
  <c r="V484" i="3"/>
  <c r="I484" i="3"/>
  <c r="U484" i="3"/>
  <c r="H484" i="3"/>
  <c r="T484" i="3"/>
  <c r="S484" i="3"/>
  <c r="AE484" i="3"/>
  <c r="R484" i="3"/>
  <c r="Q484" i="3"/>
  <c r="P484" i="3"/>
  <c r="O484" i="3"/>
  <c r="N484" i="3"/>
  <c r="K484" i="3"/>
  <c r="J484" i="3"/>
  <c r="W484" i="3"/>
  <c r="L484" i="3"/>
  <c r="G491" i="4"/>
  <c r="F491" i="4"/>
  <c r="H491" i="4" s="1"/>
  <c r="K491" i="4"/>
  <c r="C491" i="4"/>
  <c r="B491" i="4"/>
  <c r="I468" i="4"/>
  <c r="J468" i="4"/>
  <c r="K447" i="4"/>
  <c r="F447" i="4"/>
  <c r="H447" i="4" s="1"/>
  <c r="G447" i="4"/>
  <c r="C447" i="4"/>
  <c r="B447" i="4"/>
  <c r="B405" i="3"/>
  <c r="AD405" i="3"/>
  <c r="AC405" i="3"/>
  <c r="AB405" i="3"/>
  <c r="AA405" i="3"/>
  <c r="F405" i="3"/>
  <c r="G375" i="4"/>
  <c r="F375" i="4"/>
  <c r="H375" i="4" s="1"/>
  <c r="K375" i="4"/>
  <c r="C375" i="4"/>
  <c r="B375" i="4"/>
  <c r="G365" i="4"/>
  <c r="F365" i="4"/>
  <c r="H365" i="4" s="1"/>
  <c r="K365" i="4"/>
  <c r="B365" i="4"/>
  <c r="C365" i="4"/>
  <c r="K325" i="4"/>
  <c r="G325" i="4"/>
  <c r="F325" i="4"/>
  <c r="H325" i="4" s="1"/>
  <c r="C325" i="4"/>
  <c r="B325" i="4"/>
  <c r="J257" i="4"/>
  <c r="I257" i="4"/>
  <c r="E250" i="4"/>
  <c r="D250" i="4"/>
  <c r="AE254" i="3"/>
  <c r="S254" i="3"/>
  <c r="N254" i="3"/>
  <c r="K254" i="3"/>
  <c r="J254" i="3"/>
  <c r="W254" i="3"/>
  <c r="I254" i="3"/>
  <c r="V254" i="3"/>
  <c r="H254" i="3"/>
  <c r="U254" i="3"/>
  <c r="T254" i="3"/>
  <c r="R254" i="3"/>
  <c r="Q254" i="3"/>
  <c r="P254" i="3"/>
  <c r="O254" i="3"/>
  <c r="M254" i="3"/>
  <c r="L254" i="3"/>
  <c r="AD281" i="3"/>
  <c r="F281" i="3"/>
  <c r="AC281" i="3"/>
  <c r="AB281" i="3"/>
  <c r="AA281" i="3"/>
  <c r="B281" i="3"/>
  <c r="AB287" i="3"/>
  <c r="AA287" i="3"/>
  <c r="B287" i="3"/>
  <c r="AD287" i="3"/>
  <c r="AC287" i="3"/>
  <c r="F287" i="3"/>
  <c r="B253" i="4"/>
  <c r="K253" i="4"/>
  <c r="G253" i="4"/>
  <c r="C253" i="4"/>
  <c r="F253" i="4"/>
  <c r="H253" i="4" s="1"/>
  <c r="E298" i="4"/>
  <c r="D298" i="4"/>
  <c r="W302" i="3"/>
  <c r="K302" i="3"/>
  <c r="M302" i="3"/>
  <c r="L302" i="3"/>
  <c r="J302" i="3"/>
  <c r="V302" i="3"/>
  <c r="I302" i="3"/>
  <c r="U302" i="3"/>
  <c r="H302" i="3"/>
  <c r="T302" i="3"/>
  <c r="S302" i="3"/>
  <c r="AE302" i="3"/>
  <c r="R302" i="3"/>
  <c r="N302" i="3"/>
  <c r="Q302" i="3"/>
  <c r="P302" i="3"/>
  <c r="O302" i="3"/>
  <c r="E230" i="4"/>
  <c r="D230" i="4"/>
  <c r="N234" i="3"/>
  <c r="M234" i="3"/>
  <c r="L234" i="3"/>
  <c r="W234" i="3"/>
  <c r="K234" i="3"/>
  <c r="V234" i="3"/>
  <c r="J234" i="3"/>
  <c r="O234" i="3"/>
  <c r="AE234" i="3"/>
  <c r="I234" i="3"/>
  <c r="H234" i="3"/>
  <c r="U234" i="3"/>
  <c r="T234" i="3"/>
  <c r="S234" i="3"/>
  <c r="R234" i="3"/>
  <c r="Q234" i="3"/>
  <c r="P234" i="3"/>
  <c r="B234" i="3"/>
  <c r="AD234" i="3"/>
  <c r="AC234" i="3"/>
  <c r="AB234" i="3"/>
  <c r="F234" i="3"/>
  <c r="AA234" i="3"/>
  <c r="J189" i="4"/>
  <c r="I189" i="4"/>
  <c r="D185" i="4"/>
  <c r="E185" i="4"/>
  <c r="P189" i="3"/>
  <c r="N189" i="3"/>
  <c r="M189" i="3"/>
  <c r="L189" i="3"/>
  <c r="W189" i="3"/>
  <c r="K189" i="3"/>
  <c r="V189" i="3"/>
  <c r="J189" i="3"/>
  <c r="U189" i="3"/>
  <c r="I189" i="3"/>
  <c r="AE189" i="3"/>
  <c r="T189" i="3"/>
  <c r="S189" i="3"/>
  <c r="H189" i="3"/>
  <c r="O189" i="3"/>
  <c r="R189" i="3"/>
  <c r="Q189" i="3"/>
  <c r="G222" i="4"/>
  <c r="K222" i="4"/>
  <c r="F222" i="4"/>
  <c r="H222" i="4" s="1"/>
  <c r="C222" i="4"/>
  <c r="B222" i="4"/>
  <c r="J183" i="4"/>
  <c r="I183" i="4"/>
  <c r="E241" i="4"/>
  <c r="D241" i="4"/>
  <c r="L245" i="3"/>
  <c r="W245" i="3"/>
  <c r="K245" i="3"/>
  <c r="V245" i="3"/>
  <c r="J245" i="3"/>
  <c r="U245" i="3"/>
  <c r="I245" i="3"/>
  <c r="T245" i="3"/>
  <c r="H245" i="3"/>
  <c r="AE245" i="3"/>
  <c r="S245" i="3"/>
  <c r="R245" i="3"/>
  <c r="Q245" i="3"/>
  <c r="P245" i="3"/>
  <c r="N245" i="3"/>
  <c r="M245" i="3"/>
  <c r="O245" i="3"/>
  <c r="C218" i="4"/>
  <c r="B218" i="4"/>
  <c r="K218" i="4"/>
  <c r="G218" i="4"/>
  <c r="F218" i="4"/>
  <c r="H218" i="4" s="1"/>
  <c r="E193" i="4"/>
  <c r="D193" i="4"/>
  <c r="U197" i="3"/>
  <c r="I197" i="3"/>
  <c r="T197" i="3"/>
  <c r="H197" i="3"/>
  <c r="AE197" i="3"/>
  <c r="S197" i="3"/>
  <c r="R197" i="3"/>
  <c r="Q197" i="3"/>
  <c r="P197" i="3"/>
  <c r="O197" i="3"/>
  <c r="N197" i="3"/>
  <c r="M197" i="3"/>
  <c r="K197" i="3"/>
  <c r="J197" i="3"/>
  <c r="V197" i="3"/>
  <c r="W197" i="3"/>
  <c r="L197" i="3"/>
  <c r="J431" i="4"/>
  <c r="I431" i="4"/>
  <c r="I460" i="4"/>
  <c r="J460" i="4"/>
  <c r="AA490" i="3"/>
  <c r="F490" i="3"/>
  <c r="B490" i="3"/>
  <c r="AD490" i="3"/>
  <c r="AC490" i="3"/>
  <c r="AB490" i="3"/>
  <c r="K495" i="4"/>
  <c r="F495" i="4"/>
  <c r="H495" i="4" s="1"/>
  <c r="G495" i="4"/>
  <c r="C495" i="4"/>
  <c r="B495" i="4"/>
  <c r="I484" i="4"/>
  <c r="J484" i="4"/>
  <c r="E459" i="4"/>
  <c r="D459" i="4"/>
  <c r="U463" i="3"/>
  <c r="I463" i="3"/>
  <c r="T463" i="3"/>
  <c r="H463" i="3"/>
  <c r="Q463" i="3"/>
  <c r="P463" i="3"/>
  <c r="N463" i="3"/>
  <c r="M463" i="3"/>
  <c r="L463" i="3"/>
  <c r="K463" i="3"/>
  <c r="J463" i="3"/>
  <c r="AE463" i="3"/>
  <c r="W463" i="3"/>
  <c r="V463" i="3"/>
  <c r="S463" i="3"/>
  <c r="R463" i="3"/>
  <c r="O463" i="3"/>
  <c r="E448" i="4"/>
  <c r="D448" i="4"/>
  <c r="N452" i="3"/>
  <c r="V452" i="3"/>
  <c r="J452" i="3"/>
  <c r="U452" i="3"/>
  <c r="I452" i="3"/>
  <c r="K452" i="3"/>
  <c r="H452" i="3"/>
  <c r="W452" i="3"/>
  <c r="T452" i="3"/>
  <c r="S452" i="3"/>
  <c r="R452" i="3"/>
  <c r="Q452" i="3"/>
  <c r="AE452" i="3"/>
  <c r="P452" i="3"/>
  <c r="O452" i="3"/>
  <c r="M452" i="3"/>
  <c r="L452" i="3"/>
  <c r="E484" i="4"/>
  <c r="D484" i="4"/>
  <c r="M488" i="3"/>
  <c r="W488" i="3"/>
  <c r="K488" i="3"/>
  <c r="U488" i="3"/>
  <c r="I488" i="3"/>
  <c r="H488" i="3"/>
  <c r="V488" i="3"/>
  <c r="T488" i="3"/>
  <c r="S488" i="3"/>
  <c r="R488" i="3"/>
  <c r="Q488" i="3"/>
  <c r="AE488" i="3"/>
  <c r="P488" i="3"/>
  <c r="O488" i="3"/>
  <c r="N488" i="3"/>
  <c r="L488" i="3"/>
  <c r="J488" i="3"/>
  <c r="J504" i="4"/>
  <c r="I504" i="4"/>
  <c r="E444" i="4"/>
  <c r="D444" i="4"/>
  <c r="R448" i="3"/>
  <c r="N448" i="3"/>
  <c r="M448" i="3"/>
  <c r="V448" i="3"/>
  <c r="U448" i="3"/>
  <c r="T448" i="3"/>
  <c r="S448" i="3"/>
  <c r="Q448" i="3"/>
  <c r="P448" i="3"/>
  <c r="AE448" i="3"/>
  <c r="O448" i="3"/>
  <c r="L448" i="3"/>
  <c r="K448" i="3"/>
  <c r="W448" i="3"/>
  <c r="J448" i="3"/>
  <c r="I448" i="3"/>
  <c r="H448" i="3"/>
  <c r="C486" i="4"/>
  <c r="B486" i="4"/>
  <c r="K486" i="4"/>
  <c r="G486" i="4"/>
  <c r="F486" i="4"/>
  <c r="H486" i="4" s="1"/>
  <c r="E418" i="4"/>
  <c r="D418" i="4"/>
  <c r="M422" i="3"/>
  <c r="L422" i="3"/>
  <c r="W422" i="3"/>
  <c r="K422" i="3"/>
  <c r="V422" i="3"/>
  <c r="J422" i="3"/>
  <c r="U422" i="3"/>
  <c r="I422" i="3"/>
  <c r="T422" i="3"/>
  <c r="H422" i="3"/>
  <c r="R422" i="3"/>
  <c r="Q422" i="3"/>
  <c r="S422" i="3"/>
  <c r="P422" i="3"/>
  <c r="O422" i="3"/>
  <c r="N422" i="3"/>
  <c r="AE422" i="3"/>
  <c r="J406" i="4"/>
  <c r="I406" i="4"/>
  <c r="AC451" i="3"/>
  <c r="AB451" i="3"/>
  <c r="F451" i="3"/>
  <c r="B451" i="3"/>
  <c r="AD451" i="3"/>
  <c r="AA451" i="3"/>
  <c r="AC418" i="3"/>
  <c r="AA418" i="3"/>
  <c r="AD418" i="3"/>
  <c r="F418" i="3"/>
  <c r="AB418" i="3"/>
  <c r="B418" i="3"/>
  <c r="AC466" i="3"/>
  <c r="AB466" i="3"/>
  <c r="AD466" i="3"/>
  <c r="F466" i="3"/>
  <c r="AA466" i="3"/>
  <c r="B466" i="3"/>
  <c r="G436" i="4"/>
  <c r="F436" i="4"/>
  <c r="H436" i="4" s="1"/>
  <c r="C436" i="4"/>
  <c r="K436" i="4"/>
  <c r="B436" i="4"/>
  <c r="D386" i="4"/>
  <c r="E386" i="4"/>
  <c r="N390" i="3"/>
  <c r="M390" i="3"/>
  <c r="L390" i="3"/>
  <c r="W390" i="3"/>
  <c r="K390" i="3"/>
  <c r="U390" i="3"/>
  <c r="I390" i="3"/>
  <c r="T390" i="3"/>
  <c r="H390" i="3"/>
  <c r="AE390" i="3"/>
  <c r="S390" i="3"/>
  <c r="P390" i="3"/>
  <c r="O390" i="3"/>
  <c r="J390" i="3"/>
  <c r="V390" i="3"/>
  <c r="R390" i="3"/>
  <c r="Q390" i="3"/>
  <c r="J362" i="4"/>
  <c r="I362" i="4"/>
  <c r="G412" i="4"/>
  <c r="F412" i="4"/>
  <c r="H412" i="4" s="1"/>
  <c r="K412" i="4"/>
  <c r="C412" i="4"/>
  <c r="B412" i="4"/>
  <c r="G400" i="4"/>
  <c r="F400" i="4"/>
  <c r="H400" i="4" s="1"/>
  <c r="C400" i="4"/>
  <c r="B400" i="4"/>
  <c r="K400" i="4"/>
  <c r="AD465" i="3"/>
  <c r="F465" i="3"/>
  <c r="AA465" i="3"/>
  <c r="B465" i="3"/>
  <c r="AC465" i="3"/>
  <c r="AB465" i="3"/>
  <c r="F437" i="3"/>
  <c r="AD437" i="3"/>
  <c r="AC437" i="3"/>
  <c r="AB437" i="3"/>
  <c r="B437" i="3"/>
  <c r="AA437" i="3"/>
  <c r="E382" i="4"/>
  <c r="D382" i="4"/>
  <c r="R386" i="3"/>
  <c r="Q386" i="3"/>
  <c r="M386" i="3"/>
  <c r="W386" i="3"/>
  <c r="K386" i="3"/>
  <c r="V386" i="3"/>
  <c r="U386" i="3"/>
  <c r="T386" i="3"/>
  <c r="S386" i="3"/>
  <c r="P386" i="3"/>
  <c r="O386" i="3"/>
  <c r="N386" i="3"/>
  <c r="AE386" i="3"/>
  <c r="L386" i="3"/>
  <c r="I386" i="3"/>
  <c r="H386" i="3"/>
  <c r="J386" i="3"/>
  <c r="E453" i="4"/>
  <c r="D453" i="4"/>
  <c r="O457" i="3"/>
  <c r="W457" i="3"/>
  <c r="K457" i="3"/>
  <c r="V457" i="3"/>
  <c r="J457" i="3"/>
  <c r="T457" i="3"/>
  <c r="H457" i="3"/>
  <c r="Q457" i="3"/>
  <c r="P457" i="3"/>
  <c r="AE457" i="3"/>
  <c r="N457" i="3"/>
  <c r="M457" i="3"/>
  <c r="L457" i="3"/>
  <c r="I457" i="3"/>
  <c r="U457" i="3"/>
  <c r="S457" i="3"/>
  <c r="R457" i="3"/>
  <c r="AB413" i="3"/>
  <c r="AA413" i="3"/>
  <c r="F413" i="3"/>
  <c r="B413" i="3"/>
  <c r="AD413" i="3"/>
  <c r="AC413" i="3"/>
  <c r="E380" i="4"/>
  <c r="D380" i="4"/>
  <c r="T384" i="3"/>
  <c r="H384" i="3"/>
  <c r="AE384" i="3"/>
  <c r="S384" i="3"/>
  <c r="O384" i="3"/>
  <c r="M384" i="3"/>
  <c r="V384" i="3"/>
  <c r="U384" i="3"/>
  <c r="R384" i="3"/>
  <c r="Q384" i="3"/>
  <c r="P384" i="3"/>
  <c r="N384" i="3"/>
  <c r="L384" i="3"/>
  <c r="K384" i="3"/>
  <c r="J384" i="3"/>
  <c r="W384" i="3"/>
  <c r="I384" i="3"/>
  <c r="J344" i="4"/>
  <c r="I344" i="4"/>
  <c r="K351" i="4"/>
  <c r="G351" i="4"/>
  <c r="F351" i="4"/>
  <c r="H351" i="4" s="1"/>
  <c r="C351" i="4"/>
  <c r="B351" i="4"/>
  <c r="J337" i="4"/>
  <c r="I337" i="4"/>
  <c r="AB365" i="3"/>
  <c r="F365" i="3"/>
  <c r="B365" i="3"/>
  <c r="AD365" i="3"/>
  <c r="AC365" i="3"/>
  <c r="AA365" i="3"/>
  <c r="AB355" i="3"/>
  <c r="B355" i="3"/>
  <c r="AA355" i="3"/>
  <c r="F355" i="3"/>
  <c r="AD355" i="3"/>
  <c r="AC355" i="3"/>
  <c r="AC320" i="3"/>
  <c r="F320" i="3"/>
  <c r="B320" i="3"/>
  <c r="AD320" i="3"/>
  <c r="AB320" i="3"/>
  <c r="AA320" i="3"/>
  <c r="D338" i="4"/>
  <c r="E338" i="4"/>
  <c r="AE342" i="3"/>
  <c r="S342" i="3"/>
  <c r="R342" i="3"/>
  <c r="Q342" i="3"/>
  <c r="P342" i="3"/>
  <c r="O342" i="3"/>
  <c r="N342" i="3"/>
  <c r="M342" i="3"/>
  <c r="L342" i="3"/>
  <c r="W342" i="3"/>
  <c r="K342" i="3"/>
  <c r="I342" i="3"/>
  <c r="H342" i="3"/>
  <c r="V342" i="3"/>
  <c r="U342" i="3"/>
  <c r="T342" i="3"/>
  <c r="J342" i="3"/>
  <c r="E329" i="4"/>
  <c r="D329" i="4"/>
  <c r="V333" i="3"/>
  <c r="J333" i="3"/>
  <c r="T333" i="3"/>
  <c r="H333" i="3"/>
  <c r="R333" i="3"/>
  <c r="Q333" i="3"/>
  <c r="O333" i="3"/>
  <c r="N333" i="3"/>
  <c r="W333" i="3"/>
  <c r="U333" i="3"/>
  <c r="S333" i="3"/>
  <c r="P333" i="3"/>
  <c r="M333" i="3"/>
  <c r="L333" i="3"/>
  <c r="AE333" i="3"/>
  <c r="K333" i="3"/>
  <c r="I333" i="3"/>
  <c r="E244" i="4"/>
  <c r="D244" i="4"/>
  <c r="M248" i="3"/>
  <c r="T248" i="3"/>
  <c r="H248" i="3"/>
  <c r="K248" i="3"/>
  <c r="J248" i="3"/>
  <c r="W248" i="3"/>
  <c r="I248" i="3"/>
  <c r="V248" i="3"/>
  <c r="U248" i="3"/>
  <c r="S248" i="3"/>
  <c r="R248" i="3"/>
  <c r="AE248" i="3"/>
  <c r="Q248" i="3"/>
  <c r="P248" i="3"/>
  <c r="O248" i="3"/>
  <c r="N248" i="3"/>
  <c r="L248" i="3"/>
  <c r="E303" i="4"/>
  <c r="D303" i="4"/>
  <c r="L307" i="3"/>
  <c r="AE307" i="3"/>
  <c r="O307" i="3"/>
  <c r="N307" i="3"/>
  <c r="M307" i="3"/>
  <c r="K307" i="3"/>
  <c r="W307" i="3"/>
  <c r="J307" i="3"/>
  <c r="V307" i="3"/>
  <c r="I307" i="3"/>
  <c r="U307" i="3"/>
  <c r="H307" i="3"/>
  <c r="T307" i="3"/>
  <c r="S307" i="3"/>
  <c r="R307" i="3"/>
  <c r="Q307" i="3"/>
  <c r="P307" i="3"/>
  <c r="K312" i="4"/>
  <c r="G312" i="4"/>
  <c r="F312" i="4"/>
  <c r="H312" i="4" s="1"/>
  <c r="C312" i="4"/>
  <c r="B312" i="4"/>
  <c r="I288" i="4"/>
  <c r="J288" i="4"/>
  <c r="E326" i="4"/>
  <c r="D326" i="4"/>
  <c r="AE330" i="3"/>
  <c r="S330" i="3"/>
  <c r="O330" i="3"/>
  <c r="N330" i="3"/>
  <c r="L330" i="3"/>
  <c r="W330" i="3"/>
  <c r="K330" i="3"/>
  <c r="M330" i="3"/>
  <c r="J330" i="3"/>
  <c r="I330" i="3"/>
  <c r="H330" i="3"/>
  <c r="V330" i="3"/>
  <c r="U330" i="3"/>
  <c r="T330" i="3"/>
  <c r="R330" i="3"/>
  <c r="Q330" i="3"/>
  <c r="P330" i="3"/>
  <c r="AC304" i="3"/>
  <c r="AB304" i="3"/>
  <c r="B304" i="3"/>
  <c r="AA304" i="3"/>
  <c r="F304" i="3"/>
  <c r="AD304" i="3"/>
  <c r="I269" i="4"/>
  <c r="J269" i="4"/>
  <c r="F248" i="4"/>
  <c r="H248" i="4" s="1"/>
  <c r="B248" i="4"/>
  <c r="K248" i="4"/>
  <c r="C248" i="4"/>
  <c r="G248" i="4"/>
  <c r="K304" i="4"/>
  <c r="B304" i="4"/>
  <c r="G304" i="4"/>
  <c r="F304" i="4"/>
  <c r="H304" i="4" s="1"/>
  <c r="C304" i="4"/>
  <c r="G247" i="4"/>
  <c r="C247" i="4"/>
  <c r="K247" i="4"/>
  <c r="F247" i="4"/>
  <c r="H247" i="4" s="1"/>
  <c r="B247" i="4"/>
  <c r="G298" i="4"/>
  <c r="F298" i="4"/>
  <c r="H298" i="4" s="1"/>
  <c r="K298" i="4"/>
  <c r="C298" i="4"/>
  <c r="B298" i="4"/>
  <c r="E294" i="4"/>
  <c r="D294" i="4"/>
  <c r="W298" i="3"/>
  <c r="K298" i="3"/>
  <c r="V298" i="3"/>
  <c r="J298" i="3"/>
  <c r="U298" i="3"/>
  <c r="I298" i="3"/>
  <c r="T298" i="3"/>
  <c r="H298" i="3"/>
  <c r="AE298" i="3"/>
  <c r="S298" i="3"/>
  <c r="R298" i="3"/>
  <c r="Q298" i="3"/>
  <c r="P298" i="3"/>
  <c r="O298" i="3"/>
  <c r="N298" i="3"/>
  <c r="M298" i="3"/>
  <c r="L298" i="3"/>
  <c r="AC269" i="3"/>
  <c r="AB269" i="3"/>
  <c r="AA269" i="3"/>
  <c r="AD269" i="3"/>
  <c r="F269" i="3"/>
  <c r="B269" i="3"/>
  <c r="AB252" i="3"/>
  <c r="AD252" i="3"/>
  <c r="AC252" i="3"/>
  <c r="AA252" i="3"/>
  <c r="F252" i="3"/>
  <c r="B252" i="3"/>
  <c r="E223" i="4"/>
  <c r="D223" i="4"/>
  <c r="O227" i="3"/>
  <c r="N227" i="3"/>
  <c r="M227" i="3"/>
  <c r="L227" i="3"/>
  <c r="W227" i="3"/>
  <c r="K227" i="3"/>
  <c r="Q227" i="3"/>
  <c r="AE227" i="3"/>
  <c r="P227" i="3"/>
  <c r="J227" i="3"/>
  <c r="I227" i="3"/>
  <c r="H227" i="3"/>
  <c r="V227" i="3"/>
  <c r="U227" i="3"/>
  <c r="T227" i="3"/>
  <c r="S227" i="3"/>
  <c r="R227" i="3"/>
  <c r="E273" i="4"/>
  <c r="D273" i="4"/>
  <c r="N277" i="3"/>
  <c r="V277" i="3"/>
  <c r="J277" i="3"/>
  <c r="U277" i="3"/>
  <c r="I277" i="3"/>
  <c r="T277" i="3"/>
  <c r="H277" i="3"/>
  <c r="AE277" i="3"/>
  <c r="S277" i="3"/>
  <c r="O277" i="3"/>
  <c r="M277" i="3"/>
  <c r="L277" i="3"/>
  <c r="K277" i="3"/>
  <c r="W277" i="3"/>
  <c r="R277" i="3"/>
  <c r="Q277" i="3"/>
  <c r="P277" i="3"/>
  <c r="AB263" i="3"/>
  <c r="B263" i="3"/>
  <c r="AD263" i="3"/>
  <c r="AC263" i="3"/>
  <c r="AA263" i="3"/>
  <c r="F263" i="3"/>
  <c r="AD244" i="3"/>
  <c r="F244" i="3"/>
  <c r="AC244" i="3"/>
  <c r="AB244" i="3"/>
  <c r="AA244" i="3"/>
  <c r="B244" i="3"/>
  <c r="J209" i="4"/>
  <c r="I209" i="4"/>
  <c r="C255" i="4"/>
  <c r="B255" i="4"/>
  <c r="K255" i="4"/>
  <c r="G255" i="4"/>
  <c r="F255" i="4"/>
  <c r="H255" i="4" s="1"/>
  <c r="F208" i="4"/>
  <c r="H208" i="4" s="1"/>
  <c r="C208" i="4"/>
  <c r="B208" i="4"/>
  <c r="G208" i="4"/>
  <c r="K208" i="4"/>
  <c r="E168" i="4"/>
  <c r="D168" i="4"/>
  <c r="M172" i="3"/>
  <c r="L172" i="3"/>
  <c r="W172" i="3"/>
  <c r="K172" i="3"/>
  <c r="V172" i="3"/>
  <c r="J172" i="3"/>
  <c r="T172" i="3"/>
  <c r="H172" i="3"/>
  <c r="U172" i="3"/>
  <c r="S172" i="3"/>
  <c r="R172" i="3"/>
  <c r="Q172" i="3"/>
  <c r="I172" i="3"/>
  <c r="AE172" i="3"/>
  <c r="P172" i="3"/>
  <c r="O172" i="3"/>
  <c r="N172" i="3"/>
  <c r="E190" i="4"/>
  <c r="D190" i="4"/>
  <c r="R194" i="3"/>
  <c r="Q194" i="3"/>
  <c r="P194" i="3"/>
  <c r="O194" i="3"/>
  <c r="N194" i="3"/>
  <c r="M194" i="3"/>
  <c r="L194" i="3"/>
  <c r="W194" i="3"/>
  <c r="K194" i="3"/>
  <c r="V194" i="3"/>
  <c r="J194" i="3"/>
  <c r="H194" i="3"/>
  <c r="AE194" i="3"/>
  <c r="S194" i="3"/>
  <c r="U194" i="3"/>
  <c r="T194" i="3"/>
  <c r="I194" i="3"/>
  <c r="E178" i="4"/>
  <c r="D178" i="4"/>
  <c r="O182" i="3"/>
  <c r="N182" i="3"/>
  <c r="M182" i="3"/>
  <c r="L182" i="3"/>
  <c r="W182" i="3"/>
  <c r="K182" i="3"/>
  <c r="V182" i="3"/>
  <c r="J182" i="3"/>
  <c r="U182" i="3"/>
  <c r="T182" i="3"/>
  <c r="S182" i="3"/>
  <c r="R182" i="3"/>
  <c r="H182" i="3"/>
  <c r="AE182" i="3"/>
  <c r="Q182" i="3"/>
  <c r="P182" i="3"/>
  <c r="I182" i="3"/>
  <c r="E176" i="4"/>
  <c r="D176" i="4"/>
  <c r="Q180" i="3"/>
  <c r="P180" i="3"/>
  <c r="O180" i="3"/>
  <c r="N180" i="3"/>
  <c r="M180" i="3"/>
  <c r="L180" i="3"/>
  <c r="W180" i="3"/>
  <c r="V180" i="3"/>
  <c r="U180" i="3"/>
  <c r="T180" i="3"/>
  <c r="S180" i="3"/>
  <c r="R180" i="3"/>
  <c r="K180" i="3"/>
  <c r="AE180" i="3"/>
  <c r="J180" i="3"/>
  <c r="I180" i="3"/>
  <c r="H180" i="3"/>
  <c r="E234" i="4"/>
  <c r="D234" i="4"/>
  <c r="L238" i="3"/>
  <c r="W238" i="3"/>
  <c r="K238" i="3"/>
  <c r="V238" i="3"/>
  <c r="J238" i="3"/>
  <c r="U238" i="3"/>
  <c r="I238" i="3"/>
  <c r="T238" i="3"/>
  <c r="H238" i="3"/>
  <c r="AE238" i="3"/>
  <c r="S238" i="3"/>
  <c r="R238" i="3"/>
  <c r="P238" i="3"/>
  <c r="O238" i="3"/>
  <c r="N238" i="3"/>
  <c r="M238" i="3"/>
  <c r="Q238" i="3"/>
  <c r="B219" i="3"/>
  <c r="AD219" i="3"/>
  <c r="AC219" i="3"/>
  <c r="AB219" i="3"/>
  <c r="AA219" i="3"/>
  <c r="F219" i="3"/>
  <c r="J193" i="4"/>
  <c r="I193" i="4"/>
  <c r="AD200" i="3"/>
  <c r="F200" i="3"/>
  <c r="AC200" i="3"/>
  <c r="AB200" i="3"/>
  <c r="B200" i="3"/>
  <c r="AA200" i="3"/>
  <c r="I138" i="4"/>
  <c r="J138" i="4"/>
  <c r="E155" i="4"/>
  <c r="D155" i="4"/>
  <c r="R159" i="3"/>
  <c r="Q159" i="3"/>
  <c r="P159" i="3"/>
  <c r="O159" i="3"/>
  <c r="N159" i="3"/>
  <c r="M159" i="3"/>
  <c r="L159" i="3"/>
  <c r="T159" i="3"/>
  <c r="H159" i="3"/>
  <c r="I159" i="3"/>
  <c r="AE159" i="3"/>
  <c r="W159" i="3"/>
  <c r="V159" i="3"/>
  <c r="U159" i="3"/>
  <c r="S159" i="3"/>
  <c r="K159" i="3"/>
  <c r="J159" i="3"/>
  <c r="I119" i="4"/>
  <c r="J119" i="4"/>
  <c r="E214" i="4"/>
  <c r="D214" i="4"/>
  <c r="R218" i="3"/>
  <c r="P218" i="3"/>
  <c r="N218" i="3"/>
  <c r="Q218" i="3"/>
  <c r="O218" i="3"/>
  <c r="AE218" i="3"/>
  <c r="M218" i="3"/>
  <c r="L218" i="3"/>
  <c r="K218" i="3"/>
  <c r="J218" i="3"/>
  <c r="I218" i="3"/>
  <c r="W218" i="3"/>
  <c r="H218" i="3"/>
  <c r="V218" i="3"/>
  <c r="U218" i="3"/>
  <c r="T218" i="3"/>
  <c r="S218" i="3"/>
  <c r="E156" i="4"/>
  <c r="D156" i="4"/>
  <c r="W160" i="3"/>
  <c r="K160" i="3"/>
  <c r="V160" i="3"/>
  <c r="J160" i="3"/>
  <c r="U160" i="3"/>
  <c r="I160" i="3"/>
  <c r="T160" i="3"/>
  <c r="H160" i="3"/>
  <c r="AE160" i="3"/>
  <c r="S160" i="3"/>
  <c r="R160" i="3"/>
  <c r="Q160" i="3"/>
  <c r="M160" i="3"/>
  <c r="L160" i="3"/>
  <c r="P160" i="3"/>
  <c r="O160" i="3"/>
  <c r="N160" i="3"/>
  <c r="E92" i="4"/>
  <c r="D92" i="4"/>
  <c r="M96" i="3"/>
  <c r="U96" i="3"/>
  <c r="L96" i="3"/>
  <c r="K96" i="3"/>
  <c r="J96" i="3"/>
  <c r="T96" i="3"/>
  <c r="S96" i="3"/>
  <c r="AE96" i="3"/>
  <c r="Q96" i="3"/>
  <c r="P96" i="3"/>
  <c r="N96" i="3"/>
  <c r="W96" i="3"/>
  <c r="V96" i="3"/>
  <c r="R96" i="3"/>
  <c r="O96" i="3"/>
  <c r="I96" i="3"/>
  <c r="H96" i="3"/>
  <c r="AD181" i="3"/>
  <c r="F181" i="3"/>
  <c r="AC181" i="3"/>
  <c r="AB181" i="3"/>
  <c r="B181" i="3"/>
  <c r="AA181" i="3"/>
  <c r="AD141" i="3"/>
  <c r="F141" i="3"/>
  <c r="AC141" i="3"/>
  <c r="AB141" i="3"/>
  <c r="AA141" i="3"/>
  <c r="B141" i="3"/>
  <c r="E123" i="4"/>
  <c r="D123" i="4"/>
  <c r="L127" i="3"/>
  <c r="W127" i="3"/>
  <c r="K127" i="3"/>
  <c r="V127" i="3"/>
  <c r="J127" i="3"/>
  <c r="U127" i="3"/>
  <c r="I127" i="3"/>
  <c r="T127" i="3"/>
  <c r="H127" i="3"/>
  <c r="S127" i="3"/>
  <c r="R127" i="3"/>
  <c r="Q127" i="3"/>
  <c r="P127" i="3"/>
  <c r="O127" i="3"/>
  <c r="AE127" i="3"/>
  <c r="N127" i="3"/>
  <c r="M127" i="3"/>
  <c r="C146" i="4"/>
  <c r="B146" i="4"/>
  <c r="K146" i="4"/>
  <c r="G146" i="4"/>
  <c r="F146" i="4"/>
  <c r="H146" i="4" s="1"/>
  <c r="K96" i="4"/>
  <c r="G96" i="4"/>
  <c r="F96" i="4"/>
  <c r="H96" i="4" s="1"/>
  <c r="C96" i="4"/>
  <c r="B96" i="4"/>
  <c r="E74" i="4"/>
  <c r="D74" i="4"/>
  <c r="R78" i="3"/>
  <c r="P78" i="3"/>
  <c r="M78" i="3"/>
  <c r="L78" i="3"/>
  <c r="V78" i="3"/>
  <c r="J78" i="3"/>
  <c r="U78" i="3"/>
  <c r="I78" i="3"/>
  <c r="Q78" i="3"/>
  <c r="O78" i="3"/>
  <c r="N78" i="3"/>
  <c r="K78" i="3"/>
  <c r="H78" i="3"/>
  <c r="AE78" i="3"/>
  <c r="W78" i="3"/>
  <c r="T78" i="3"/>
  <c r="S78" i="3"/>
  <c r="J92" i="4"/>
  <c r="I92" i="4"/>
  <c r="E40" i="4"/>
  <c r="D40" i="4"/>
  <c r="V44" i="3"/>
  <c r="J44" i="3"/>
  <c r="T44" i="3"/>
  <c r="H44" i="3"/>
  <c r="AE44" i="3"/>
  <c r="S44" i="3"/>
  <c r="I44" i="3"/>
  <c r="W44" i="3"/>
  <c r="U44" i="3"/>
  <c r="R44" i="3"/>
  <c r="Q44" i="3"/>
  <c r="P44" i="3"/>
  <c r="O44" i="3"/>
  <c r="N44" i="3"/>
  <c r="M44" i="3"/>
  <c r="L44" i="3"/>
  <c r="K44" i="3"/>
  <c r="E27" i="4"/>
  <c r="D27" i="4"/>
  <c r="M31" i="3"/>
  <c r="L31" i="3"/>
  <c r="W31" i="3"/>
  <c r="K31" i="3"/>
  <c r="V31" i="3"/>
  <c r="J31" i="3"/>
  <c r="U31" i="3"/>
  <c r="I31" i="3"/>
  <c r="T31" i="3"/>
  <c r="H31" i="3"/>
  <c r="AE31" i="3"/>
  <c r="S31" i="3"/>
  <c r="R31" i="3"/>
  <c r="Q31" i="3"/>
  <c r="P31" i="3"/>
  <c r="O31" i="3"/>
  <c r="N31" i="3"/>
  <c r="D50" i="4"/>
  <c r="E50" i="4"/>
  <c r="L54" i="3"/>
  <c r="V54" i="3"/>
  <c r="J54" i="3"/>
  <c r="U54" i="3"/>
  <c r="I54" i="3"/>
  <c r="H54" i="3"/>
  <c r="W54" i="3"/>
  <c r="T54" i="3"/>
  <c r="S54" i="3"/>
  <c r="R54" i="3"/>
  <c r="Q54" i="3"/>
  <c r="AE54" i="3"/>
  <c r="P54" i="3"/>
  <c r="O54" i="3"/>
  <c r="N54" i="3"/>
  <c r="M54" i="3"/>
  <c r="K54" i="3"/>
  <c r="E20" i="4"/>
  <c r="D20" i="4"/>
  <c r="N24" i="3"/>
  <c r="M24" i="3"/>
  <c r="L24" i="3"/>
  <c r="W24" i="3"/>
  <c r="K24" i="3"/>
  <c r="V24" i="3"/>
  <c r="J24" i="3"/>
  <c r="U24" i="3"/>
  <c r="I24" i="3"/>
  <c r="T24" i="3"/>
  <c r="H24" i="3"/>
  <c r="AE24" i="3"/>
  <c r="S24" i="3"/>
  <c r="R24" i="3"/>
  <c r="Q24" i="3"/>
  <c r="P24" i="3"/>
  <c r="O24" i="3"/>
  <c r="D101" i="4"/>
  <c r="E101" i="4"/>
  <c r="V105" i="3"/>
  <c r="J105" i="3"/>
  <c r="R105" i="3"/>
  <c r="Q105" i="3"/>
  <c r="AE105" i="3"/>
  <c r="N105" i="3"/>
  <c r="M105" i="3"/>
  <c r="L105" i="3"/>
  <c r="K105" i="3"/>
  <c r="H105" i="3"/>
  <c r="W105" i="3"/>
  <c r="U105" i="3"/>
  <c r="T105" i="3"/>
  <c r="S105" i="3"/>
  <c r="O105" i="3"/>
  <c r="P105" i="3"/>
  <c r="I105" i="3"/>
  <c r="E25" i="4"/>
  <c r="D25" i="4"/>
  <c r="O29" i="3"/>
  <c r="N29" i="3"/>
  <c r="M29" i="3"/>
  <c r="L29" i="3"/>
  <c r="W29" i="3"/>
  <c r="K29" i="3"/>
  <c r="V29" i="3"/>
  <c r="J29" i="3"/>
  <c r="U29" i="3"/>
  <c r="I29" i="3"/>
  <c r="T29" i="3"/>
  <c r="H29" i="3"/>
  <c r="AE29" i="3"/>
  <c r="S29" i="3"/>
  <c r="R29" i="3"/>
  <c r="Q29" i="3"/>
  <c r="P29" i="3"/>
  <c r="E13" i="4"/>
  <c r="D13" i="4"/>
  <c r="O17" i="3"/>
  <c r="N17" i="3"/>
  <c r="M17" i="3"/>
  <c r="L17" i="3"/>
  <c r="W17" i="3"/>
  <c r="K17" i="3"/>
  <c r="V17" i="3"/>
  <c r="J17" i="3"/>
  <c r="U17" i="3"/>
  <c r="I17" i="3"/>
  <c r="T17" i="3"/>
  <c r="H17" i="3"/>
  <c r="AE17" i="3"/>
  <c r="S17" i="3"/>
  <c r="R17" i="3"/>
  <c r="Q17" i="3"/>
  <c r="P17" i="3"/>
  <c r="E78" i="4"/>
  <c r="D78" i="4"/>
  <c r="N82" i="3"/>
  <c r="L82" i="3"/>
  <c r="U82" i="3"/>
  <c r="I82" i="3"/>
  <c r="T82" i="3"/>
  <c r="H82" i="3"/>
  <c r="R82" i="3"/>
  <c r="Q82" i="3"/>
  <c r="AE82" i="3"/>
  <c r="W82" i="3"/>
  <c r="V82" i="3"/>
  <c r="S82" i="3"/>
  <c r="P82" i="3"/>
  <c r="O82" i="3"/>
  <c r="M82" i="3"/>
  <c r="K82" i="3"/>
  <c r="J82" i="3"/>
  <c r="B87" i="4"/>
  <c r="G87" i="4"/>
  <c r="F87" i="4"/>
  <c r="H87" i="4" s="1"/>
  <c r="C87" i="4"/>
  <c r="K87" i="4"/>
  <c r="B75" i="4"/>
  <c r="G75" i="4"/>
  <c r="K75" i="4"/>
  <c r="F75" i="4"/>
  <c r="H75" i="4" s="1"/>
  <c r="C75" i="4"/>
  <c r="K72" i="4"/>
  <c r="G72" i="4"/>
  <c r="F72" i="4"/>
  <c r="H72" i="4" s="1"/>
  <c r="C72" i="4"/>
  <c r="B72" i="4"/>
  <c r="I21" i="4"/>
  <c r="J21" i="4"/>
  <c r="F54" i="3"/>
  <c r="B54" i="3"/>
  <c r="AD54" i="3"/>
  <c r="AC54" i="3"/>
  <c r="AB54" i="3"/>
  <c r="AA54" i="3"/>
  <c r="F98" i="4"/>
  <c r="H98" i="4" s="1"/>
  <c r="K98" i="4"/>
  <c r="G98" i="4"/>
  <c r="C98" i="4"/>
  <c r="B98" i="4"/>
  <c r="C57" i="4"/>
  <c r="K57" i="4"/>
  <c r="G57" i="4"/>
  <c r="F57" i="4"/>
  <c r="H57" i="4" s="1"/>
  <c r="B57" i="4"/>
  <c r="E19" i="4"/>
  <c r="D19" i="4"/>
  <c r="U23" i="3"/>
  <c r="I23" i="3"/>
  <c r="T23" i="3"/>
  <c r="H23" i="3"/>
  <c r="AE23" i="3"/>
  <c r="S23" i="3"/>
  <c r="R23" i="3"/>
  <c r="Q23" i="3"/>
  <c r="P23" i="3"/>
  <c r="O23" i="3"/>
  <c r="N23" i="3"/>
  <c r="M23" i="3"/>
  <c r="L23" i="3"/>
  <c r="W23" i="3"/>
  <c r="K23" i="3"/>
  <c r="V23" i="3"/>
  <c r="J23" i="3"/>
  <c r="AM9" i="2"/>
  <c r="AN9" i="2" s="1"/>
  <c r="AH9" i="2"/>
  <c r="J197" i="4" l="1"/>
  <c r="I330" i="4"/>
  <c r="I154" i="4"/>
  <c r="I173" i="4"/>
  <c r="I455" i="4"/>
  <c r="I459" i="4"/>
  <c r="I340" i="4"/>
  <c r="I235" i="4"/>
  <c r="J211" i="4"/>
  <c r="J235" i="4"/>
  <c r="I245" i="4"/>
  <c r="Y13" i="3"/>
  <c r="AE13" i="3" s="1"/>
  <c r="I13" i="3" s="1"/>
  <c r="I211" i="4"/>
  <c r="I147" i="4"/>
  <c r="J180" i="4"/>
  <c r="I187" i="4"/>
  <c r="I82" i="4"/>
  <c r="J279" i="4"/>
  <c r="I279" i="4"/>
  <c r="I281" i="4"/>
  <c r="J281" i="4"/>
  <c r="J82" i="4"/>
  <c r="I58" i="4"/>
  <c r="Y14" i="3"/>
  <c r="AE14" i="3" s="1"/>
  <c r="I14" i="3" s="1"/>
  <c r="I124" i="4"/>
  <c r="I180" i="4"/>
  <c r="Y10" i="3"/>
  <c r="H10" i="3" s="1"/>
  <c r="J268" i="4"/>
  <c r="J498" i="4"/>
  <c r="J13" i="4"/>
  <c r="I268" i="4"/>
  <c r="AT9" i="2"/>
  <c r="J169" i="4"/>
  <c r="I169" i="4"/>
  <c r="J148" i="4"/>
  <c r="I148" i="4"/>
  <c r="J58" i="4"/>
  <c r="I498" i="4"/>
  <c r="J84" i="4"/>
  <c r="I84" i="4"/>
  <c r="I105" i="4"/>
  <c r="J105" i="4"/>
  <c r="I282" i="4"/>
  <c r="J282" i="4"/>
  <c r="J106" i="4"/>
  <c r="I106" i="4"/>
  <c r="I227" i="4"/>
  <c r="J227" i="4"/>
  <c r="I477" i="4"/>
  <c r="J477" i="4"/>
  <c r="J373" i="4"/>
  <c r="I373" i="4"/>
  <c r="AE11" i="3"/>
  <c r="I11" i="3" s="1"/>
  <c r="J132" i="4"/>
  <c r="I132" i="4"/>
  <c r="J471" i="4"/>
  <c r="I471" i="4"/>
  <c r="J220" i="4"/>
  <c r="I220" i="4"/>
  <c r="J127" i="4"/>
  <c r="I127" i="4"/>
  <c r="J146" i="4"/>
  <c r="I146" i="4"/>
  <c r="J325" i="4"/>
  <c r="I325" i="4"/>
  <c r="J81" i="4"/>
  <c r="I81" i="4"/>
  <c r="J275" i="4"/>
  <c r="I275" i="4"/>
  <c r="I475" i="4"/>
  <c r="J475" i="4"/>
  <c r="J306" i="4"/>
  <c r="I306" i="4"/>
  <c r="J206" i="4"/>
  <c r="I206" i="4"/>
  <c r="J265" i="4"/>
  <c r="I265" i="4"/>
  <c r="J264" i="4"/>
  <c r="I264" i="4"/>
  <c r="J117" i="4"/>
  <c r="I117" i="4"/>
  <c r="J299" i="4"/>
  <c r="I299" i="4"/>
  <c r="J411" i="4"/>
  <c r="I411" i="4"/>
  <c r="J393" i="4"/>
  <c r="I393" i="4"/>
  <c r="J334" i="4"/>
  <c r="I334" i="4"/>
  <c r="J208" i="4"/>
  <c r="I208" i="4"/>
  <c r="I400" i="4"/>
  <c r="J400" i="4"/>
  <c r="J447" i="4"/>
  <c r="I447" i="4"/>
  <c r="J326" i="4"/>
  <c r="I326" i="4"/>
  <c r="J203" i="4"/>
  <c r="I203" i="4"/>
  <c r="J322" i="4"/>
  <c r="I322" i="4"/>
  <c r="J375" i="4"/>
  <c r="I375" i="4"/>
  <c r="I123" i="4"/>
  <c r="J123" i="4"/>
  <c r="J302" i="4"/>
  <c r="I302" i="4"/>
  <c r="J353" i="4"/>
  <c r="I353" i="4"/>
  <c r="J488" i="4"/>
  <c r="I488" i="4"/>
  <c r="J427" i="4"/>
  <c r="I427" i="4"/>
  <c r="J151" i="4"/>
  <c r="I151" i="4"/>
  <c r="J111" i="4"/>
  <c r="I111" i="4"/>
  <c r="J95" i="4"/>
  <c r="I95" i="4"/>
  <c r="J287" i="4"/>
  <c r="I287" i="4"/>
  <c r="J63" i="4"/>
  <c r="I63" i="4"/>
  <c r="J263" i="4"/>
  <c r="I263" i="4"/>
  <c r="J445" i="4"/>
  <c r="I445" i="4"/>
  <c r="J437" i="4"/>
  <c r="I437" i="4"/>
  <c r="J177" i="4"/>
  <c r="I177" i="4"/>
  <c r="J341" i="4"/>
  <c r="I341" i="4"/>
  <c r="J161" i="4"/>
  <c r="I161" i="4"/>
  <c r="J438" i="4"/>
  <c r="I438" i="4"/>
  <c r="J298" i="4"/>
  <c r="I298" i="4"/>
  <c r="J371" i="4"/>
  <c r="I371" i="4"/>
  <c r="J191" i="4"/>
  <c r="I191" i="4"/>
  <c r="J259" i="4"/>
  <c r="I259" i="4"/>
  <c r="J51" i="4"/>
  <c r="I51" i="4"/>
  <c r="J231" i="4"/>
  <c r="I231" i="4"/>
  <c r="J254" i="4"/>
  <c r="I254" i="4"/>
  <c r="J305" i="4"/>
  <c r="I305" i="4"/>
  <c r="I376" i="4"/>
  <c r="J376" i="4"/>
  <c r="J473" i="4"/>
  <c r="I473" i="4"/>
  <c r="J40" i="4"/>
  <c r="I40" i="4"/>
  <c r="J241" i="4"/>
  <c r="I241" i="4"/>
  <c r="J315" i="4"/>
  <c r="I315" i="4"/>
  <c r="I204" i="4"/>
  <c r="J204" i="4"/>
  <c r="J294" i="4"/>
  <c r="I294" i="4"/>
  <c r="J446" i="4"/>
  <c r="I446" i="4"/>
  <c r="J172" i="4"/>
  <c r="I172" i="4"/>
  <c r="J214" i="4"/>
  <c r="I214" i="4"/>
  <c r="I272" i="4"/>
  <c r="J272" i="4"/>
  <c r="J415" i="4"/>
  <c r="I415" i="4"/>
  <c r="J289" i="4"/>
  <c r="I289" i="4"/>
  <c r="I420" i="4"/>
  <c r="J420" i="4"/>
  <c r="J158" i="4"/>
  <c r="I158" i="4"/>
  <c r="J304" i="4"/>
  <c r="I304" i="4"/>
  <c r="J486" i="4"/>
  <c r="I486" i="4"/>
  <c r="J164" i="4"/>
  <c r="I164" i="4"/>
  <c r="J476" i="4"/>
  <c r="I476" i="4"/>
  <c r="I118" i="4"/>
  <c r="J118" i="4"/>
  <c r="J212" i="4"/>
  <c r="I212" i="4"/>
  <c r="I352" i="4"/>
  <c r="J352" i="4"/>
  <c r="J75" i="4"/>
  <c r="I75" i="4"/>
  <c r="I248" i="4"/>
  <c r="J248" i="4"/>
  <c r="J218" i="4"/>
  <c r="I218" i="4"/>
  <c r="J49" i="4"/>
  <c r="I49" i="4"/>
  <c r="J217" i="4"/>
  <c r="I217" i="4"/>
  <c r="J425" i="4"/>
  <c r="I425" i="4"/>
  <c r="J149" i="4"/>
  <c r="I149" i="4"/>
  <c r="J229" i="4"/>
  <c r="I229" i="4"/>
  <c r="J323" i="4"/>
  <c r="I323" i="4"/>
  <c r="J450" i="4"/>
  <c r="I450" i="4"/>
  <c r="J462" i="4"/>
  <c r="I462" i="4"/>
  <c r="J314" i="4"/>
  <c r="I314" i="4"/>
  <c r="I364" i="4"/>
  <c r="J364" i="4"/>
  <c r="J167" i="4"/>
  <c r="I167" i="4"/>
  <c r="J48" i="4"/>
  <c r="I48" i="4"/>
  <c r="J396" i="4"/>
  <c r="I396" i="4"/>
  <c r="J378" i="4"/>
  <c r="I378" i="4"/>
  <c r="J317" i="4"/>
  <c r="I317" i="4"/>
  <c r="I50" i="4"/>
  <c r="J50" i="4"/>
  <c r="J366" i="4"/>
  <c r="I366" i="4"/>
  <c r="J96" i="4"/>
  <c r="I96" i="4"/>
  <c r="J351" i="4"/>
  <c r="I351" i="4"/>
  <c r="J44" i="4"/>
  <c r="I44" i="4"/>
  <c r="J457" i="4"/>
  <c r="I457" i="4"/>
  <c r="J68" i="4"/>
  <c r="I68" i="4"/>
  <c r="J56" i="4"/>
  <c r="I56" i="4"/>
  <c r="J252" i="4"/>
  <c r="I252" i="4"/>
  <c r="J367" i="4"/>
  <c r="I367" i="4"/>
  <c r="J405" i="4"/>
  <c r="I405" i="4"/>
  <c r="J125" i="4"/>
  <c r="I125" i="4"/>
  <c r="I175" i="4"/>
  <c r="J175" i="4"/>
  <c r="J215" i="4"/>
  <c r="I215" i="4"/>
  <c r="J165" i="4"/>
  <c r="I165" i="4"/>
  <c r="J52" i="4"/>
  <c r="I52" i="4"/>
  <c r="I69" i="4"/>
  <c r="J69" i="4"/>
  <c r="J134" i="4"/>
  <c r="I134" i="4"/>
  <c r="J346" i="4"/>
  <c r="I346" i="4"/>
  <c r="J442" i="4"/>
  <c r="I442" i="4"/>
  <c r="J93" i="4"/>
  <c r="I93" i="4"/>
  <c r="J141" i="4"/>
  <c r="I141" i="4"/>
  <c r="J368" i="4"/>
  <c r="I368" i="4"/>
  <c r="I39" i="4"/>
  <c r="J39" i="4"/>
  <c r="J109" i="4"/>
  <c r="I109" i="4"/>
  <c r="J129" i="4"/>
  <c r="I129" i="4"/>
  <c r="J478" i="4"/>
  <c r="I478" i="4"/>
  <c r="I219" i="4"/>
  <c r="J219" i="4"/>
  <c r="J377" i="4"/>
  <c r="I377" i="4"/>
  <c r="I224" i="4"/>
  <c r="J224" i="4"/>
  <c r="J57" i="4"/>
  <c r="I57" i="4"/>
  <c r="J449" i="4"/>
  <c r="I449" i="4"/>
  <c r="J412" i="4"/>
  <c r="I412" i="4"/>
  <c r="J495" i="4"/>
  <c r="I495" i="4"/>
  <c r="J66" i="4"/>
  <c r="I66" i="4"/>
  <c r="J271" i="4"/>
  <c r="I271" i="4"/>
  <c r="I389" i="4"/>
  <c r="J389" i="4"/>
  <c r="I452" i="4"/>
  <c r="J452" i="4"/>
  <c r="J284" i="4"/>
  <c r="I284" i="4"/>
  <c r="J379" i="4"/>
  <c r="I379" i="4"/>
  <c r="J174" i="4"/>
  <c r="I174" i="4"/>
  <c r="I260" i="4"/>
  <c r="J260" i="4"/>
  <c r="J361" i="4"/>
  <c r="I361" i="4"/>
  <c r="I464" i="4"/>
  <c r="J464" i="4"/>
  <c r="J139" i="4"/>
  <c r="I139" i="4"/>
  <c r="J207" i="4"/>
  <c r="I207" i="4"/>
  <c r="J261" i="4"/>
  <c r="I261" i="4"/>
  <c r="J398" i="4"/>
  <c r="I398" i="4"/>
  <c r="I355" i="4"/>
  <c r="J355" i="4"/>
  <c r="J102" i="4"/>
  <c r="I102" i="4"/>
  <c r="J372" i="4"/>
  <c r="I372" i="4"/>
  <c r="J122" i="4"/>
  <c r="I122" i="4"/>
  <c r="J273" i="4"/>
  <c r="I273" i="4"/>
  <c r="J388" i="4"/>
  <c r="I388" i="4"/>
  <c r="J283" i="4"/>
  <c r="I283" i="4"/>
  <c r="AE15" i="3"/>
  <c r="I15" i="3" s="1"/>
  <c r="AE16" i="3"/>
  <c r="I16" i="3" s="1"/>
  <c r="J391" i="4"/>
  <c r="I391" i="4"/>
  <c r="I98" i="4"/>
  <c r="J98" i="4"/>
  <c r="J255" i="4"/>
  <c r="I255" i="4"/>
  <c r="J253" i="4"/>
  <c r="I253" i="4"/>
  <c r="H14" i="3"/>
  <c r="J107" i="4"/>
  <c r="I107" i="4"/>
  <c r="J103" i="4"/>
  <c r="I103" i="4"/>
  <c r="J485" i="4"/>
  <c r="I485" i="4"/>
  <c r="J251" i="4"/>
  <c r="I251" i="4"/>
  <c r="J277" i="4"/>
  <c r="I277" i="4"/>
  <c r="I408" i="4"/>
  <c r="J408" i="4"/>
  <c r="J399" i="4"/>
  <c r="I399" i="4"/>
  <c r="J360" i="4"/>
  <c r="I360" i="4"/>
  <c r="J47" i="4"/>
  <c r="I47" i="4"/>
  <c r="J61" i="4"/>
  <c r="I61" i="4"/>
  <c r="J115" i="4"/>
  <c r="I115" i="4"/>
  <c r="J196" i="4"/>
  <c r="I196" i="4"/>
  <c r="J144" i="4"/>
  <c r="I144" i="4"/>
  <c r="J312" i="4"/>
  <c r="I312" i="4"/>
  <c r="J247" i="4"/>
  <c r="I247" i="4"/>
  <c r="J365" i="4"/>
  <c r="I365" i="4"/>
  <c r="J350" i="4"/>
  <c r="I350" i="4"/>
  <c r="J110" i="4"/>
  <c r="I110" i="4"/>
  <c r="J249" i="4"/>
  <c r="I249" i="4"/>
  <c r="I94" i="4"/>
  <c r="J94" i="4"/>
  <c r="J120" i="4"/>
  <c r="I120" i="4"/>
  <c r="I385" i="4"/>
  <c r="J385" i="4"/>
  <c r="J483" i="4"/>
  <c r="I483" i="4"/>
  <c r="J99" i="4"/>
  <c r="I99" i="4"/>
  <c r="I182" i="4"/>
  <c r="J182" i="4"/>
  <c r="J202" i="4"/>
  <c r="I202" i="4"/>
  <c r="J238" i="4"/>
  <c r="I238" i="4"/>
  <c r="J301" i="4"/>
  <c r="I301" i="4"/>
  <c r="J469" i="4"/>
  <c r="I469" i="4"/>
  <c r="J433" i="4"/>
  <c r="I433" i="4"/>
  <c r="J135" i="4"/>
  <c r="I135" i="4"/>
  <c r="I448" i="4"/>
  <c r="J448" i="4"/>
  <c r="J500" i="4"/>
  <c r="I500" i="4"/>
  <c r="J434" i="4"/>
  <c r="I434" i="4"/>
  <c r="J76" i="4"/>
  <c r="I76" i="4"/>
  <c r="J474" i="4"/>
  <c r="I474" i="4"/>
  <c r="J363" i="4"/>
  <c r="I363" i="4"/>
  <c r="J329" i="4"/>
  <c r="I329" i="4"/>
  <c r="J440" i="4"/>
  <c r="I440" i="4"/>
  <c r="J184" i="4"/>
  <c r="I184" i="4"/>
  <c r="J310" i="4"/>
  <c r="I310" i="4"/>
  <c r="J88" i="4"/>
  <c r="I88" i="4"/>
  <c r="I392" i="4"/>
  <c r="J392" i="4"/>
  <c r="J404" i="4"/>
  <c r="I404" i="4"/>
  <c r="J42" i="4"/>
  <c r="I42" i="4"/>
  <c r="AE12" i="3"/>
  <c r="I12" i="3" s="1"/>
  <c r="I436" i="4"/>
  <c r="J436" i="4"/>
  <c r="J226" i="4"/>
  <c r="I226" i="4"/>
  <c r="J303" i="4"/>
  <c r="I303" i="4"/>
  <c r="J383" i="4"/>
  <c r="I383" i="4"/>
  <c r="J97" i="4"/>
  <c r="I97" i="4"/>
  <c r="J490" i="4"/>
  <c r="I490" i="4"/>
  <c r="J72" i="4"/>
  <c r="I72" i="4"/>
  <c r="J87" i="4"/>
  <c r="I87" i="4"/>
  <c r="I491" i="4"/>
  <c r="J491" i="4"/>
  <c r="I162" i="4"/>
  <c r="J162" i="4"/>
  <c r="I413" i="4"/>
  <c r="J413" i="4"/>
  <c r="I401" i="4"/>
  <c r="J401" i="4"/>
  <c r="J458" i="4"/>
  <c r="I458" i="4"/>
  <c r="J242" i="4"/>
  <c r="I242" i="4"/>
  <c r="J403" i="4"/>
  <c r="I403" i="4"/>
  <c r="J270" i="4"/>
  <c r="I270" i="4"/>
  <c r="J339" i="4"/>
  <c r="I339" i="4"/>
  <c r="J60" i="4"/>
  <c r="I60" i="4"/>
  <c r="J54" i="4"/>
  <c r="I54" i="4"/>
  <c r="I101" i="4"/>
  <c r="J101" i="4"/>
  <c r="J78" i="4"/>
  <c r="I78" i="4"/>
  <c r="J461" i="4"/>
  <c r="I461" i="4"/>
  <c r="J64" i="4"/>
  <c r="I64" i="4"/>
  <c r="J409" i="4"/>
  <c r="I409" i="4"/>
  <c r="J278" i="4"/>
  <c r="I278" i="4"/>
  <c r="J311" i="4"/>
  <c r="I311" i="4"/>
  <c r="J179" i="4"/>
  <c r="I179" i="4"/>
  <c r="J327" i="4"/>
  <c r="I327" i="4"/>
  <c r="J222" i="4"/>
  <c r="I222" i="4"/>
  <c r="J108" i="4"/>
  <c r="I108" i="4"/>
  <c r="J318" i="4"/>
  <c r="I318" i="4"/>
  <c r="I307" i="4"/>
  <c r="J307" i="4"/>
  <c r="J390" i="4"/>
  <c r="I390" i="4"/>
  <c r="J493" i="4"/>
  <c r="I493" i="4"/>
  <c r="I186" i="4"/>
  <c r="J186" i="4"/>
  <c r="J313" i="4"/>
  <c r="I313" i="4"/>
  <c r="J502" i="4"/>
  <c r="I502" i="4"/>
  <c r="I236" i="4"/>
  <c r="J236" i="4"/>
  <c r="J198" i="4"/>
  <c r="I198" i="4"/>
  <c r="I441" i="4"/>
  <c r="J441" i="4"/>
  <c r="J356" i="4"/>
  <c r="I356" i="4"/>
  <c r="J397" i="4"/>
  <c r="I397" i="4"/>
  <c r="J153" i="4"/>
  <c r="I153" i="4"/>
  <c r="J205" i="4"/>
  <c r="I205" i="4"/>
  <c r="J453" i="4"/>
  <c r="I453" i="4"/>
  <c r="J113" i="4"/>
  <c r="I113" i="4"/>
  <c r="J266" i="4"/>
  <c r="I266" i="4"/>
  <c r="J497" i="4"/>
  <c r="I497" i="4"/>
  <c r="J250" i="4"/>
  <c r="I250" i="4"/>
  <c r="J137" i="4"/>
  <c r="I137" i="4"/>
  <c r="J234" i="4"/>
  <c r="I234" i="4"/>
  <c r="H13" i="3" l="1"/>
  <c r="Z13" i="3"/>
  <c r="AE10" i="3"/>
  <c r="I10" i="3" s="1"/>
  <c r="J10" i="3" s="1"/>
  <c r="K10" i="3" s="1"/>
  <c r="Z14" i="3"/>
  <c r="Z16" i="3"/>
  <c r="Z10" i="3"/>
  <c r="Z11" i="3"/>
  <c r="Z12" i="3"/>
  <c r="Z15" i="3"/>
  <c r="J13" i="3"/>
  <c r="O13" i="3"/>
  <c r="O10" i="3"/>
  <c r="O14" i="3"/>
  <c r="J14" i="3"/>
  <c r="K14" i="3" s="1"/>
  <c r="O11" i="3"/>
  <c r="J11" i="3"/>
  <c r="K11" i="3" s="1"/>
  <c r="O12" i="3"/>
  <c r="J12" i="3"/>
  <c r="K12" i="3" s="1"/>
  <c r="J16" i="3"/>
  <c r="K16" i="3" s="1"/>
  <c r="O16" i="3"/>
  <c r="J15" i="3"/>
  <c r="K15" i="3" s="1"/>
  <c r="O15" i="3"/>
  <c r="K13" i="3" l="1"/>
  <c r="L14" i="3"/>
  <c r="M14" i="3" s="1"/>
  <c r="L10" i="3"/>
  <c r="M10" i="3" s="1"/>
  <c r="L11" i="3"/>
  <c r="M11" i="3" s="1"/>
  <c r="L12" i="3"/>
  <c r="M12" i="3" s="1"/>
  <c r="L15" i="3"/>
  <c r="M15" i="3" s="1"/>
  <c r="L13" i="3"/>
  <c r="M13" i="3" s="1"/>
  <c r="L16" i="3"/>
  <c r="M16" i="3" s="1"/>
  <c r="P15" i="3" l="1"/>
  <c r="N15" i="3"/>
  <c r="P16" i="3"/>
  <c r="N16" i="3"/>
  <c r="N13" i="3"/>
  <c r="P13" i="3"/>
  <c r="N12" i="3"/>
  <c r="P12" i="3"/>
  <c r="P11" i="3"/>
  <c r="N11" i="3"/>
  <c r="P10" i="3"/>
  <c r="N10" i="3"/>
  <c r="P14" i="3"/>
  <c r="N14" i="3"/>
  <c r="D6" i="4" l="1"/>
  <c r="S10" i="3"/>
  <c r="R10" i="3"/>
  <c r="Q10" i="3"/>
  <c r="V10" i="3"/>
  <c r="S11" i="3"/>
  <c r="R11" i="3"/>
  <c r="Q11" i="3"/>
  <c r="D7" i="4"/>
  <c r="V11" i="3"/>
  <c r="D8" i="4"/>
  <c r="S12" i="3"/>
  <c r="R12" i="3"/>
  <c r="Q12" i="3"/>
  <c r="V12" i="3"/>
  <c r="D9" i="4"/>
  <c r="V13" i="3"/>
  <c r="S13" i="3"/>
  <c r="R13" i="3"/>
  <c r="Q13" i="3"/>
  <c r="S16" i="3"/>
  <c r="R16" i="3"/>
  <c r="Q16" i="3"/>
  <c r="D12" i="4"/>
  <c r="V16" i="3"/>
  <c r="D10" i="4"/>
  <c r="R14" i="3"/>
  <c r="Q14" i="3"/>
  <c r="V14" i="3"/>
  <c r="S14" i="3"/>
  <c r="D11" i="4"/>
  <c r="Q15" i="3"/>
  <c r="S15" i="3"/>
  <c r="R15" i="3"/>
  <c r="V15" i="3"/>
  <c r="AO10" i="2" s="1"/>
  <c r="T12" i="3" l="1"/>
  <c r="E8" i="4"/>
  <c r="G8" i="4" s="1"/>
  <c r="W12" i="3"/>
  <c r="U12" i="3"/>
  <c r="E11" i="4"/>
  <c r="G11" i="4" s="1"/>
  <c r="U15" i="3"/>
  <c r="T15" i="3"/>
  <c r="W15" i="3"/>
  <c r="AQ10" i="2" s="1"/>
  <c r="AR10" i="2" s="1"/>
  <c r="E7" i="4"/>
  <c r="G7" i="4" s="1"/>
  <c r="U11" i="3"/>
  <c r="W11" i="3"/>
  <c r="T11" i="3"/>
  <c r="E6" i="4"/>
  <c r="G6" i="4" s="1"/>
  <c r="T10" i="3"/>
  <c r="U10" i="3"/>
  <c r="W10" i="3"/>
  <c r="U16" i="3"/>
  <c r="W16" i="3"/>
  <c r="T16" i="3"/>
  <c r="E12" i="4"/>
  <c r="G12" i="4" s="1"/>
  <c r="E10" i="4"/>
  <c r="G10" i="4" s="1"/>
  <c r="W14" i="3"/>
  <c r="U14" i="3"/>
  <c r="T14" i="3"/>
  <c r="W13" i="3"/>
  <c r="E9" i="4"/>
  <c r="G9" i="4" s="1"/>
  <c r="U13" i="3"/>
  <c r="T13" i="3"/>
  <c r="V5" i="3"/>
  <c r="AO9" i="2"/>
  <c r="AP10" i="2" l="1"/>
  <c r="AS10" i="2"/>
  <c r="J10" i="4"/>
  <c r="I10" i="4"/>
  <c r="K10" i="4"/>
  <c r="I7" i="4"/>
  <c r="J7" i="4"/>
  <c r="K7" i="4"/>
  <c r="W5" i="3"/>
  <c r="T5" i="3" s="1"/>
  <c r="AQ9" i="2"/>
  <c r="J8" i="4"/>
  <c r="I8" i="4"/>
  <c r="K8" i="4"/>
  <c r="J12" i="4"/>
  <c r="I12" i="4"/>
  <c r="K12" i="4"/>
  <c r="J11" i="4"/>
  <c r="I11" i="4"/>
  <c r="K11" i="4"/>
  <c r="I9" i="4"/>
  <c r="J9" i="4"/>
  <c r="K9" i="4"/>
  <c r="J6" i="4"/>
  <c r="I6" i="4"/>
  <c r="K6" i="4"/>
  <c r="AS9" i="2" l="1"/>
  <c r="AR9" i="2"/>
  <c r="AP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6" authorId="0" shapeId="0" xr:uid="{00000000-0006-0000-0000-000001000000}">
      <text>
        <r>
          <rPr>
            <sz val="10"/>
            <rFont val="Arial"/>
            <family val="2"/>
          </rPr>
          <t>Alege din lista (vine din foaia 'Comenzi').</t>
        </r>
      </text>
    </comment>
    <comment ref="G6" authorId="0" shapeId="0" xr:uid="{00000000-0006-0000-0000-000002000000}">
      <text>
        <r>
          <rPr>
            <sz val="10"/>
            <rFont val="Arial"/>
            <family val="2"/>
          </rPr>
          <t>Folosit doar pentru calculul volumului din dimensiuni.</t>
        </r>
      </text>
    </comment>
    <comment ref="K6" authorId="0" shapeId="0" xr:uid="{00000000-0006-0000-0000-000003000000}">
      <text>
        <r>
          <rPr>
            <sz val="10"/>
            <rFont val="Arial"/>
            <family val="2"/>
          </rPr>
          <t>Daca il completezi, are prioritate fata de calculul din dimensiuni.</t>
        </r>
      </text>
    </comment>
    <comment ref="L6" authorId="0" shapeId="0" xr:uid="{00000000-0006-0000-0000-000004000000}">
      <text>
        <r>
          <rPr>
            <sz val="10"/>
            <rFont val="Arial"/>
            <family val="2"/>
          </rPr>
          <t>Folosit in foaia 'Comparatie Piata 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8" authorId="0" shapeId="0" xr:uid="{00000000-0006-0000-0100-000001000000}">
      <text>
        <r>
          <rPr>
            <sz val="10"/>
            <rFont val="Arial"/>
            <family val="2"/>
          </rPr>
          <t>Ex. C001, C002... Acelasi ID se foloseste in foaia 'PI Furnizor'.</t>
        </r>
      </text>
    </comment>
    <comment ref="G8" authorId="0" shapeId="0" xr:uid="{00000000-0006-0000-0100-000002000000}">
      <text>
        <r>
          <rPr>
            <sz val="10"/>
            <rFont val="Arial"/>
            <family val="2"/>
          </rPr>
          <t>Moneda in care sunt preturile unitare din foaia 'PI Furnizor' pentru aceasta comanda.</t>
        </r>
      </text>
    </comment>
    <comment ref="H8" authorId="0" shapeId="0" xr:uid="{00000000-0006-0000-0100-000003000000}">
      <text>
        <r>
          <rPr>
            <sz val="10"/>
            <rFont val="Arial"/>
            <family val="2"/>
          </rPr>
          <t>Curs diferit la fiecare comanda.</t>
        </r>
      </text>
    </comment>
    <comment ref="I8" authorId="0" shapeId="0" xr:uid="{00000000-0006-0000-0100-000004000000}">
      <text>
        <r>
          <rPr>
            <sz val="10"/>
            <rFont val="Arial"/>
            <family val="2"/>
          </rPr>
          <t>Curs diferit la fiecare comanda. Folosit si pentru taxa forfetara in EUR.</t>
        </r>
      </text>
    </comment>
    <comment ref="J8" authorId="0" shapeId="0" xr:uid="{00000000-0006-0000-0100-000005000000}">
      <text>
        <r>
          <rPr>
            <sz val="10"/>
            <rFont val="Arial"/>
            <family val="2"/>
          </rPr>
          <t>Transportul poate fi facturat in alta moneda decat marfa.</t>
        </r>
      </text>
    </comment>
    <comment ref="K8" authorId="0" shapeId="0" xr:uid="{00000000-0006-0000-0100-000006000000}">
      <text>
        <r>
          <rPr>
            <sz val="10"/>
            <rFont val="Arial"/>
            <family val="2"/>
          </rPr>
          <t>kg = tarif pe kilogram | CBM = tarif pe metru cub | Total fix = suma totala pe comanda (ex. oferta curier/forwarder).</t>
        </r>
      </text>
    </comment>
    <comment ref="L8" authorId="0" shapeId="0" xr:uid="{00000000-0006-0000-0100-000007000000}">
      <text>
        <r>
          <rPr>
            <sz val="10"/>
            <rFont val="Arial"/>
            <family val="2"/>
          </rPr>
          <t>Daca baza e kg: pret per kg. Daca CBM: pret per CBM. Daca Total fix: suma totala a transportului.</t>
        </r>
      </text>
    </comment>
    <comment ref="M8" authorId="0" shapeId="0" xr:uid="{00000000-0006-0000-0100-000008000000}">
      <text>
        <r>
          <rPr>
            <sz val="10"/>
            <rFont val="Arial"/>
            <family val="2"/>
          </rPr>
          <t>Optional. Multi forwarderi taxeaza minim (ex. 1 CBM sau 21 kg). Se aplica doar pentru kg / CBM.</t>
        </r>
      </text>
    </comment>
    <comment ref="N8" authorId="0" shapeId="0" xr:uid="{00000000-0006-0000-0100-000009000000}">
      <text>
        <r>
          <rPr>
            <sz val="10"/>
            <rFont val="Arial"/>
            <family val="2"/>
          </rPr>
          <t>Pentru aerian cu tarif pe kg: se taxeaza maximul dintre greutatea reala si cea volumetrica (CBM x 1.000.000 / divizor).</t>
        </r>
      </text>
    </comment>
    <comment ref="O8" authorId="0" shapeId="0" xr:uid="{00000000-0006-0000-0100-00000A000000}">
      <text>
        <r>
          <rPr>
            <sz val="10"/>
            <rFont val="Arial"/>
            <family val="2"/>
          </rPr>
          <t>Se aduna la transport si intra in valoarea in vama (CIF).</t>
        </r>
      </text>
    </comment>
    <comment ref="P8" authorId="0" shapeId="0" xr:uid="{00000000-0006-0000-0100-00000B000000}">
      <text>
        <r>
          <rPr>
            <sz val="10"/>
            <rFont val="Arial"/>
            <family val="2"/>
          </rPr>
          <t>Pentru taxa forfetara UE (3 EUR/categorie, colete sub 150 EUR, dupa 1 iulie 2026).</t>
        </r>
      </text>
    </comment>
    <comment ref="Q8" authorId="0" shapeId="0" xr:uid="{00000000-0006-0000-0100-00000C000000}">
      <text>
        <r>
          <rPr>
            <sz val="10"/>
            <rFont val="Arial"/>
            <family val="2"/>
          </rPr>
          <t>Pune 0 daca nu se aplica. Intra in baza TVA (taxa vamala).</t>
        </r>
      </text>
    </comment>
    <comment ref="S8" authorId="0" shapeId="0" xr:uid="{00000000-0006-0000-0100-00000D000000}">
      <text>
        <r>
          <rPr>
            <sz val="10"/>
            <rFont val="Arial"/>
            <family val="2"/>
          </rPr>
          <t>25 lei/colet sub 150 EUR din 2026. NU intra in baza TVA.</t>
        </r>
      </text>
    </comment>
    <comment ref="T8" authorId="0" shapeId="0" xr:uid="{00000000-0006-0000-0100-00000E000000}">
      <text>
        <r>
          <rPr>
            <sz val="10"/>
            <rFont val="Arial"/>
            <family val="2"/>
          </rPr>
          <t>Cost local total pe comanda. NU intra in baza TVA (nu face parte din valoarea in vama CIF).</t>
        </r>
      </text>
    </comment>
    <comment ref="U8" authorId="0" shapeId="0" xr:uid="{00000000-0006-0000-0100-00000F000000}">
      <text>
        <r>
          <rPr>
            <sz val="10"/>
            <rFont val="Arial"/>
            <family val="2"/>
          </rPr>
          <t>Gol = foloseste valoarea implicita de sus (D4).</t>
        </r>
      </text>
    </comment>
    <comment ref="V8" authorId="0" shapeId="0" xr:uid="{00000000-0006-0000-0100-000010000000}">
      <text>
        <r>
          <rPr>
            <sz val="10"/>
            <rFont val="Arial"/>
            <family val="2"/>
          </rPr>
          <t>Gol = foloseste valoarea implicita de sus (D3).</t>
        </r>
      </text>
    </comment>
    <comment ref="W8" authorId="0" shapeId="0" xr:uid="{00000000-0006-0000-0100-000011000000}">
      <text>
        <r>
          <rPr>
            <sz val="10"/>
            <rFont val="Arial"/>
            <family val="2"/>
          </rPr>
          <t>Automat = dupa baza tarifului (kg -&gt; greutate, CBM -&gt; volum). Poti alege manual: Greutate, Volum (CBM), Egal pe bucata, Valoare marfa.</t>
        </r>
      </text>
    </comment>
    <comment ref="AE8" authorId="0" shapeId="0" xr:uid="{00000000-0006-0000-0100-000012000000}">
      <text>
        <r>
          <rPr>
            <sz val="10"/>
            <rFont val="Arial"/>
            <family val="2"/>
          </rPr>
          <t>1 = tarif total fix.</t>
        </r>
      </text>
    </comment>
    <comment ref="AH8" authorId="0" shapeId="0" xr:uid="{00000000-0006-0000-0100-000013000000}">
      <text>
        <r>
          <rPr>
            <sz val="10"/>
            <rFont val="Arial"/>
            <family val="2"/>
          </rPr>
          <t>Util pentru a compara luna de luna cat te costa transportul.</t>
        </r>
      </text>
    </comment>
    <comment ref="AI8" authorId="0" shapeId="0" xr:uid="{00000000-0006-0000-0100-000014000000}">
      <text>
        <r>
          <rPr>
            <sz val="10"/>
            <rFont val="Arial"/>
            <family val="2"/>
          </rPr>
          <t>Util pentru a compara luna de luna cat te costa transportul.</t>
        </r>
      </text>
    </comment>
    <comment ref="AM8" authorId="0" shapeId="0" xr:uid="{00000000-0006-0000-0100-000015000000}">
      <text>
        <r>
          <rPr>
            <sz val="10"/>
            <rFont val="Arial"/>
            <family val="2"/>
          </rPr>
          <t>Daca lipsesc greutatile / volumul, se foloseste automat 'Egal pe bucata' (apare avertisment).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9" authorId="0" shapeId="0" xr:uid="{00000000-0006-0000-0200-000001000000}">
      <text>
        <r>
          <rPr>
            <sz val="10"/>
            <rFont val="Arial"/>
            <family val="2"/>
          </rPr>
          <t>Ponderea produsului in cheia de alocare a comenzii (greutate / CBM / bucati / valoare).</t>
        </r>
      </text>
    </comment>
    <comment ref="K9" authorId="0" shapeId="0" xr:uid="{00000000-0006-0000-0200-000002000000}">
      <text>
        <r>
          <rPr>
            <sz val="10"/>
            <rFont val="Arial"/>
            <family val="2"/>
          </rPr>
          <t>Marfa + transport + asigurare, per bucata.</t>
        </r>
      </text>
    </comment>
    <comment ref="L9" authorId="0" shapeId="0" xr:uid="{00000000-0006-0000-0200-000003000000}">
      <text>
        <r>
          <rPr>
            <sz val="10"/>
            <rFont val="Arial"/>
            <family val="2"/>
          </rPr>
          <t>Taxa standard % x CIF + taxa forfetara UE alocata.</t>
        </r>
      </text>
    </comment>
    <comment ref="M9" authorId="0" shapeId="0" xr:uid="{00000000-0006-0000-0200-000004000000}">
      <text>
        <r>
          <rPr>
            <sz val="10"/>
            <rFont val="Arial"/>
            <family val="2"/>
          </rPr>
          <t>CIF + taxe vamale.</t>
        </r>
      </text>
    </comment>
    <comment ref="O9" authorId="0" shapeId="0" xr:uid="{00000000-0006-0000-0200-000005000000}">
      <text>
        <r>
          <rPr>
            <sz val="10"/>
            <rFont val="Arial"/>
            <family val="2"/>
          </rPr>
          <t>Nu intra in baza TVA.</t>
        </r>
      </text>
    </comment>
  </commentList>
</comments>
</file>

<file path=xl/sharedStrings.xml><?xml version="1.0" encoding="utf-8"?>
<sst xmlns="http://schemas.openxmlformats.org/spreadsheetml/2006/main" count="174" uniqueCount="149">
  <si>
    <t>PRODUSE COMANDATE (din PI) - O LINIE = UN PRODUS DINTR-O COMANDA</t>
  </si>
  <si>
    <t>Adauga produse noi pe prima linie libera de la capat (zona galbena). Alege ID-ul comenzii din lista (comenzile se creeaza in foaia 'Comenzi', unde sunt data, cursul si transportul fiecareia). Preturile unitare sunt in moneda comenzii. Pentru transport pe CBM completeaza FIE 'Volum/buc (CBM)' direct, FIE dimensiunile cartonului + cate bucati intra intr-un carton (volumul/buc se calculeaza singur). Greutatea e per bucata. Tot ce adaugi aici apare automat in 'Calculator Cost per Bucata' si 'Comparatie Piata RO' (capacitate: 500 linii).</t>
  </si>
  <si>
    <t>DATE PRODUS - completeaza (galben)</t>
  </si>
  <si>
    <t>CALCUL AUTOMAT</t>
  </si>
  <si>
    <t>ID
comanda</t>
  </si>
  <si>
    <t>Item Number</t>
  </si>
  <si>
    <t>Descriere</t>
  </si>
  <si>
    <t>Cantitate
(buc)</t>
  </si>
  <si>
    <t>Greutate neta
/buc (kg)</t>
  </si>
  <si>
    <t>Buc / carton</t>
  </si>
  <si>
    <t>Lungime
carton (cm)</t>
  </si>
  <si>
    <t>Latime
carton (cm)</t>
  </si>
  <si>
    <t>Inaltime
carton (cm)</t>
  </si>
  <si>
    <t>Volum /buc (CBM)
- manual, optional</t>
  </si>
  <si>
    <t>Pret gasit in
Romania (RON)
- optional</t>
  </si>
  <si>
    <t>Observatii</t>
  </si>
  <si>
    <t>Greutate
totala (kg)</t>
  </si>
  <si>
    <t>Volum /buc
folosit (CBM)</t>
  </si>
  <si>
    <t>Volum total
(CBM)</t>
  </si>
  <si>
    <t>C001</t>
  </si>
  <si>
    <t>8821-DS</t>
  </si>
  <si>
    <t>Christmas flower</t>
  </si>
  <si>
    <t>11153-DS</t>
  </si>
  <si>
    <t>Garland</t>
  </si>
  <si>
    <t>C0230</t>
  </si>
  <si>
    <t>EC-Fairy Land-Castle</t>
  </si>
  <si>
    <t>11152-DS</t>
  </si>
  <si>
    <t>Train</t>
  </si>
  <si>
    <t>11823-DS</t>
  </si>
  <si>
    <t>Christmas series</t>
  </si>
  <si>
    <t>Plum Blossom</t>
  </si>
  <si>
    <t>C0864</t>
  </si>
  <si>
    <t>EC-003 Type Aircraft carrier</t>
  </si>
  <si>
    <t>COMENZI / PROFORMA INVOICE-URI - O LINIE = O COMANDA (data, curs, transport proprii)</t>
  </si>
  <si>
    <t>Cota TVA import implicita (daca lasi gol in coloana V)</t>
  </si>
  <si>
    <t>Cum folosesti: pentru fiecare comanda noua adaugi O LINIE (galben) pe prima linie libera de mai jos si ii dai un ID unic (ex. C002). In foaia 'PI Furnizor' scrii produsele cu acel ID. Fiecare comanda are propria data, propriul curs USD/EUR si propriul tarif de transport (pe kg, pe CBM sau total fix). Coloanele gri se calculeaza singure. Nota DDP: desi Incoterm-ul din PI poate fi DDP, pentru colete aeriene taxele/TVA se platesc de regula la sosire - calculatorul presupune ca TU platesti taxele la intrarea in tara. Taxe 2026 colete sub 150 EUR (Reg. UE 2026/382 - 3 EUR/categorie de produs, tranzitoriu; taxa logistica RO 25 lei/colet): confirma valorile curente cu curierul/brokerul.</t>
  </si>
  <si>
    <t>Taxa vamala standard implicita (daca lasi gol in coloana U)</t>
  </si>
  <si>
    <t>Divizor greutate volumetrica aerian (cm3 / kg)</t>
  </si>
  <si>
    <t>Firma platitoare de TVA? (Da/Nu) - schimba baza comparatiei in foaia Comparatie</t>
  </si>
  <si>
    <t>Nu</t>
  </si>
  <si>
    <t>DATE COMANDA - completeaza (galben)</t>
  </si>
  <si>
    <t>CALCUL AUTOMAT (nu modifica)</t>
  </si>
  <si>
    <t>ID comanda
(unic)</t>
  </si>
  <si>
    <t>Data comanda</t>
  </si>
  <si>
    <t>Furnizor</t>
  </si>
  <si>
    <t>Nr. PI /
Invoice</t>
  </si>
  <si>
    <t>Incoterm</t>
  </si>
  <si>
    <t>Tip transport</t>
  </si>
  <si>
    <t>Moneda marfa
(din PI)</t>
  </si>
  <si>
    <t>Curs USD -&gt; RON
(la data comenzii)</t>
  </si>
  <si>
    <t>Curs EUR -&gt; RON
(la data comenzii)</t>
  </si>
  <si>
    <t>Moneda
transport</t>
  </si>
  <si>
    <t>Baza tarif
transport</t>
  </si>
  <si>
    <t>Tarif transport
(moneda transport)</t>
  </si>
  <si>
    <t>Minim taxabil
(kg sau CBM)</t>
  </si>
  <si>
    <t>Greutate
volumetrica?
(Da/Nu)</t>
  </si>
  <si>
    <t>Asigurare + alte
costuri transport
(moneda transport)</t>
  </si>
  <si>
    <t>Nr. categorii
distincte produse</t>
  </si>
  <si>
    <t>Taxa forfetara UE
(EUR/categorie)</t>
  </si>
  <si>
    <t>Nr. colete</t>
  </si>
  <si>
    <t>Taxa logistica RO
(lei/colet)</t>
  </si>
  <si>
    <t>Comision broker /
transport intern
(RON)</t>
  </si>
  <si>
    <t>Taxa vamala
standard (%)</t>
  </si>
  <si>
    <t>Cota TVA
import</t>
  </si>
  <si>
    <t>Metoda alocare
transport + taxe fixe</t>
  </si>
  <si>
    <t>Nr. linii
produse</t>
  </si>
  <si>
    <t>Cantitate
totala (buc)</t>
  </si>
  <si>
    <t>Greutate reala
totala (kg)</t>
  </si>
  <si>
    <t>Valoare marfa
(RON)</t>
  </si>
  <si>
    <t>Greutate
volumetrica (kg)</t>
  </si>
  <si>
    <t>Cantitate taxabila
(kg / CBM / 1)</t>
  </si>
  <si>
    <t>Transport + asig.
TOTAL (RON)</t>
  </si>
  <si>
    <t>Transport
RON / kg real</t>
  </si>
  <si>
    <t>Transport
RON / CBM</t>
  </si>
  <si>
    <t>Taxa vamala
forfetara TOTAL (RON)</t>
  </si>
  <si>
    <t>Taxa logistica RO
TOTAL (RON)</t>
  </si>
  <si>
    <t>Metoda alocare
aleasa</t>
  </si>
  <si>
    <t>Metoda alocare
efectiva</t>
  </si>
  <si>
    <t>Total cheie
alocare</t>
  </si>
  <si>
    <t>COST TOTAL
fara TVA (RON)</t>
  </si>
  <si>
    <t>TVA import
TOTAL (RON)</t>
  </si>
  <si>
    <t>COST TOTAL
cu TVA (RON)</t>
  </si>
  <si>
    <t>COST TOTAL
cu TVA (EUR)</t>
  </si>
  <si>
    <t>COST TOTAL
cu TVA (USD)</t>
  </si>
  <si>
    <t>Avertismente</t>
  </si>
  <si>
    <t>Guangdong Woma Animation Toys Co.,Ltd</t>
  </si>
  <si>
    <t>WM20260826-2</t>
  </si>
  <si>
    <t>DDP</t>
  </si>
  <si>
    <t>Aerian</t>
  </si>
  <si>
    <t>USD</t>
  </si>
  <si>
    <t>Total fix</t>
  </si>
  <si>
    <t>Greutate</t>
  </si>
  <si>
    <t>COST REAL PER BUCATA - LA INTRAREA IN TARA (toate comenzile)</t>
  </si>
  <si>
    <t>Tabelul se completeaza singur din 'PI Furnizor' + 'Comenzi' - fiecare produs foloseste data/cursul/transportul comenzii lui. Transportul si taxele fixe pe comanda se impart pe bucata dupa metoda aleasa la comanda (greutate, CBM, egal, valoare). Baza TVA = valoare in vama CIF (marfa + transport + asigurare) + taxe vamale; taxa logistica RO si comisioanele de broker NU intra in baza TVA. Foloseste filtrul de pe coloana 'Nr. comanda' pentru o singura comanda - totalurile din rand 5 se recalculeaza dupa filtru.</t>
  </si>
  <si>
    <t>TOTAL randuri afisate (se actualizeaza cu filtrul)</t>
  </si>
  <si>
    <t>TVA total:</t>
  </si>
  <si>
    <t>IDENTIFICARE</t>
  </si>
  <si>
    <t>PRET MARFA</t>
  </si>
  <si>
    <t>ALOCARE TRANSPORT</t>
  </si>
  <si>
    <t>VALOARE IN VAMA, TAXE, TVA (pe bucata)</t>
  </si>
  <si>
    <t>COST FINAL fara TVA /buc (recuperabil)</t>
  </si>
  <si>
    <t>COST FINAL cu TVA /buc (cash)</t>
  </si>
  <si>
    <t>TOTAL LINIE (RON)</t>
  </si>
  <si>
    <t>TEHNIC (nu modifica)</t>
  </si>
  <si>
    <t>Nr.
comanda</t>
  </si>
  <si>
    <t>Data
comanda</t>
  </si>
  <si>
    <t>Item
Number</t>
  </si>
  <si>
    <t>Moneda
marfa</t>
  </si>
  <si>
    <t>Pret produs /buc
(moneda marfa)</t>
  </si>
  <si>
    <t>Pret produs
/buc (RON)</t>
  </si>
  <si>
    <t>Cota alocare
transport + taxe
fixe (%)</t>
  </si>
  <si>
    <t>Transport +
asigurare
/buc (RON)</t>
  </si>
  <si>
    <t>Valoare in vama
(CIF) /buc (RON)</t>
  </si>
  <si>
    <t>Taxa vamala
/buc (RON)</t>
  </si>
  <si>
    <t>Baza TVA
import /buc (RON)</t>
  </si>
  <si>
    <t>TVA import
/buc (RON)</t>
  </si>
  <si>
    <t>Taxa logistica RO
+ broker/local
/buc (RON)</t>
  </si>
  <si>
    <t>RON</t>
  </si>
  <si>
    <t>EUR</t>
  </si>
  <si>
    <t>Fara TVA
(RON)</t>
  </si>
  <si>
    <t>Cu TVA
(RON)</t>
  </si>
  <si>
    <t>Rand in
Comenzi</t>
  </si>
  <si>
    <t>Valid
(1/0)</t>
  </si>
  <si>
    <t>Status</t>
  </si>
  <si>
    <t>Curs
USD</t>
  </si>
  <si>
    <t>Curs
EUR</t>
  </si>
  <si>
    <t>Cota
TVA</t>
  </si>
  <si>
    <t>Taxa vamala
%</t>
  </si>
  <si>
    <t>Cheie
alocare</t>
  </si>
  <si>
    <t>COMPARATIE: COST IMPORT vs. PRETURI GASITE IN ROMANIA</t>
  </si>
  <si>
    <t>Completeaza pretul gasit in Romania (cu TVA) in foaia 'PI Furnizor', coloana L (galben) - ramane legat de produs chiar daca schimbi ordinea liniilor. Daca firma NU e platitoare de TVA (Comenzi!D6 = Nu), TVA-ul de import e cost real si se compara pretul RO cu costul cu TVA. Daca e platitoare (Da), TVA-ul se recupereaza: se compara pretul RO fara TVA cu costul fara TVA.</t>
  </si>
  <si>
    <t>Cost import/buc
- fara TVA (RON)</t>
  </si>
  <si>
    <t>Cost import/buc
- cash cu TVA (RON)</t>
  </si>
  <si>
    <t>Pret gasit in
Romania cu TVA (RON)</t>
  </si>
  <si>
    <t>Cost de referinta
(RON)</t>
  </si>
  <si>
    <t>Pret de referinta
(RON)</t>
  </si>
  <si>
    <t>Diferenta
(RON)</t>
  </si>
  <si>
    <t>Diferenta
(%)</t>
  </si>
  <si>
    <t>Verdict</t>
  </si>
  <si>
    <t>Verdictul: 'Import avantajos' = pretul de referinta lasa cel putin 15% marja fata de costul de referinta; sub acest prag marja se poate consuma rapid in OPEX, comision marketplace sau retururi.</t>
  </si>
  <si>
    <t>Pret unitar
(USD)</t>
  </si>
  <si>
    <t>Valoare totala
marfa (USD)</t>
  </si>
  <si>
    <t>C002</t>
  </si>
  <si>
    <t>08.10.2026</t>
  </si>
  <si>
    <t>Guangzhou Longcheng Ceramics Co., Limited</t>
  </si>
  <si>
    <t>WM20260826-3</t>
  </si>
  <si>
    <t>Egal pe bucata</t>
  </si>
  <si>
    <t>Valoare marfa
(USD)</t>
  </si>
  <si>
    <t>Transport + asig.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</si>
</sst>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164" formatCode="0.0"/>
    <numFmt numFmtId="165" formatCode="0.0000"/>
    <numFmt numFmtId="166" formatCode="#,##0.00&quot; lei&quot;"/>
    <numFmt numFmtId="167" formatCode="0.0%"/>
    <numFmt numFmtId="168" formatCode="dd\.mm\.yyyy"/>
    <numFmt numFmtId="169" formatCode="#,##0.00&quot; €&quot;"/>
    <numFmt numFmtId="170" formatCode="#,##0.00&quot; $&quot;"/>
    <numFmt numFmtId="171" formatCode="_([$RON]\ * #,##0.00_);_([$RON]\ * \(#,##0.00\);_([$RON]\ * &quot;-&quot;??_);_(@_)"/>
  </numFmts>
  <fonts count="15" x14ac:knownFonts="1">
    <font>
      <sz val="11"/>
      <color theme="1"/>
      <name val="Calibri"/>
      <family val="2"/>
      <charset val="1"/>
    </font>
    <font>
      <sz val="10"/>
      <name val="Arial"/>
    </font>
    <font>
      <b/>
      <sz val="15"/>
      <color rgb="FFFFFFFF"/>
      <name val="Arial"/>
      <charset val="1"/>
    </font>
    <font>
      <sz val="9"/>
      <color rgb="FF7F7F7F"/>
      <name val="Arial"/>
      <charset val="1"/>
    </font>
    <font>
      <b/>
      <sz val="10"/>
      <color rgb="FF1F3864"/>
      <name val="Arial"/>
      <charset val="1"/>
    </font>
    <font>
      <b/>
      <sz val="9"/>
      <color rgb="FFFFFFFF"/>
      <name val="Arial"/>
      <charset val="1"/>
    </font>
    <font>
      <sz val="10"/>
      <color rgb="FF0000FF"/>
      <name val="Arial"/>
      <charset val="1"/>
    </font>
    <font>
      <b/>
      <sz val="10"/>
      <color rgb="FF000000"/>
      <name val="Arial"/>
      <charset val="1"/>
    </font>
    <font>
      <sz val="10"/>
      <color rgb="FF000000"/>
      <name val="Arial"/>
      <charset val="1"/>
    </font>
    <font>
      <sz val="10"/>
      <name val="Arial"/>
      <family val="2"/>
    </font>
    <font>
      <b/>
      <sz val="10"/>
      <color rgb="FF375623"/>
      <name val="Arial"/>
      <charset val="1"/>
    </font>
    <font>
      <sz val="10"/>
      <color rgb="FF7F7F7F"/>
      <name val="Arial"/>
      <charset val="1"/>
    </font>
    <font>
      <b/>
      <sz val="9"/>
      <color rgb="FFFFFFFF"/>
      <name val="Arial"/>
      <family val="2"/>
    </font>
    <font>
      <sz val="10"/>
      <color rgb="FF0000FF"/>
      <name val="Arial"/>
      <family val="2"/>
    </font>
    <font>
      <sz val="8"/>
      <name val="Calibri"/>
      <family val="2"/>
      <charset val="1"/>
    </font>
  </fonts>
  <fills count="9">
    <fill>
      <patternFill patternType="none"/>
    </fill>
    <fill>
      <patternFill patternType="gray125"/>
    </fill>
    <fill>
      <patternFill patternType="solid">
        <fgColor rgb="FF1F3864"/>
        <bgColor rgb="FF333399"/>
      </patternFill>
    </fill>
    <fill>
      <patternFill patternType="solid">
        <fgColor rgb="FFFFFF00"/>
        <bgColor rgb="FFFFFF00"/>
      </patternFill>
    </fill>
    <fill>
      <patternFill patternType="solid">
        <fgColor rgb="FFDCE6F1"/>
        <bgColor rgb="FFE2EFDA"/>
      </patternFill>
    </fill>
    <fill>
      <patternFill patternType="solid">
        <fgColor rgb="FFF2F2F2"/>
        <bgColor rgb="FFE2EFDA"/>
      </patternFill>
    </fill>
    <fill>
      <patternFill patternType="solid">
        <fgColor rgb="FFC6E0B4"/>
        <bgColor rgb="FFD9D9D9"/>
      </patternFill>
    </fill>
    <fill>
      <patternFill patternType="solid">
        <fgColor rgb="FFF8CBAD"/>
        <bgColor rgb="FFFCE4D6"/>
      </patternFill>
    </fill>
    <fill>
      <patternFill patternType="solid">
        <fgColor rgb="FFD9D9D9"/>
        <bgColor rgb="FFDCE6F1"/>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2">
    <xf numFmtId="0" fontId="0" fillId="0" borderId="0"/>
    <xf numFmtId="44" fontId="1" fillId="0" borderId="0" applyBorder="0" applyAlignment="0" applyProtection="0"/>
  </cellStyleXfs>
  <cellXfs count="67">
    <xf numFmtId="0" fontId="0" fillId="0" borderId="0" xfId="0"/>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3" fontId="6" fillId="3" borderId="1" xfId="0" applyNumberFormat="1" applyFont="1" applyFill="1" applyBorder="1" applyAlignment="1">
      <alignment horizontal="right" vertical="center"/>
    </xf>
    <xf numFmtId="4" fontId="6" fillId="3" borderId="1" xfId="0" applyNumberFormat="1" applyFont="1" applyFill="1" applyBorder="1" applyAlignment="1">
      <alignment horizontal="right" vertical="center"/>
    </xf>
    <xf numFmtId="1" fontId="6" fillId="3" borderId="1" xfId="0" applyNumberFormat="1" applyFont="1" applyFill="1" applyBorder="1" applyAlignment="1">
      <alignment horizontal="right" vertical="center"/>
    </xf>
    <xf numFmtId="164" fontId="6" fillId="3" borderId="1" xfId="0" applyNumberFormat="1" applyFont="1" applyFill="1" applyBorder="1" applyAlignment="1">
      <alignment horizontal="right" vertical="center"/>
    </xf>
    <xf numFmtId="165" fontId="6" fillId="3" borderId="1" xfId="0" applyNumberFormat="1" applyFont="1" applyFill="1" applyBorder="1" applyAlignment="1">
      <alignment horizontal="right" vertical="center"/>
    </xf>
    <xf numFmtId="4" fontId="7" fillId="5" borderId="1" xfId="0" applyNumberFormat="1" applyFont="1" applyFill="1" applyBorder="1" applyAlignment="1">
      <alignment horizontal="right" vertical="center"/>
    </xf>
    <xf numFmtId="4" fontId="8" fillId="5" borderId="1" xfId="0" applyNumberFormat="1" applyFont="1" applyFill="1" applyBorder="1" applyAlignment="1">
      <alignment horizontal="right" vertical="center"/>
    </xf>
    <xf numFmtId="165" fontId="8" fillId="5" borderId="1" xfId="0" applyNumberFormat="1" applyFont="1" applyFill="1" applyBorder="1" applyAlignment="1">
      <alignment horizontal="right" vertical="center"/>
    </xf>
    <xf numFmtId="167" fontId="6" fillId="3" borderId="1" xfId="0" applyNumberFormat="1" applyFont="1" applyFill="1" applyBorder="1" applyAlignment="1">
      <alignment horizontal="right" vertical="center"/>
    </xf>
    <xf numFmtId="0" fontId="6" fillId="3" borderId="1" xfId="0" applyFont="1" applyFill="1" applyBorder="1" applyAlignment="1">
      <alignment horizontal="center" vertical="center"/>
    </xf>
    <xf numFmtId="168" fontId="6" fillId="3" borderId="1" xfId="0" applyNumberFormat="1" applyFont="1" applyFill="1" applyBorder="1" applyAlignment="1">
      <alignment horizontal="right" vertical="center"/>
    </xf>
    <xf numFmtId="2" fontId="6" fillId="3" borderId="1" xfId="0" applyNumberFormat="1" applyFont="1" applyFill="1" applyBorder="1" applyAlignment="1">
      <alignment horizontal="right" vertical="center"/>
    </xf>
    <xf numFmtId="1" fontId="8" fillId="5" borderId="1" xfId="0" applyNumberFormat="1" applyFont="1" applyFill="1" applyBorder="1" applyAlignment="1">
      <alignment horizontal="right" vertical="center"/>
    </xf>
    <xf numFmtId="3" fontId="8" fillId="5" borderId="1" xfId="0" applyNumberFormat="1" applyFont="1" applyFill="1" applyBorder="1" applyAlignment="1">
      <alignment horizontal="right" vertical="center"/>
    </xf>
    <xf numFmtId="166" fontId="8" fillId="5" borderId="1" xfId="0" applyNumberFormat="1" applyFont="1" applyFill="1" applyBorder="1" applyAlignment="1">
      <alignment horizontal="right" vertical="center"/>
    </xf>
    <xf numFmtId="166" fontId="7" fillId="5" borderId="1" xfId="0" applyNumberFormat="1" applyFont="1" applyFill="1" applyBorder="1" applyAlignment="1">
      <alignment horizontal="right" vertical="center"/>
    </xf>
    <xf numFmtId="0" fontId="8" fillId="5" borderId="1" xfId="0" applyFont="1" applyFill="1" applyBorder="1" applyAlignment="1">
      <alignment horizontal="left" vertical="center"/>
    </xf>
    <xf numFmtId="166" fontId="4" fillId="5" borderId="1" xfId="0" applyNumberFormat="1" applyFont="1" applyFill="1" applyBorder="1" applyAlignment="1">
      <alignment horizontal="right" vertical="center"/>
    </xf>
    <xf numFmtId="169" fontId="8" fillId="5" borderId="1" xfId="0" applyNumberFormat="1" applyFont="1" applyFill="1" applyBorder="1" applyAlignment="1">
      <alignment horizontal="right" vertical="center"/>
    </xf>
    <xf numFmtId="170" fontId="8" fillId="5" borderId="1" xfId="0" applyNumberFormat="1" applyFont="1" applyFill="1" applyBorder="1" applyAlignment="1">
      <alignment horizontal="right" vertical="center"/>
    </xf>
    <xf numFmtId="0" fontId="8" fillId="5" borderId="1" xfId="0" applyFont="1" applyFill="1" applyBorder="1" applyAlignment="1">
      <alignment horizontal="left" vertical="center" wrapText="1"/>
    </xf>
    <xf numFmtId="3" fontId="7" fillId="4" borderId="1" xfId="0" applyNumberFormat="1" applyFont="1" applyFill="1" applyBorder="1" applyAlignment="1">
      <alignment horizontal="right"/>
    </xf>
    <xf numFmtId="0" fontId="0" fillId="4" borderId="1" xfId="0" applyFill="1" applyBorder="1"/>
    <xf numFmtId="0" fontId="7" fillId="4" borderId="1" xfId="0" applyFont="1" applyFill="1" applyBorder="1" applyAlignment="1">
      <alignment horizontal="right"/>
    </xf>
    <xf numFmtId="166" fontId="7" fillId="4" borderId="1" xfId="0" applyNumberFormat="1" applyFont="1" applyFill="1" applyBorder="1" applyAlignment="1">
      <alignment horizontal="right"/>
    </xf>
    <xf numFmtId="0" fontId="8" fillId="0" borderId="0" xfId="0" applyFont="1" applyAlignment="1">
      <alignment horizontal="left" vertical="center"/>
    </xf>
    <xf numFmtId="168" fontId="8" fillId="0" borderId="0" xfId="0" applyNumberFormat="1" applyFont="1" applyAlignment="1">
      <alignment horizontal="center" vertical="center"/>
    </xf>
    <xf numFmtId="3" fontId="8" fillId="0" borderId="0" xfId="0" applyNumberFormat="1" applyFont="1" applyAlignment="1">
      <alignment horizontal="right" vertical="center"/>
    </xf>
    <xf numFmtId="0" fontId="8" fillId="0" borderId="0" xfId="0" applyFont="1" applyAlignment="1">
      <alignment horizontal="center" vertical="center"/>
    </xf>
    <xf numFmtId="4" fontId="8" fillId="0" borderId="0" xfId="0" applyNumberFormat="1" applyFont="1" applyAlignment="1">
      <alignment horizontal="right" vertical="center"/>
    </xf>
    <xf numFmtId="166" fontId="8" fillId="0" borderId="0" xfId="0" applyNumberFormat="1" applyFont="1" applyAlignment="1">
      <alignment horizontal="right" vertical="center"/>
    </xf>
    <xf numFmtId="167" fontId="8" fillId="0" borderId="0" xfId="0" applyNumberFormat="1" applyFont="1" applyAlignment="1">
      <alignment horizontal="right" vertical="center"/>
    </xf>
    <xf numFmtId="166" fontId="10" fillId="0" borderId="0" xfId="0" applyNumberFormat="1" applyFont="1" applyAlignment="1">
      <alignment horizontal="right" vertical="center"/>
    </xf>
    <xf numFmtId="169" fontId="10" fillId="0" borderId="0" xfId="0" applyNumberFormat="1" applyFont="1" applyAlignment="1">
      <alignment horizontal="right" vertical="center"/>
    </xf>
    <xf numFmtId="170" fontId="10" fillId="0" borderId="0" xfId="0" applyNumberFormat="1" applyFont="1" applyAlignment="1">
      <alignment horizontal="right" vertical="center"/>
    </xf>
    <xf numFmtId="166" fontId="4" fillId="0" borderId="0" xfId="0" applyNumberFormat="1" applyFont="1" applyAlignment="1">
      <alignment horizontal="right" vertical="center"/>
    </xf>
    <xf numFmtId="169" fontId="4" fillId="0" borderId="0" xfId="0" applyNumberFormat="1" applyFont="1" applyAlignment="1">
      <alignment horizontal="right" vertical="center"/>
    </xf>
    <xf numFmtId="170" fontId="4" fillId="0" borderId="0" xfId="0" applyNumberFormat="1" applyFont="1" applyAlignment="1">
      <alignment horizontal="right" vertical="center"/>
    </xf>
    <xf numFmtId="1" fontId="11" fillId="0" borderId="0" xfId="0" applyNumberFormat="1" applyFont="1" applyAlignment="1">
      <alignment horizontal="right" vertical="center"/>
    </xf>
    <xf numFmtId="0" fontId="11" fillId="0" borderId="0" xfId="0" applyFont="1" applyAlignment="1">
      <alignment horizontal="left" vertical="center"/>
    </xf>
    <xf numFmtId="165" fontId="11" fillId="0" borderId="0" xfId="0" applyNumberFormat="1" applyFont="1" applyAlignment="1">
      <alignment horizontal="right" vertical="center"/>
    </xf>
    <xf numFmtId="167" fontId="11" fillId="0" borderId="0" xfId="0" applyNumberFormat="1" applyFont="1" applyAlignment="1">
      <alignment horizontal="right" vertical="center"/>
    </xf>
    <xf numFmtId="4" fontId="11" fillId="0" borderId="0" xfId="0" applyNumberFormat="1" applyFont="1" applyAlignment="1">
      <alignment horizontal="right" vertical="center"/>
    </xf>
    <xf numFmtId="166" fontId="7" fillId="0" borderId="0" xfId="0" applyNumberFormat="1" applyFont="1" applyAlignment="1">
      <alignment horizontal="right" vertical="center"/>
    </xf>
    <xf numFmtId="167" fontId="7" fillId="0" borderId="0" xfId="0" applyNumberFormat="1" applyFont="1" applyAlignment="1">
      <alignment horizontal="right" vertical="center"/>
    </xf>
    <xf numFmtId="0" fontId="7" fillId="0" borderId="0" xfId="0" applyFont="1" applyAlignment="1">
      <alignment horizontal="left" vertical="center"/>
    </xf>
    <xf numFmtId="171" fontId="6" fillId="3" borderId="1" xfId="0" applyNumberFormat="1" applyFont="1" applyFill="1" applyBorder="1" applyAlignment="1">
      <alignment horizontal="right" vertical="center"/>
    </xf>
    <xf numFmtId="171" fontId="0" fillId="0" borderId="0" xfId="0" applyNumberFormat="1"/>
    <xf numFmtId="0" fontId="12" fillId="2"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13" fillId="3" borderId="1" xfId="0" applyFont="1" applyFill="1" applyBorder="1" applyAlignment="1">
      <alignment horizontal="center" vertical="center"/>
    </xf>
    <xf numFmtId="168" fontId="13" fillId="3" borderId="1" xfId="0" applyNumberFormat="1" applyFont="1" applyFill="1" applyBorder="1" applyAlignment="1">
      <alignment horizontal="right" vertical="center"/>
    </xf>
    <xf numFmtId="171" fontId="8" fillId="5" borderId="1" xfId="0" applyNumberFormat="1" applyFont="1" applyFill="1" applyBorder="1" applyAlignment="1">
      <alignment horizontal="right" vertical="center"/>
    </xf>
    <xf numFmtId="44" fontId="1" fillId="0" borderId="1" xfId="1" applyBorder="1" applyAlignment="1">
      <alignment horizontal="right" vertical="center"/>
    </xf>
    <xf numFmtId="44" fontId="1" fillId="0" borderId="0" xfId="1"/>
    <xf numFmtId="0" fontId="7" fillId="0" borderId="2" xfId="0" applyFont="1" applyBorder="1" applyAlignment="1">
      <alignment vertical="center" wrapText="1"/>
    </xf>
    <xf numFmtId="0" fontId="4" fillId="3" borderId="0" xfId="0" applyFont="1" applyFill="1" applyAlignment="1">
      <alignment horizontal="center" vertical="center" wrapText="1"/>
    </xf>
    <xf numFmtId="0" fontId="4" fillId="4" borderId="0" xfId="0" applyFont="1" applyFill="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left" vertical="top" wrapText="1"/>
    </xf>
    <xf numFmtId="0" fontId="7" fillId="4" borderId="1" xfId="0" applyFont="1" applyFill="1" applyBorder="1" applyAlignment="1">
      <alignment horizontal="left" vertical="center" wrapText="1"/>
    </xf>
    <xf numFmtId="0" fontId="4" fillId="6" borderId="0" xfId="0" applyFont="1" applyFill="1" applyAlignment="1">
      <alignment horizontal="center" vertical="center" wrapText="1"/>
    </xf>
    <xf numFmtId="0" fontId="4" fillId="7" borderId="0" xfId="0" applyFont="1" applyFill="1" applyAlignment="1">
      <alignment horizontal="center" vertical="center" wrapText="1"/>
    </xf>
    <xf numFmtId="0" fontId="4" fillId="8" borderId="0" xfId="0" applyFont="1" applyFill="1" applyAlignment="1">
      <alignment horizontal="center" vertical="center" wrapText="1"/>
    </xf>
  </cellXfs>
  <cellStyles count="2">
    <cellStyle name="Currency" xfId="1" builtinId="4"/>
    <cellStyle name="Normal" xfId="0" builtinId="0"/>
  </cellStyles>
  <dxfs count="6">
    <dxf>
      <font>
        <b/>
        <color rgb="FFC00000"/>
        <name val="Arial"/>
        <charset val="1"/>
      </font>
      <fill>
        <patternFill>
          <bgColor rgb="FFFCE4D6"/>
        </patternFill>
      </fill>
    </dxf>
    <dxf>
      <font>
        <b/>
        <color rgb="FF375623"/>
        <name val="Arial"/>
        <charset val="1"/>
      </font>
      <fill>
        <patternFill>
          <bgColor rgb="FFE2EFDA"/>
        </patternFill>
      </fill>
    </dxf>
    <dxf>
      <border diagonalUp="0" diagonalDown="0">
        <left style="thin">
          <color rgb="FFBFBFBF"/>
        </left>
        <right style="thin">
          <color rgb="FFBFBFBF"/>
        </right>
        <top style="thin">
          <color rgb="FFBFBFBF"/>
        </top>
        <bottom style="thin">
          <color rgb="FFBFBFBF"/>
        </bottom>
      </border>
    </dxf>
    <dxf>
      <font>
        <b/>
        <color rgb="FFC00000"/>
        <name val="Arial"/>
        <charset val="1"/>
      </font>
    </dxf>
    <dxf>
      <border diagonalUp="0" diagonalDown="0">
        <left style="thin">
          <color rgb="FFBFBFBF"/>
        </left>
        <right style="thin">
          <color rgb="FFBFBFBF"/>
        </right>
        <top style="thin">
          <color rgb="FFBFBFBF"/>
        </top>
        <bottom style="thin">
          <color rgb="FFBFBFBF"/>
        </bottom>
      </border>
    </dxf>
    <dxf>
      <font>
        <b/>
        <color rgb="FFC00000"/>
        <name val="Arial"/>
        <charset val="1"/>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2F2"/>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6E0B4"/>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506"/>
  <sheetViews>
    <sheetView showGridLines="0" zoomScaleNormal="100" workbookViewId="0">
      <pane xSplit="3" ySplit="6" topLeftCell="D7" activePane="bottomRight" state="frozen"/>
      <selection pane="topRight" activeCell="D1" sqref="D1"/>
      <selection pane="bottomLeft" activeCell="A7" sqref="A7"/>
      <selection pane="bottomRight" activeCell="F17" sqref="F17"/>
    </sheetView>
  </sheetViews>
  <sheetFormatPr defaultColWidth="8.6640625" defaultRowHeight="14.4" x14ac:dyDescent="0.3"/>
  <cols>
    <col min="1" max="1" width="11" customWidth="1"/>
    <col min="2" max="2" width="14" customWidth="1"/>
    <col min="3" max="3" width="30" customWidth="1"/>
    <col min="4" max="4" width="10" customWidth="1"/>
    <col min="5" max="6" width="13" customWidth="1"/>
    <col min="7" max="7" width="10" customWidth="1"/>
    <col min="8" max="10" width="11" customWidth="1"/>
    <col min="11" max="11" width="14" customWidth="1"/>
    <col min="12" max="12" width="14" style="50" customWidth="1"/>
    <col min="13" max="13" width="22" customWidth="1"/>
    <col min="14" max="14" width="15" customWidth="1"/>
    <col min="15" max="15" width="12" customWidth="1"/>
    <col min="16" max="16" width="13" customWidth="1"/>
    <col min="17" max="17" width="12" customWidth="1"/>
  </cols>
  <sheetData>
    <row r="1" spans="1:17" ht="27.75" customHeight="1" x14ac:dyDescent="0.3">
      <c r="A1" s="61" t="s">
        <v>0</v>
      </c>
      <c r="B1" s="61"/>
      <c r="C1" s="61"/>
      <c r="D1" s="61"/>
      <c r="E1" s="61"/>
      <c r="F1" s="61"/>
      <c r="G1" s="61"/>
      <c r="H1" s="61"/>
      <c r="I1" s="61"/>
      <c r="J1" s="61"/>
      <c r="K1" s="61"/>
      <c r="L1" s="61"/>
      <c r="M1" s="61"/>
      <c r="N1" s="61"/>
      <c r="O1" s="61"/>
      <c r="P1" s="61"/>
      <c r="Q1" s="61"/>
    </row>
    <row r="2" spans="1:17" x14ac:dyDescent="0.3">
      <c r="L2"/>
    </row>
    <row r="3" spans="1:17" ht="54" customHeight="1" x14ac:dyDescent="0.3">
      <c r="A3" s="62" t="s">
        <v>1</v>
      </c>
      <c r="B3" s="62"/>
      <c r="C3" s="62"/>
      <c r="D3" s="62"/>
      <c r="E3" s="62"/>
      <c r="F3" s="62"/>
      <c r="G3" s="62"/>
      <c r="H3" s="62"/>
      <c r="I3" s="62"/>
      <c r="J3" s="62"/>
      <c r="K3" s="62"/>
      <c r="L3" s="62"/>
      <c r="M3" s="62"/>
      <c r="N3" s="62"/>
      <c r="O3" s="62"/>
      <c r="P3" s="62"/>
      <c r="Q3" s="62"/>
    </row>
    <row r="4" spans="1:17" x14ac:dyDescent="0.3">
      <c r="L4"/>
    </row>
    <row r="5" spans="1:17" ht="15" customHeight="1" x14ac:dyDescent="0.3">
      <c r="A5" s="59" t="s">
        <v>2</v>
      </c>
      <c r="B5" s="59"/>
      <c r="C5" s="59"/>
      <c r="D5" s="59"/>
      <c r="E5" s="59"/>
      <c r="F5" s="59"/>
      <c r="G5" s="59"/>
      <c r="H5" s="59"/>
      <c r="I5" s="59"/>
      <c r="J5" s="59"/>
      <c r="K5" s="59"/>
      <c r="L5" s="59"/>
      <c r="M5" s="59"/>
      <c r="N5" s="60" t="s">
        <v>3</v>
      </c>
      <c r="O5" s="60"/>
      <c r="P5" s="60"/>
      <c r="Q5" s="60"/>
    </row>
    <row r="6" spans="1:17" ht="48" customHeight="1" x14ac:dyDescent="0.3">
      <c r="A6" s="1" t="s">
        <v>4</v>
      </c>
      <c r="B6" s="1" t="s">
        <v>5</v>
      </c>
      <c r="C6" s="1" t="s">
        <v>6</v>
      </c>
      <c r="D6" s="1" t="s">
        <v>7</v>
      </c>
      <c r="E6" s="1" t="s">
        <v>140</v>
      </c>
      <c r="F6" s="1" t="s">
        <v>8</v>
      </c>
      <c r="G6" s="1" t="s">
        <v>9</v>
      </c>
      <c r="H6" s="1" t="s">
        <v>10</v>
      </c>
      <c r="I6" s="1" t="s">
        <v>11</v>
      </c>
      <c r="J6" s="1" t="s">
        <v>12</v>
      </c>
      <c r="K6" s="1" t="s">
        <v>13</v>
      </c>
      <c r="L6" s="1" t="s">
        <v>14</v>
      </c>
      <c r="M6" s="1" t="s">
        <v>15</v>
      </c>
      <c r="N6" s="51" t="s">
        <v>141</v>
      </c>
      <c r="O6" s="1" t="s">
        <v>16</v>
      </c>
      <c r="P6" s="1" t="s">
        <v>17</v>
      </c>
      <c r="Q6" s="1" t="s">
        <v>18</v>
      </c>
    </row>
    <row r="7" spans="1:17" x14ac:dyDescent="0.3">
      <c r="A7" s="2" t="s">
        <v>19</v>
      </c>
      <c r="B7" s="2" t="s">
        <v>20</v>
      </c>
      <c r="C7" s="2" t="s">
        <v>21</v>
      </c>
      <c r="D7" s="3">
        <v>1</v>
      </c>
      <c r="E7" s="4">
        <v>6.15</v>
      </c>
      <c r="F7" s="4">
        <v>0.55000000000000004</v>
      </c>
      <c r="G7" s="5"/>
      <c r="H7" s="6"/>
      <c r="I7" s="6"/>
      <c r="J7" s="6"/>
      <c r="K7" s="7"/>
      <c r="L7" s="49">
        <v>130</v>
      </c>
      <c r="M7" s="2"/>
      <c r="N7" s="8">
        <f t="shared" ref="N7:N70" si="0">IF($D7="","",$D7*N($E7))</f>
        <v>6.15</v>
      </c>
      <c r="O7" s="9">
        <f t="shared" ref="O7:O70" si="1">IF($D7="","",$D7*N($F7))</f>
        <v>0.55000000000000004</v>
      </c>
      <c r="P7" s="10">
        <f t="shared" ref="P7:P70" si="2">IF($D7="","",IF(N($K7)&gt;0,$K7,IF(AND(N($G7)&gt;0,N($H7)&gt;0,N($I7)&gt;0,N($J7)&gt;0),$H7*$I7*$J7/1000000/$G7,0)))</f>
        <v>0</v>
      </c>
      <c r="Q7" s="10">
        <f t="shared" ref="Q7:Q70" si="3">IF($D7="","",$D7*$P7)</f>
        <v>0</v>
      </c>
    </row>
    <row r="8" spans="1:17" x14ac:dyDescent="0.3">
      <c r="A8" s="2" t="s">
        <v>19</v>
      </c>
      <c r="B8" s="2" t="s">
        <v>22</v>
      </c>
      <c r="C8" s="2" t="s">
        <v>23</v>
      </c>
      <c r="D8" s="3">
        <v>1</v>
      </c>
      <c r="E8" s="4">
        <v>5.51</v>
      </c>
      <c r="F8" s="4">
        <v>0.43</v>
      </c>
      <c r="G8" s="5"/>
      <c r="H8" s="6"/>
      <c r="I8" s="6"/>
      <c r="J8" s="6"/>
      <c r="K8" s="7"/>
      <c r="L8" s="49">
        <v>200</v>
      </c>
      <c r="M8" s="2"/>
      <c r="N8" s="8">
        <f t="shared" si="0"/>
        <v>5.51</v>
      </c>
      <c r="O8" s="9">
        <f t="shared" si="1"/>
        <v>0.43</v>
      </c>
      <c r="P8" s="10">
        <f t="shared" si="2"/>
        <v>0</v>
      </c>
      <c r="Q8" s="10">
        <f t="shared" si="3"/>
        <v>0</v>
      </c>
    </row>
    <row r="9" spans="1:17" x14ac:dyDescent="0.3">
      <c r="A9" s="2" t="s">
        <v>19</v>
      </c>
      <c r="B9" s="2" t="s">
        <v>24</v>
      </c>
      <c r="C9" s="2" t="s">
        <v>25</v>
      </c>
      <c r="D9" s="3">
        <v>1</v>
      </c>
      <c r="E9" s="4">
        <v>4.2300000000000004</v>
      </c>
      <c r="F9" s="4">
        <v>0.8</v>
      </c>
      <c r="G9" s="5"/>
      <c r="H9" s="6"/>
      <c r="I9" s="6"/>
      <c r="J9" s="6"/>
      <c r="K9" s="7"/>
      <c r="L9" s="49">
        <v>132</v>
      </c>
      <c r="M9" s="2"/>
      <c r="N9" s="8">
        <f t="shared" si="0"/>
        <v>4.2300000000000004</v>
      </c>
      <c r="O9" s="9">
        <f t="shared" si="1"/>
        <v>0.8</v>
      </c>
      <c r="P9" s="10">
        <f t="shared" si="2"/>
        <v>0</v>
      </c>
      <c r="Q9" s="10">
        <f t="shared" si="3"/>
        <v>0</v>
      </c>
    </row>
    <row r="10" spans="1:17" x14ac:dyDescent="0.3">
      <c r="A10" s="2" t="s">
        <v>19</v>
      </c>
      <c r="B10" s="2" t="s">
        <v>26</v>
      </c>
      <c r="C10" s="2" t="s">
        <v>27</v>
      </c>
      <c r="D10" s="3">
        <v>1</v>
      </c>
      <c r="E10" s="4">
        <v>7.87</v>
      </c>
      <c r="F10" s="4">
        <v>0.63</v>
      </c>
      <c r="G10" s="5"/>
      <c r="H10" s="6"/>
      <c r="I10" s="6"/>
      <c r="J10" s="6"/>
      <c r="K10" s="7"/>
      <c r="L10" s="49">
        <v>220</v>
      </c>
      <c r="M10" s="2"/>
      <c r="N10" s="8">
        <f t="shared" si="0"/>
        <v>7.87</v>
      </c>
      <c r="O10" s="9">
        <f t="shared" si="1"/>
        <v>0.63</v>
      </c>
      <c r="P10" s="10">
        <f t="shared" si="2"/>
        <v>0</v>
      </c>
      <c r="Q10" s="10">
        <f t="shared" si="3"/>
        <v>0</v>
      </c>
    </row>
    <row r="11" spans="1:17" x14ac:dyDescent="0.3">
      <c r="A11" s="2" t="s">
        <v>19</v>
      </c>
      <c r="B11" s="2" t="s">
        <v>28</v>
      </c>
      <c r="C11" s="2" t="s">
        <v>29</v>
      </c>
      <c r="D11" s="3">
        <v>1</v>
      </c>
      <c r="E11" s="4">
        <v>7.71</v>
      </c>
      <c r="F11" s="4">
        <v>1.3</v>
      </c>
      <c r="G11" s="5"/>
      <c r="H11" s="6"/>
      <c r="I11" s="6"/>
      <c r="J11" s="6"/>
      <c r="K11" s="7"/>
      <c r="L11" s="49">
        <v>300</v>
      </c>
      <c r="M11" s="2"/>
      <c r="N11" s="8">
        <f t="shared" si="0"/>
        <v>7.71</v>
      </c>
      <c r="O11" s="9">
        <f t="shared" si="1"/>
        <v>1.3</v>
      </c>
      <c r="P11" s="10">
        <f t="shared" si="2"/>
        <v>0</v>
      </c>
      <c r="Q11" s="10">
        <f t="shared" si="3"/>
        <v>0</v>
      </c>
    </row>
    <row r="12" spans="1:17" x14ac:dyDescent="0.3">
      <c r="A12" s="52" t="s">
        <v>142</v>
      </c>
      <c r="B12" s="2">
        <v>13116</v>
      </c>
      <c r="C12" s="2" t="s">
        <v>30</v>
      </c>
      <c r="D12" s="3">
        <v>3</v>
      </c>
      <c r="E12" s="4">
        <v>3.69</v>
      </c>
      <c r="F12" s="4">
        <v>0.6</v>
      </c>
      <c r="G12" s="5"/>
      <c r="H12" s="6"/>
      <c r="I12" s="6"/>
      <c r="J12" s="6"/>
      <c r="K12" s="7"/>
      <c r="L12" s="49">
        <v>180</v>
      </c>
      <c r="M12" s="2"/>
      <c r="N12" s="8">
        <f t="shared" si="0"/>
        <v>11.07</v>
      </c>
      <c r="O12" s="9">
        <f t="shared" si="1"/>
        <v>1.7999999999999998</v>
      </c>
      <c r="P12" s="10">
        <f t="shared" si="2"/>
        <v>0</v>
      </c>
      <c r="Q12" s="10">
        <f t="shared" si="3"/>
        <v>0</v>
      </c>
    </row>
    <row r="13" spans="1:17" x14ac:dyDescent="0.3">
      <c r="A13" s="2" t="s">
        <v>19</v>
      </c>
      <c r="B13" s="2" t="s">
        <v>31</v>
      </c>
      <c r="C13" s="2" t="s">
        <v>32</v>
      </c>
      <c r="D13" s="3">
        <v>1</v>
      </c>
      <c r="E13" s="4">
        <v>8.92</v>
      </c>
      <c r="F13" s="4">
        <v>1.23</v>
      </c>
      <c r="G13" s="5"/>
      <c r="H13" s="6"/>
      <c r="I13" s="6"/>
      <c r="J13" s="6"/>
      <c r="K13" s="7"/>
      <c r="L13" s="49">
        <v>520</v>
      </c>
      <c r="M13" s="2"/>
      <c r="N13" s="8">
        <f t="shared" si="0"/>
        <v>8.92</v>
      </c>
      <c r="O13" s="9">
        <f t="shared" si="1"/>
        <v>1.23</v>
      </c>
      <c r="P13" s="10">
        <f t="shared" si="2"/>
        <v>0</v>
      </c>
      <c r="Q13" s="10">
        <f t="shared" si="3"/>
        <v>0</v>
      </c>
    </row>
    <row r="14" spans="1:17" x14ac:dyDescent="0.3">
      <c r="A14" s="2"/>
      <c r="B14" s="2"/>
      <c r="C14" s="2"/>
      <c r="D14" s="3"/>
      <c r="E14" s="4"/>
      <c r="F14" s="4"/>
      <c r="G14" s="5"/>
      <c r="H14" s="6"/>
      <c r="I14" s="6"/>
      <c r="J14" s="6"/>
      <c r="K14" s="7"/>
      <c r="L14" s="49"/>
      <c r="M14" s="2"/>
      <c r="N14" s="8" t="str">
        <f t="shared" si="0"/>
        <v/>
      </c>
      <c r="O14" s="9" t="str">
        <f t="shared" si="1"/>
        <v/>
      </c>
      <c r="P14" s="10" t="str">
        <f t="shared" si="2"/>
        <v/>
      </c>
      <c r="Q14" s="10" t="str">
        <f t="shared" si="3"/>
        <v/>
      </c>
    </row>
    <row r="15" spans="1:17" x14ac:dyDescent="0.3">
      <c r="A15" s="2"/>
      <c r="B15" s="2"/>
      <c r="C15" s="2"/>
      <c r="D15" s="3"/>
      <c r="E15" s="4"/>
      <c r="F15" s="4"/>
      <c r="G15" s="5"/>
      <c r="H15" s="6"/>
      <c r="I15" s="6"/>
      <c r="J15" s="6"/>
      <c r="K15" s="7"/>
      <c r="L15" s="49"/>
      <c r="M15" s="2"/>
      <c r="N15" s="8" t="str">
        <f t="shared" si="0"/>
        <v/>
      </c>
      <c r="O15" s="9" t="str">
        <f t="shared" si="1"/>
        <v/>
      </c>
      <c r="P15" s="10" t="str">
        <f t="shared" si="2"/>
        <v/>
      </c>
      <c r="Q15" s="10" t="str">
        <f t="shared" si="3"/>
        <v/>
      </c>
    </row>
    <row r="16" spans="1:17" x14ac:dyDescent="0.3">
      <c r="A16" s="2"/>
      <c r="B16" s="2"/>
      <c r="C16" s="2"/>
      <c r="D16" s="3"/>
      <c r="E16" s="4"/>
      <c r="F16" s="4"/>
      <c r="G16" s="5"/>
      <c r="H16" s="6"/>
      <c r="I16" s="6"/>
      <c r="J16" s="6"/>
      <c r="K16" s="7"/>
      <c r="L16" s="49"/>
      <c r="M16" s="2"/>
      <c r="N16" s="8" t="str">
        <f t="shared" si="0"/>
        <v/>
      </c>
      <c r="O16" s="9" t="str">
        <f t="shared" si="1"/>
        <v/>
      </c>
      <c r="P16" s="10" t="str">
        <f t="shared" si="2"/>
        <v/>
      </c>
      <c r="Q16" s="10" t="str">
        <f t="shared" si="3"/>
        <v/>
      </c>
    </row>
    <row r="17" spans="1:17" x14ac:dyDescent="0.3">
      <c r="A17" s="2"/>
      <c r="B17" s="2"/>
      <c r="C17" s="2"/>
      <c r="D17" s="3"/>
      <c r="E17" s="4"/>
      <c r="F17" s="4"/>
      <c r="G17" s="5"/>
      <c r="H17" s="6"/>
      <c r="I17" s="6"/>
      <c r="J17" s="6"/>
      <c r="K17" s="7"/>
      <c r="L17" s="49"/>
      <c r="M17" s="2"/>
      <c r="N17" s="8" t="str">
        <f t="shared" si="0"/>
        <v/>
      </c>
      <c r="O17" s="9" t="str">
        <f t="shared" si="1"/>
        <v/>
      </c>
      <c r="P17" s="10" t="str">
        <f t="shared" si="2"/>
        <v/>
      </c>
      <c r="Q17" s="10" t="str">
        <f t="shared" si="3"/>
        <v/>
      </c>
    </row>
    <row r="18" spans="1:17" x14ac:dyDescent="0.3">
      <c r="A18" s="2"/>
      <c r="B18" s="2"/>
      <c r="C18" s="2"/>
      <c r="D18" s="3"/>
      <c r="E18" s="4"/>
      <c r="F18" s="4"/>
      <c r="G18" s="5"/>
      <c r="H18" s="6"/>
      <c r="I18" s="6"/>
      <c r="J18" s="6"/>
      <c r="K18" s="7"/>
      <c r="L18" s="49"/>
      <c r="M18" s="2"/>
      <c r="N18" s="8" t="str">
        <f t="shared" si="0"/>
        <v/>
      </c>
      <c r="O18" s="9" t="str">
        <f t="shared" si="1"/>
        <v/>
      </c>
      <c r="P18" s="10" t="str">
        <f t="shared" si="2"/>
        <v/>
      </c>
      <c r="Q18" s="10" t="str">
        <f t="shared" si="3"/>
        <v/>
      </c>
    </row>
    <row r="19" spans="1:17" x14ac:dyDescent="0.3">
      <c r="A19" s="2"/>
      <c r="B19" s="2"/>
      <c r="C19" s="2"/>
      <c r="D19" s="3"/>
      <c r="E19" s="4"/>
      <c r="F19" s="4"/>
      <c r="G19" s="5"/>
      <c r="H19" s="6"/>
      <c r="I19" s="6"/>
      <c r="J19" s="6"/>
      <c r="K19" s="7"/>
      <c r="L19" s="49"/>
      <c r="M19" s="2"/>
      <c r="N19" s="8" t="str">
        <f t="shared" si="0"/>
        <v/>
      </c>
      <c r="O19" s="9" t="str">
        <f t="shared" si="1"/>
        <v/>
      </c>
      <c r="P19" s="10" t="str">
        <f t="shared" si="2"/>
        <v/>
      </c>
      <c r="Q19" s="10" t="str">
        <f t="shared" si="3"/>
        <v/>
      </c>
    </row>
    <row r="20" spans="1:17" x14ac:dyDescent="0.3">
      <c r="A20" s="2"/>
      <c r="B20" s="2"/>
      <c r="C20" s="2"/>
      <c r="D20" s="3"/>
      <c r="E20" s="4"/>
      <c r="F20" s="4"/>
      <c r="G20" s="5"/>
      <c r="H20" s="6"/>
      <c r="I20" s="6"/>
      <c r="J20" s="6"/>
      <c r="K20" s="7"/>
      <c r="L20" s="49"/>
      <c r="M20" s="2"/>
      <c r="N20" s="8" t="str">
        <f t="shared" si="0"/>
        <v/>
      </c>
      <c r="O20" s="9" t="str">
        <f t="shared" si="1"/>
        <v/>
      </c>
      <c r="P20" s="10" t="str">
        <f t="shared" si="2"/>
        <v/>
      </c>
      <c r="Q20" s="10" t="str">
        <f t="shared" si="3"/>
        <v/>
      </c>
    </row>
    <row r="21" spans="1:17" x14ac:dyDescent="0.3">
      <c r="A21" s="2"/>
      <c r="B21" s="2"/>
      <c r="C21" s="2"/>
      <c r="D21" s="3"/>
      <c r="E21" s="4"/>
      <c r="F21" s="4"/>
      <c r="G21" s="5"/>
      <c r="H21" s="6"/>
      <c r="I21" s="6"/>
      <c r="J21" s="6"/>
      <c r="K21" s="7"/>
      <c r="L21" s="49"/>
      <c r="M21" s="2"/>
      <c r="N21" s="8" t="str">
        <f t="shared" si="0"/>
        <v/>
      </c>
      <c r="O21" s="9" t="str">
        <f t="shared" si="1"/>
        <v/>
      </c>
      <c r="P21" s="10" t="str">
        <f t="shared" si="2"/>
        <v/>
      </c>
      <c r="Q21" s="10" t="str">
        <f t="shared" si="3"/>
        <v/>
      </c>
    </row>
    <row r="22" spans="1:17" x14ac:dyDescent="0.3">
      <c r="A22" s="2"/>
      <c r="B22" s="2"/>
      <c r="C22" s="2"/>
      <c r="D22" s="3"/>
      <c r="E22" s="4"/>
      <c r="F22" s="4"/>
      <c r="G22" s="5"/>
      <c r="H22" s="6"/>
      <c r="I22" s="6"/>
      <c r="J22" s="6"/>
      <c r="K22" s="7"/>
      <c r="L22" s="49"/>
      <c r="M22" s="2"/>
      <c r="N22" s="8" t="str">
        <f t="shared" si="0"/>
        <v/>
      </c>
      <c r="O22" s="9" t="str">
        <f t="shared" si="1"/>
        <v/>
      </c>
      <c r="P22" s="10" t="str">
        <f t="shared" si="2"/>
        <v/>
      </c>
      <c r="Q22" s="10" t="str">
        <f t="shared" si="3"/>
        <v/>
      </c>
    </row>
    <row r="23" spans="1:17" x14ac:dyDescent="0.3">
      <c r="A23" s="2"/>
      <c r="B23" s="2"/>
      <c r="C23" s="2"/>
      <c r="D23" s="3"/>
      <c r="E23" s="4"/>
      <c r="F23" s="4"/>
      <c r="G23" s="5"/>
      <c r="H23" s="6"/>
      <c r="I23" s="6"/>
      <c r="J23" s="6"/>
      <c r="K23" s="7"/>
      <c r="L23" s="49"/>
      <c r="M23" s="2"/>
      <c r="N23" s="8" t="str">
        <f t="shared" si="0"/>
        <v/>
      </c>
      <c r="O23" s="9" t="str">
        <f t="shared" si="1"/>
        <v/>
      </c>
      <c r="P23" s="10" t="str">
        <f t="shared" si="2"/>
        <v/>
      </c>
      <c r="Q23" s="10" t="str">
        <f t="shared" si="3"/>
        <v/>
      </c>
    </row>
    <row r="24" spans="1:17" x14ac:dyDescent="0.3">
      <c r="A24" s="2"/>
      <c r="B24" s="2"/>
      <c r="C24" s="2"/>
      <c r="D24" s="3"/>
      <c r="E24" s="4"/>
      <c r="F24" s="4"/>
      <c r="G24" s="5"/>
      <c r="H24" s="6"/>
      <c r="I24" s="6"/>
      <c r="J24" s="6"/>
      <c r="K24" s="7"/>
      <c r="L24" s="49"/>
      <c r="M24" s="2"/>
      <c r="N24" s="8" t="str">
        <f t="shared" si="0"/>
        <v/>
      </c>
      <c r="O24" s="9" t="str">
        <f t="shared" si="1"/>
        <v/>
      </c>
      <c r="P24" s="10" t="str">
        <f t="shared" si="2"/>
        <v/>
      </c>
      <c r="Q24" s="10" t="str">
        <f t="shared" si="3"/>
        <v/>
      </c>
    </row>
    <row r="25" spans="1:17" x14ac:dyDescent="0.3">
      <c r="A25" s="2"/>
      <c r="B25" s="2"/>
      <c r="C25" s="2"/>
      <c r="D25" s="3"/>
      <c r="E25" s="4"/>
      <c r="F25" s="4"/>
      <c r="G25" s="5"/>
      <c r="H25" s="6"/>
      <c r="I25" s="6"/>
      <c r="J25" s="6"/>
      <c r="K25" s="7"/>
      <c r="L25" s="49"/>
      <c r="M25" s="2"/>
      <c r="N25" s="8" t="str">
        <f t="shared" si="0"/>
        <v/>
      </c>
      <c r="O25" s="9" t="str">
        <f t="shared" si="1"/>
        <v/>
      </c>
      <c r="P25" s="10" t="str">
        <f t="shared" si="2"/>
        <v/>
      </c>
      <c r="Q25" s="10" t="str">
        <f t="shared" si="3"/>
        <v/>
      </c>
    </row>
    <row r="26" spans="1:17" x14ac:dyDescent="0.3">
      <c r="A26" s="2"/>
      <c r="B26" s="2"/>
      <c r="C26" s="2"/>
      <c r="D26" s="3"/>
      <c r="E26" s="4"/>
      <c r="F26" s="4"/>
      <c r="G26" s="5"/>
      <c r="H26" s="6"/>
      <c r="I26" s="6"/>
      <c r="J26" s="6"/>
      <c r="K26" s="7"/>
      <c r="L26" s="49"/>
      <c r="M26" s="2"/>
      <c r="N26" s="8" t="str">
        <f t="shared" si="0"/>
        <v/>
      </c>
      <c r="O26" s="9" t="str">
        <f t="shared" si="1"/>
        <v/>
      </c>
      <c r="P26" s="10" t="str">
        <f t="shared" si="2"/>
        <v/>
      </c>
      <c r="Q26" s="10" t="str">
        <f t="shared" si="3"/>
        <v/>
      </c>
    </row>
    <row r="27" spans="1:17" x14ac:dyDescent="0.3">
      <c r="A27" s="2"/>
      <c r="B27" s="2"/>
      <c r="C27" s="2"/>
      <c r="D27" s="3"/>
      <c r="E27" s="4"/>
      <c r="F27" s="4"/>
      <c r="G27" s="5"/>
      <c r="H27" s="6"/>
      <c r="I27" s="6"/>
      <c r="J27" s="6"/>
      <c r="K27" s="7"/>
      <c r="L27" s="49"/>
      <c r="M27" s="2"/>
      <c r="N27" s="8" t="str">
        <f t="shared" si="0"/>
        <v/>
      </c>
      <c r="O27" s="9" t="str">
        <f t="shared" si="1"/>
        <v/>
      </c>
      <c r="P27" s="10" t="str">
        <f t="shared" si="2"/>
        <v/>
      </c>
      <c r="Q27" s="10" t="str">
        <f t="shared" si="3"/>
        <v/>
      </c>
    </row>
    <row r="28" spans="1:17" x14ac:dyDescent="0.3">
      <c r="A28" s="2"/>
      <c r="B28" s="2"/>
      <c r="C28" s="2"/>
      <c r="D28" s="3"/>
      <c r="E28" s="4"/>
      <c r="F28" s="4"/>
      <c r="G28" s="5"/>
      <c r="H28" s="6"/>
      <c r="I28" s="6"/>
      <c r="J28" s="6"/>
      <c r="K28" s="7"/>
      <c r="L28" s="49"/>
      <c r="M28" s="2"/>
      <c r="N28" s="8" t="str">
        <f t="shared" si="0"/>
        <v/>
      </c>
      <c r="O28" s="9" t="str">
        <f t="shared" si="1"/>
        <v/>
      </c>
      <c r="P28" s="10" t="str">
        <f t="shared" si="2"/>
        <v/>
      </c>
      <c r="Q28" s="10" t="str">
        <f t="shared" si="3"/>
        <v/>
      </c>
    </row>
    <row r="29" spans="1:17" x14ac:dyDescent="0.3">
      <c r="A29" s="2"/>
      <c r="B29" s="2"/>
      <c r="C29" s="2"/>
      <c r="D29" s="3"/>
      <c r="E29" s="4"/>
      <c r="F29" s="4"/>
      <c r="G29" s="5"/>
      <c r="H29" s="6"/>
      <c r="I29" s="6"/>
      <c r="J29" s="6"/>
      <c r="K29" s="7"/>
      <c r="L29" s="49"/>
      <c r="M29" s="2"/>
      <c r="N29" s="8" t="str">
        <f t="shared" si="0"/>
        <v/>
      </c>
      <c r="O29" s="9" t="str">
        <f t="shared" si="1"/>
        <v/>
      </c>
      <c r="P29" s="10" t="str">
        <f t="shared" si="2"/>
        <v/>
      </c>
      <c r="Q29" s="10" t="str">
        <f t="shared" si="3"/>
        <v/>
      </c>
    </row>
    <row r="30" spans="1:17" x14ac:dyDescent="0.3">
      <c r="A30" s="2"/>
      <c r="B30" s="2"/>
      <c r="C30" s="2"/>
      <c r="D30" s="3"/>
      <c r="E30" s="4"/>
      <c r="F30" s="4"/>
      <c r="G30" s="5"/>
      <c r="H30" s="6"/>
      <c r="I30" s="6"/>
      <c r="J30" s="6"/>
      <c r="K30" s="7"/>
      <c r="L30" s="49"/>
      <c r="M30" s="2"/>
      <c r="N30" s="8" t="str">
        <f t="shared" si="0"/>
        <v/>
      </c>
      <c r="O30" s="9" t="str">
        <f t="shared" si="1"/>
        <v/>
      </c>
      <c r="P30" s="10" t="str">
        <f t="shared" si="2"/>
        <v/>
      </c>
      <c r="Q30" s="10" t="str">
        <f t="shared" si="3"/>
        <v/>
      </c>
    </row>
    <row r="31" spans="1:17" x14ac:dyDescent="0.3">
      <c r="A31" s="2"/>
      <c r="B31" s="2"/>
      <c r="C31" s="2"/>
      <c r="D31" s="3"/>
      <c r="E31" s="4"/>
      <c r="F31" s="4"/>
      <c r="G31" s="5"/>
      <c r="H31" s="6"/>
      <c r="I31" s="6"/>
      <c r="J31" s="6"/>
      <c r="K31" s="7"/>
      <c r="L31" s="49"/>
      <c r="M31" s="2"/>
      <c r="N31" s="8" t="str">
        <f t="shared" si="0"/>
        <v/>
      </c>
      <c r="O31" s="9" t="str">
        <f t="shared" si="1"/>
        <v/>
      </c>
      <c r="P31" s="10" t="str">
        <f t="shared" si="2"/>
        <v/>
      </c>
      <c r="Q31" s="10" t="str">
        <f t="shared" si="3"/>
        <v/>
      </c>
    </row>
    <row r="32" spans="1:17" x14ac:dyDescent="0.3">
      <c r="A32" s="2"/>
      <c r="B32" s="2"/>
      <c r="C32" s="2"/>
      <c r="D32" s="3"/>
      <c r="E32" s="4"/>
      <c r="F32" s="4"/>
      <c r="G32" s="5"/>
      <c r="H32" s="6"/>
      <c r="I32" s="6"/>
      <c r="J32" s="6"/>
      <c r="K32" s="7"/>
      <c r="L32" s="49"/>
      <c r="M32" s="2"/>
      <c r="N32" s="8" t="str">
        <f t="shared" si="0"/>
        <v/>
      </c>
      <c r="O32" s="9" t="str">
        <f t="shared" si="1"/>
        <v/>
      </c>
      <c r="P32" s="10" t="str">
        <f t="shared" si="2"/>
        <v/>
      </c>
      <c r="Q32" s="10" t="str">
        <f t="shared" si="3"/>
        <v/>
      </c>
    </row>
    <row r="33" spans="1:17" x14ac:dyDescent="0.3">
      <c r="A33" s="2"/>
      <c r="B33" s="2"/>
      <c r="C33" s="2"/>
      <c r="D33" s="3"/>
      <c r="E33" s="4"/>
      <c r="F33" s="4"/>
      <c r="G33" s="5"/>
      <c r="H33" s="6"/>
      <c r="I33" s="6"/>
      <c r="J33" s="6"/>
      <c r="K33" s="7"/>
      <c r="L33" s="49"/>
      <c r="M33" s="2"/>
      <c r="N33" s="8" t="str">
        <f t="shared" si="0"/>
        <v/>
      </c>
      <c r="O33" s="9" t="str">
        <f t="shared" si="1"/>
        <v/>
      </c>
      <c r="P33" s="10" t="str">
        <f t="shared" si="2"/>
        <v/>
      </c>
      <c r="Q33" s="10" t="str">
        <f t="shared" si="3"/>
        <v/>
      </c>
    </row>
    <row r="34" spans="1:17" x14ac:dyDescent="0.3">
      <c r="A34" s="2"/>
      <c r="B34" s="2"/>
      <c r="C34" s="2"/>
      <c r="D34" s="3"/>
      <c r="E34" s="4"/>
      <c r="F34" s="4"/>
      <c r="G34" s="5"/>
      <c r="H34" s="6"/>
      <c r="I34" s="6"/>
      <c r="J34" s="6"/>
      <c r="K34" s="7"/>
      <c r="L34" s="49"/>
      <c r="M34" s="2"/>
      <c r="N34" s="8" t="str">
        <f t="shared" si="0"/>
        <v/>
      </c>
      <c r="O34" s="9" t="str">
        <f t="shared" si="1"/>
        <v/>
      </c>
      <c r="P34" s="10" t="str">
        <f t="shared" si="2"/>
        <v/>
      </c>
      <c r="Q34" s="10" t="str">
        <f t="shared" si="3"/>
        <v/>
      </c>
    </row>
    <row r="35" spans="1:17" x14ac:dyDescent="0.3">
      <c r="A35" s="2"/>
      <c r="B35" s="2"/>
      <c r="C35" s="2"/>
      <c r="D35" s="3"/>
      <c r="E35" s="4"/>
      <c r="F35" s="4"/>
      <c r="G35" s="5"/>
      <c r="H35" s="6"/>
      <c r="I35" s="6"/>
      <c r="J35" s="6"/>
      <c r="K35" s="7"/>
      <c r="L35" s="49"/>
      <c r="M35" s="2"/>
      <c r="N35" s="8" t="str">
        <f t="shared" si="0"/>
        <v/>
      </c>
      <c r="O35" s="9" t="str">
        <f t="shared" si="1"/>
        <v/>
      </c>
      <c r="P35" s="10" t="str">
        <f t="shared" si="2"/>
        <v/>
      </c>
      <c r="Q35" s="10" t="str">
        <f t="shared" si="3"/>
        <v/>
      </c>
    </row>
    <row r="36" spans="1:17" x14ac:dyDescent="0.3">
      <c r="A36" s="2"/>
      <c r="B36" s="2"/>
      <c r="C36" s="2"/>
      <c r="D36" s="3"/>
      <c r="E36" s="4"/>
      <c r="F36" s="4"/>
      <c r="G36" s="5"/>
      <c r="H36" s="6"/>
      <c r="I36" s="6"/>
      <c r="J36" s="6"/>
      <c r="K36" s="7"/>
      <c r="L36" s="49"/>
      <c r="M36" s="2"/>
      <c r="N36" s="8" t="str">
        <f t="shared" si="0"/>
        <v/>
      </c>
      <c r="O36" s="9" t="str">
        <f t="shared" si="1"/>
        <v/>
      </c>
      <c r="P36" s="10" t="str">
        <f t="shared" si="2"/>
        <v/>
      </c>
      <c r="Q36" s="10" t="str">
        <f t="shared" si="3"/>
        <v/>
      </c>
    </row>
    <row r="37" spans="1:17" x14ac:dyDescent="0.3">
      <c r="A37" s="2"/>
      <c r="B37" s="2"/>
      <c r="C37" s="2"/>
      <c r="D37" s="3"/>
      <c r="E37" s="4"/>
      <c r="F37" s="4"/>
      <c r="G37" s="5"/>
      <c r="H37" s="6"/>
      <c r="I37" s="6"/>
      <c r="J37" s="6"/>
      <c r="K37" s="7"/>
      <c r="L37" s="49"/>
      <c r="M37" s="2"/>
      <c r="N37" s="8" t="str">
        <f t="shared" si="0"/>
        <v/>
      </c>
      <c r="O37" s="9" t="str">
        <f t="shared" si="1"/>
        <v/>
      </c>
      <c r="P37" s="10" t="str">
        <f t="shared" si="2"/>
        <v/>
      </c>
      <c r="Q37" s="10" t="str">
        <f t="shared" si="3"/>
        <v/>
      </c>
    </row>
    <row r="38" spans="1:17" x14ac:dyDescent="0.3">
      <c r="A38" s="2"/>
      <c r="B38" s="2"/>
      <c r="C38" s="2"/>
      <c r="D38" s="3"/>
      <c r="E38" s="4"/>
      <c r="F38" s="4"/>
      <c r="G38" s="5"/>
      <c r="H38" s="6"/>
      <c r="I38" s="6"/>
      <c r="J38" s="6"/>
      <c r="K38" s="7"/>
      <c r="L38" s="49"/>
      <c r="M38" s="2"/>
      <c r="N38" s="8" t="str">
        <f t="shared" si="0"/>
        <v/>
      </c>
      <c r="O38" s="9" t="str">
        <f t="shared" si="1"/>
        <v/>
      </c>
      <c r="P38" s="10" t="str">
        <f t="shared" si="2"/>
        <v/>
      </c>
      <c r="Q38" s="10" t="str">
        <f t="shared" si="3"/>
        <v/>
      </c>
    </row>
    <row r="39" spans="1:17" x14ac:dyDescent="0.3">
      <c r="A39" s="2"/>
      <c r="B39" s="2"/>
      <c r="C39" s="2"/>
      <c r="D39" s="3"/>
      <c r="E39" s="4"/>
      <c r="F39" s="4"/>
      <c r="G39" s="5"/>
      <c r="H39" s="6"/>
      <c r="I39" s="6"/>
      <c r="J39" s="6"/>
      <c r="K39" s="7"/>
      <c r="L39" s="49"/>
      <c r="M39" s="2"/>
      <c r="N39" s="8" t="str">
        <f t="shared" si="0"/>
        <v/>
      </c>
      <c r="O39" s="9" t="str">
        <f t="shared" si="1"/>
        <v/>
      </c>
      <c r="P39" s="10" t="str">
        <f t="shared" si="2"/>
        <v/>
      </c>
      <c r="Q39" s="10" t="str">
        <f t="shared" si="3"/>
        <v/>
      </c>
    </row>
    <row r="40" spans="1:17" x14ac:dyDescent="0.3">
      <c r="A40" s="2"/>
      <c r="B40" s="2"/>
      <c r="C40" s="2"/>
      <c r="D40" s="3"/>
      <c r="E40" s="4"/>
      <c r="F40" s="4"/>
      <c r="G40" s="5"/>
      <c r="H40" s="6"/>
      <c r="I40" s="6"/>
      <c r="J40" s="6"/>
      <c r="K40" s="7"/>
      <c r="L40" s="49"/>
      <c r="M40" s="2"/>
      <c r="N40" s="8" t="str">
        <f t="shared" si="0"/>
        <v/>
      </c>
      <c r="O40" s="9" t="str">
        <f t="shared" si="1"/>
        <v/>
      </c>
      <c r="P40" s="10" t="str">
        <f t="shared" si="2"/>
        <v/>
      </c>
      <c r="Q40" s="10" t="str">
        <f t="shared" si="3"/>
        <v/>
      </c>
    </row>
    <row r="41" spans="1:17" x14ac:dyDescent="0.3">
      <c r="A41" s="2"/>
      <c r="B41" s="2"/>
      <c r="C41" s="2"/>
      <c r="D41" s="3"/>
      <c r="E41" s="4"/>
      <c r="F41" s="4"/>
      <c r="G41" s="5"/>
      <c r="H41" s="6"/>
      <c r="I41" s="6"/>
      <c r="J41" s="6"/>
      <c r="K41" s="7"/>
      <c r="L41" s="49"/>
      <c r="M41" s="2"/>
      <c r="N41" s="8" t="str">
        <f t="shared" si="0"/>
        <v/>
      </c>
      <c r="O41" s="9" t="str">
        <f t="shared" si="1"/>
        <v/>
      </c>
      <c r="P41" s="10" t="str">
        <f t="shared" si="2"/>
        <v/>
      </c>
      <c r="Q41" s="10" t="str">
        <f t="shared" si="3"/>
        <v/>
      </c>
    </row>
    <row r="42" spans="1:17" x14ac:dyDescent="0.3">
      <c r="A42" s="2"/>
      <c r="B42" s="2"/>
      <c r="C42" s="2"/>
      <c r="D42" s="3"/>
      <c r="E42" s="4"/>
      <c r="F42" s="4"/>
      <c r="G42" s="5"/>
      <c r="H42" s="6"/>
      <c r="I42" s="6"/>
      <c r="J42" s="6"/>
      <c r="K42" s="7"/>
      <c r="L42" s="49"/>
      <c r="M42" s="2"/>
      <c r="N42" s="8" t="str">
        <f t="shared" si="0"/>
        <v/>
      </c>
      <c r="O42" s="9" t="str">
        <f t="shared" si="1"/>
        <v/>
      </c>
      <c r="P42" s="10" t="str">
        <f t="shared" si="2"/>
        <v/>
      </c>
      <c r="Q42" s="10" t="str">
        <f t="shared" si="3"/>
        <v/>
      </c>
    </row>
    <row r="43" spans="1:17" x14ac:dyDescent="0.3">
      <c r="A43" s="2"/>
      <c r="B43" s="2"/>
      <c r="C43" s="2"/>
      <c r="D43" s="3"/>
      <c r="E43" s="4"/>
      <c r="F43" s="4"/>
      <c r="G43" s="5"/>
      <c r="H43" s="6"/>
      <c r="I43" s="6"/>
      <c r="J43" s="6"/>
      <c r="K43" s="7"/>
      <c r="L43" s="49"/>
      <c r="M43" s="2"/>
      <c r="N43" s="8" t="str">
        <f t="shared" si="0"/>
        <v/>
      </c>
      <c r="O43" s="9" t="str">
        <f t="shared" si="1"/>
        <v/>
      </c>
      <c r="P43" s="10" t="str">
        <f t="shared" si="2"/>
        <v/>
      </c>
      <c r="Q43" s="10" t="str">
        <f t="shared" si="3"/>
        <v/>
      </c>
    </row>
    <row r="44" spans="1:17" x14ac:dyDescent="0.3">
      <c r="A44" s="2"/>
      <c r="B44" s="2"/>
      <c r="C44" s="2"/>
      <c r="D44" s="3"/>
      <c r="E44" s="4"/>
      <c r="F44" s="4"/>
      <c r="G44" s="5"/>
      <c r="H44" s="6"/>
      <c r="I44" s="6"/>
      <c r="J44" s="6"/>
      <c r="K44" s="7"/>
      <c r="L44" s="49"/>
      <c r="M44" s="2"/>
      <c r="N44" s="8" t="str">
        <f t="shared" si="0"/>
        <v/>
      </c>
      <c r="O44" s="9" t="str">
        <f t="shared" si="1"/>
        <v/>
      </c>
      <c r="P44" s="10" t="str">
        <f t="shared" si="2"/>
        <v/>
      </c>
      <c r="Q44" s="10" t="str">
        <f t="shared" si="3"/>
        <v/>
      </c>
    </row>
    <row r="45" spans="1:17" x14ac:dyDescent="0.3">
      <c r="A45" s="2"/>
      <c r="B45" s="2"/>
      <c r="C45" s="2"/>
      <c r="D45" s="3"/>
      <c r="E45" s="4"/>
      <c r="F45" s="4"/>
      <c r="G45" s="5"/>
      <c r="H45" s="6"/>
      <c r="I45" s="6"/>
      <c r="J45" s="6"/>
      <c r="K45" s="7"/>
      <c r="L45" s="49"/>
      <c r="M45" s="2"/>
      <c r="N45" s="8" t="str">
        <f t="shared" si="0"/>
        <v/>
      </c>
      <c r="O45" s="9" t="str">
        <f t="shared" si="1"/>
        <v/>
      </c>
      <c r="P45" s="10" t="str">
        <f t="shared" si="2"/>
        <v/>
      </c>
      <c r="Q45" s="10" t="str">
        <f t="shared" si="3"/>
        <v/>
      </c>
    </row>
    <row r="46" spans="1:17" x14ac:dyDescent="0.3">
      <c r="A46" s="2"/>
      <c r="B46" s="2"/>
      <c r="C46" s="2"/>
      <c r="D46" s="3"/>
      <c r="E46" s="4"/>
      <c r="F46" s="4"/>
      <c r="G46" s="5"/>
      <c r="H46" s="6"/>
      <c r="I46" s="6"/>
      <c r="J46" s="6"/>
      <c r="K46" s="7"/>
      <c r="L46" s="49"/>
      <c r="M46" s="2"/>
      <c r="N46" s="8" t="str">
        <f t="shared" si="0"/>
        <v/>
      </c>
      <c r="O46" s="9" t="str">
        <f t="shared" si="1"/>
        <v/>
      </c>
      <c r="P46" s="10" t="str">
        <f t="shared" si="2"/>
        <v/>
      </c>
      <c r="Q46" s="10" t="str">
        <f t="shared" si="3"/>
        <v/>
      </c>
    </row>
    <row r="47" spans="1:17" x14ac:dyDescent="0.3">
      <c r="A47" s="2"/>
      <c r="B47" s="2"/>
      <c r="C47" s="2"/>
      <c r="D47" s="3"/>
      <c r="E47" s="4"/>
      <c r="F47" s="4"/>
      <c r="G47" s="5"/>
      <c r="H47" s="6"/>
      <c r="I47" s="6"/>
      <c r="J47" s="6"/>
      <c r="K47" s="7"/>
      <c r="L47" s="49"/>
      <c r="M47" s="2"/>
      <c r="N47" s="8" t="str">
        <f t="shared" si="0"/>
        <v/>
      </c>
      <c r="O47" s="9" t="str">
        <f t="shared" si="1"/>
        <v/>
      </c>
      <c r="P47" s="10" t="str">
        <f t="shared" si="2"/>
        <v/>
      </c>
      <c r="Q47" s="10" t="str">
        <f t="shared" si="3"/>
        <v/>
      </c>
    </row>
    <row r="48" spans="1:17" x14ac:dyDescent="0.3">
      <c r="A48" s="2"/>
      <c r="B48" s="2"/>
      <c r="C48" s="2"/>
      <c r="D48" s="3"/>
      <c r="E48" s="4"/>
      <c r="F48" s="4"/>
      <c r="G48" s="5"/>
      <c r="H48" s="6"/>
      <c r="I48" s="6"/>
      <c r="J48" s="6"/>
      <c r="K48" s="7"/>
      <c r="L48" s="49"/>
      <c r="M48" s="2"/>
      <c r="N48" s="8" t="str">
        <f t="shared" si="0"/>
        <v/>
      </c>
      <c r="O48" s="9" t="str">
        <f t="shared" si="1"/>
        <v/>
      </c>
      <c r="P48" s="10" t="str">
        <f t="shared" si="2"/>
        <v/>
      </c>
      <c r="Q48" s="10" t="str">
        <f t="shared" si="3"/>
        <v/>
      </c>
    </row>
    <row r="49" spans="1:17" x14ac:dyDescent="0.3">
      <c r="A49" s="2"/>
      <c r="B49" s="2"/>
      <c r="C49" s="2"/>
      <c r="D49" s="3"/>
      <c r="E49" s="4"/>
      <c r="F49" s="4"/>
      <c r="G49" s="5"/>
      <c r="H49" s="6"/>
      <c r="I49" s="6"/>
      <c r="J49" s="6"/>
      <c r="K49" s="7"/>
      <c r="L49" s="49"/>
      <c r="M49" s="2"/>
      <c r="N49" s="8" t="str">
        <f t="shared" si="0"/>
        <v/>
      </c>
      <c r="O49" s="9" t="str">
        <f t="shared" si="1"/>
        <v/>
      </c>
      <c r="P49" s="10" t="str">
        <f t="shared" si="2"/>
        <v/>
      </c>
      <c r="Q49" s="10" t="str">
        <f t="shared" si="3"/>
        <v/>
      </c>
    </row>
    <row r="50" spans="1:17" x14ac:dyDescent="0.3">
      <c r="A50" s="2"/>
      <c r="B50" s="2"/>
      <c r="C50" s="2"/>
      <c r="D50" s="3"/>
      <c r="E50" s="4"/>
      <c r="F50" s="4"/>
      <c r="G50" s="5"/>
      <c r="H50" s="6"/>
      <c r="I50" s="6"/>
      <c r="J50" s="6"/>
      <c r="K50" s="7"/>
      <c r="L50" s="49"/>
      <c r="M50" s="2"/>
      <c r="N50" s="8" t="str">
        <f t="shared" si="0"/>
        <v/>
      </c>
      <c r="O50" s="9" t="str">
        <f t="shared" si="1"/>
        <v/>
      </c>
      <c r="P50" s="10" t="str">
        <f t="shared" si="2"/>
        <v/>
      </c>
      <c r="Q50" s="10" t="str">
        <f t="shared" si="3"/>
        <v/>
      </c>
    </row>
    <row r="51" spans="1:17" x14ac:dyDescent="0.3">
      <c r="A51" s="2"/>
      <c r="B51" s="2"/>
      <c r="C51" s="2"/>
      <c r="D51" s="3"/>
      <c r="E51" s="4"/>
      <c r="F51" s="4"/>
      <c r="G51" s="5"/>
      <c r="H51" s="6"/>
      <c r="I51" s="6"/>
      <c r="J51" s="6"/>
      <c r="K51" s="7"/>
      <c r="L51" s="49"/>
      <c r="M51" s="2"/>
      <c r="N51" s="8" t="str">
        <f t="shared" si="0"/>
        <v/>
      </c>
      <c r="O51" s="9" t="str">
        <f t="shared" si="1"/>
        <v/>
      </c>
      <c r="P51" s="10" t="str">
        <f t="shared" si="2"/>
        <v/>
      </c>
      <c r="Q51" s="10" t="str">
        <f t="shared" si="3"/>
        <v/>
      </c>
    </row>
    <row r="52" spans="1:17" x14ac:dyDescent="0.3">
      <c r="A52" s="2"/>
      <c r="B52" s="2"/>
      <c r="C52" s="2"/>
      <c r="D52" s="3"/>
      <c r="E52" s="4"/>
      <c r="F52" s="4"/>
      <c r="G52" s="5"/>
      <c r="H52" s="6"/>
      <c r="I52" s="6"/>
      <c r="J52" s="6"/>
      <c r="K52" s="7"/>
      <c r="L52" s="49"/>
      <c r="M52" s="2"/>
      <c r="N52" s="8" t="str">
        <f t="shared" si="0"/>
        <v/>
      </c>
      <c r="O52" s="9" t="str">
        <f t="shared" si="1"/>
        <v/>
      </c>
      <c r="P52" s="10" t="str">
        <f t="shared" si="2"/>
        <v/>
      </c>
      <c r="Q52" s="10" t="str">
        <f t="shared" si="3"/>
        <v/>
      </c>
    </row>
    <row r="53" spans="1:17" x14ac:dyDescent="0.3">
      <c r="A53" s="2"/>
      <c r="B53" s="2"/>
      <c r="C53" s="2"/>
      <c r="D53" s="3"/>
      <c r="E53" s="4"/>
      <c r="F53" s="4"/>
      <c r="G53" s="5"/>
      <c r="H53" s="6"/>
      <c r="I53" s="6"/>
      <c r="J53" s="6"/>
      <c r="K53" s="7"/>
      <c r="L53" s="49"/>
      <c r="M53" s="2"/>
      <c r="N53" s="8" t="str">
        <f t="shared" si="0"/>
        <v/>
      </c>
      <c r="O53" s="9" t="str">
        <f t="shared" si="1"/>
        <v/>
      </c>
      <c r="P53" s="10" t="str">
        <f t="shared" si="2"/>
        <v/>
      </c>
      <c r="Q53" s="10" t="str">
        <f t="shared" si="3"/>
        <v/>
      </c>
    </row>
    <row r="54" spans="1:17" x14ac:dyDescent="0.3">
      <c r="A54" s="2"/>
      <c r="B54" s="2"/>
      <c r="C54" s="2"/>
      <c r="D54" s="3"/>
      <c r="E54" s="4"/>
      <c r="F54" s="4"/>
      <c r="G54" s="5"/>
      <c r="H54" s="6"/>
      <c r="I54" s="6"/>
      <c r="J54" s="6"/>
      <c r="K54" s="7"/>
      <c r="L54" s="49"/>
      <c r="M54" s="2"/>
      <c r="N54" s="8" t="str">
        <f t="shared" si="0"/>
        <v/>
      </c>
      <c r="O54" s="9" t="str">
        <f t="shared" si="1"/>
        <v/>
      </c>
      <c r="P54" s="10" t="str">
        <f t="shared" si="2"/>
        <v/>
      </c>
      <c r="Q54" s="10" t="str">
        <f t="shared" si="3"/>
        <v/>
      </c>
    </row>
    <row r="55" spans="1:17" x14ac:dyDescent="0.3">
      <c r="A55" s="2"/>
      <c r="B55" s="2"/>
      <c r="C55" s="2"/>
      <c r="D55" s="3"/>
      <c r="E55" s="4"/>
      <c r="F55" s="4"/>
      <c r="G55" s="5"/>
      <c r="H55" s="6"/>
      <c r="I55" s="6"/>
      <c r="J55" s="6"/>
      <c r="K55" s="7"/>
      <c r="L55" s="49"/>
      <c r="M55" s="2"/>
      <c r="N55" s="8" t="str">
        <f t="shared" si="0"/>
        <v/>
      </c>
      <c r="O55" s="9" t="str">
        <f t="shared" si="1"/>
        <v/>
      </c>
      <c r="P55" s="10" t="str">
        <f t="shared" si="2"/>
        <v/>
      </c>
      <c r="Q55" s="10" t="str">
        <f t="shared" si="3"/>
        <v/>
      </c>
    </row>
    <row r="56" spans="1:17" x14ac:dyDescent="0.3">
      <c r="A56" s="2"/>
      <c r="B56" s="2"/>
      <c r="C56" s="2"/>
      <c r="D56" s="3"/>
      <c r="E56" s="4"/>
      <c r="F56" s="4"/>
      <c r="G56" s="5"/>
      <c r="H56" s="6"/>
      <c r="I56" s="6"/>
      <c r="J56" s="6"/>
      <c r="K56" s="7"/>
      <c r="L56" s="49"/>
      <c r="M56" s="2"/>
      <c r="N56" s="8" t="str">
        <f t="shared" si="0"/>
        <v/>
      </c>
      <c r="O56" s="9" t="str">
        <f t="shared" si="1"/>
        <v/>
      </c>
      <c r="P56" s="10" t="str">
        <f t="shared" si="2"/>
        <v/>
      </c>
      <c r="Q56" s="10" t="str">
        <f t="shared" si="3"/>
        <v/>
      </c>
    </row>
    <row r="57" spans="1:17" x14ac:dyDescent="0.3">
      <c r="A57" s="2"/>
      <c r="B57" s="2"/>
      <c r="C57" s="2"/>
      <c r="D57" s="3"/>
      <c r="E57" s="4"/>
      <c r="F57" s="4"/>
      <c r="G57" s="5"/>
      <c r="H57" s="6"/>
      <c r="I57" s="6"/>
      <c r="J57" s="6"/>
      <c r="K57" s="7"/>
      <c r="L57" s="49"/>
      <c r="M57" s="2"/>
      <c r="N57" s="8" t="str">
        <f t="shared" si="0"/>
        <v/>
      </c>
      <c r="O57" s="9" t="str">
        <f t="shared" si="1"/>
        <v/>
      </c>
      <c r="P57" s="10" t="str">
        <f t="shared" si="2"/>
        <v/>
      </c>
      <c r="Q57" s="10" t="str">
        <f t="shared" si="3"/>
        <v/>
      </c>
    </row>
    <row r="58" spans="1:17" x14ac:dyDescent="0.3">
      <c r="A58" s="2"/>
      <c r="B58" s="2"/>
      <c r="C58" s="2"/>
      <c r="D58" s="3"/>
      <c r="E58" s="4"/>
      <c r="F58" s="4"/>
      <c r="G58" s="5"/>
      <c r="H58" s="6"/>
      <c r="I58" s="6"/>
      <c r="J58" s="6"/>
      <c r="K58" s="7"/>
      <c r="L58" s="49"/>
      <c r="M58" s="2"/>
      <c r="N58" s="8" t="str">
        <f t="shared" si="0"/>
        <v/>
      </c>
      <c r="O58" s="9" t="str">
        <f t="shared" si="1"/>
        <v/>
      </c>
      <c r="P58" s="10" t="str">
        <f t="shared" si="2"/>
        <v/>
      </c>
      <c r="Q58" s="10" t="str">
        <f t="shared" si="3"/>
        <v/>
      </c>
    </row>
    <row r="59" spans="1:17" x14ac:dyDescent="0.3">
      <c r="A59" s="2"/>
      <c r="B59" s="2"/>
      <c r="C59" s="2"/>
      <c r="D59" s="3"/>
      <c r="E59" s="4"/>
      <c r="F59" s="4"/>
      <c r="G59" s="5"/>
      <c r="H59" s="6"/>
      <c r="I59" s="6"/>
      <c r="J59" s="6"/>
      <c r="K59" s="7"/>
      <c r="L59" s="49"/>
      <c r="M59" s="2"/>
      <c r="N59" s="8" t="str">
        <f t="shared" si="0"/>
        <v/>
      </c>
      <c r="O59" s="9" t="str">
        <f t="shared" si="1"/>
        <v/>
      </c>
      <c r="P59" s="10" t="str">
        <f t="shared" si="2"/>
        <v/>
      </c>
      <c r="Q59" s="10" t="str">
        <f t="shared" si="3"/>
        <v/>
      </c>
    </row>
    <row r="60" spans="1:17" x14ac:dyDescent="0.3">
      <c r="A60" s="2"/>
      <c r="B60" s="2"/>
      <c r="C60" s="2"/>
      <c r="D60" s="3"/>
      <c r="E60" s="4"/>
      <c r="F60" s="4"/>
      <c r="G60" s="5"/>
      <c r="H60" s="6"/>
      <c r="I60" s="6"/>
      <c r="J60" s="6"/>
      <c r="K60" s="7"/>
      <c r="L60" s="49"/>
      <c r="M60" s="2"/>
      <c r="N60" s="8" t="str">
        <f t="shared" si="0"/>
        <v/>
      </c>
      <c r="O60" s="9" t="str">
        <f t="shared" si="1"/>
        <v/>
      </c>
      <c r="P60" s="10" t="str">
        <f t="shared" si="2"/>
        <v/>
      </c>
      <c r="Q60" s="10" t="str">
        <f t="shared" si="3"/>
        <v/>
      </c>
    </row>
    <row r="61" spans="1:17" x14ac:dyDescent="0.3">
      <c r="A61" s="2"/>
      <c r="B61" s="2"/>
      <c r="C61" s="2"/>
      <c r="D61" s="3"/>
      <c r="E61" s="4"/>
      <c r="F61" s="4"/>
      <c r="G61" s="5"/>
      <c r="H61" s="6"/>
      <c r="I61" s="6"/>
      <c r="J61" s="6"/>
      <c r="K61" s="7"/>
      <c r="L61" s="49"/>
      <c r="M61" s="2"/>
      <c r="N61" s="8" t="str">
        <f t="shared" si="0"/>
        <v/>
      </c>
      <c r="O61" s="9" t="str">
        <f t="shared" si="1"/>
        <v/>
      </c>
      <c r="P61" s="10" t="str">
        <f t="shared" si="2"/>
        <v/>
      </c>
      <c r="Q61" s="10" t="str">
        <f t="shared" si="3"/>
        <v/>
      </c>
    </row>
    <row r="62" spans="1:17" x14ac:dyDescent="0.3">
      <c r="A62" s="2"/>
      <c r="B62" s="2"/>
      <c r="C62" s="2"/>
      <c r="D62" s="3"/>
      <c r="E62" s="4"/>
      <c r="F62" s="4"/>
      <c r="G62" s="5"/>
      <c r="H62" s="6"/>
      <c r="I62" s="6"/>
      <c r="J62" s="6"/>
      <c r="K62" s="7"/>
      <c r="L62" s="49"/>
      <c r="M62" s="2"/>
      <c r="N62" s="8" t="str">
        <f t="shared" si="0"/>
        <v/>
      </c>
      <c r="O62" s="9" t="str">
        <f t="shared" si="1"/>
        <v/>
      </c>
      <c r="P62" s="10" t="str">
        <f t="shared" si="2"/>
        <v/>
      </c>
      <c r="Q62" s="10" t="str">
        <f t="shared" si="3"/>
        <v/>
      </c>
    </row>
    <row r="63" spans="1:17" x14ac:dyDescent="0.3">
      <c r="A63" s="2"/>
      <c r="B63" s="2"/>
      <c r="C63" s="2"/>
      <c r="D63" s="3"/>
      <c r="E63" s="4"/>
      <c r="F63" s="4"/>
      <c r="G63" s="5"/>
      <c r="H63" s="6"/>
      <c r="I63" s="6"/>
      <c r="J63" s="6"/>
      <c r="K63" s="7"/>
      <c r="L63" s="49"/>
      <c r="M63" s="2"/>
      <c r="N63" s="8" t="str">
        <f t="shared" si="0"/>
        <v/>
      </c>
      <c r="O63" s="9" t="str">
        <f t="shared" si="1"/>
        <v/>
      </c>
      <c r="P63" s="10" t="str">
        <f t="shared" si="2"/>
        <v/>
      </c>
      <c r="Q63" s="10" t="str">
        <f t="shared" si="3"/>
        <v/>
      </c>
    </row>
    <row r="64" spans="1:17" x14ac:dyDescent="0.3">
      <c r="A64" s="2"/>
      <c r="B64" s="2"/>
      <c r="C64" s="2"/>
      <c r="D64" s="3"/>
      <c r="E64" s="4"/>
      <c r="F64" s="4"/>
      <c r="G64" s="5"/>
      <c r="H64" s="6"/>
      <c r="I64" s="6"/>
      <c r="J64" s="6"/>
      <c r="K64" s="7"/>
      <c r="L64" s="49"/>
      <c r="M64" s="2"/>
      <c r="N64" s="8" t="str">
        <f t="shared" si="0"/>
        <v/>
      </c>
      <c r="O64" s="9" t="str">
        <f t="shared" si="1"/>
        <v/>
      </c>
      <c r="P64" s="10" t="str">
        <f t="shared" si="2"/>
        <v/>
      </c>
      <c r="Q64" s="10" t="str">
        <f t="shared" si="3"/>
        <v/>
      </c>
    </row>
    <row r="65" spans="1:17" x14ac:dyDescent="0.3">
      <c r="A65" s="2"/>
      <c r="B65" s="2"/>
      <c r="C65" s="2"/>
      <c r="D65" s="3"/>
      <c r="E65" s="4"/>
      <c r="F65" s="4"/>
      <c r="G65" s="5"/>
      <c r="H65" s="6"/>
      <c r="I65" s="6"/>
      <c r="J65" s="6"/>
      <c r="K65" s="7"/>
      <c r="L65" s="49"/>
      <c r="M65" s="2"/>
      <c r="N65" s="8" t="str">
        <f t="shared" si="0"/>
        <v/>
      </c>
      <c r="O65" s="9" t="str">
        <f t="shared" si="1"/>
        <v/>
      </c>
      <c r="P65" s="10" t="str">
        <f t="shared" si="2"/>
        <v/>
      </c>
      <c r="Q65" s="10" t="str">
        <f t="shared" si="3"/>
        <v/>
      </c>
    </row>
    <row r="66" spans="1:17" x14ac:dyDescent="0.3">
      <c r="A66" s="2"/>
      <c r="B66" s="2"/>
      <c r="C66" s="2"/>
      <c r="D66" s="3"/>
      <c r="E66" s="4"/>
      <c r="F66" s="4"/>
      <c r="G66" s="5"/>
      <c r="H66" s="6"/>
      <c r="I66" s="6"/>
      <c r="J66" s="6"/>
      <c r="K66" s="7"/>
      <c r="L66" s="49"/>
      <c r="M66" s="2"/>
      <c r="N66" s="8" t="str">
        <f t="shared" si="0"/>
        <v/>
      </c>
      <c r="O66" s="9" t="str">
        <f t="shared" si="1"/>
        <v/>
      </c>
      <c r="P66" s="10" t="str">
        <f t="shared" si="2"/>
        <v/>
      </c>
      <c r="Q66" s="10" t="str">
        <f t="shared" si="3"/>
        <v/>
      </c>
    </row>
    <row r="67" spans="1:17" x14ac:dyDescent="0.3">
      <c r="A67" s="2"/>
      <c r="B67" s="2"/>
      <c r="C67" s="2"/>
      <c r="D67" s="3"/>
      <c r="E67" s="4"/>
      <c r="F67" s="4"/>
      <c r="G67" s="5"/>
      <c r="H67" s="6"/>
      <c r="I67" s="6"/>
      <c r="J67" s="6"/>
      <c r="K67" s="7"/>
      <c r="L67" s="49"/>
      <c r="M67" s="2"/>
      <c r="N67" s="8" t="str">
        <f t="shared" si="0"/>
        <v/>
      </c>
      <c r="O67" s="9" t="str">
        <f t="shared" si="1"/>
        <v/>
      </c>
      <c r="P67" s="10" t="str">
        <f t="shared" si="2"/>
        <v/>
      </c>
      <c r="Q67" s="10" t="str">
        <f t="shared" si="3"/>
        <v/>
      </c>
    </row>
    <row r="68" spans="1:17" x14ac:dyDescent="0.3">
      <c r="A68" s="2"/>
      <c r="B68" s="2"/>
      <c r="C68" s="2"/>
      <c r="D68" s="3"/>
      <c r="E68" s="4"/>
      <c r="F68" s="4"/>
      <c r="G68" s="5"/>
      <c r="H68" s="6"/>
      <c r="I68" s="6"/>
      <c r="J68" s="6"/>
      <c r="K68" s="7"/>
      <c r="L68" s="49"/>
      <c r="M68" s="2"/>
      <c r="N68" s="8" t="str">
        <f t="shared" si="0"/>
        <v/>
      </c>
      <c r="O68" s="9" t="str">
        <f t="shared" si="1"/>
        <v/>
      </c>
      <c r="P68" s="10" t="str">
        <f t="shared" si="2"/>
        <v/>
      </c>
      <c r="Q68" s="10" t="str">
        <f t="shared" si="3"/>
        <v/>
      </c>
    </row>
    <row r="69" spans="1:17" x14ac:dyDescent="0.3">
      <c r="A69" s="2"/>
      <c r="B69" s="2"/>
      <c r="C69" s="2"/>
      <c r="D69" s="3"/>
      <c r="E69" s="4"/>
      <c r="F69" s="4"/>
      <c r="G69" s="5"/>
      <c r="H69" s="6"/>
      <c r="I69" s="6"/>
      <c r="J69" s="6"/>
      <c r="K69" s="7"/>
      <c r="L69" s="49"/>
      <c r="M69" s="2"/>
      <c r="N69" s="8" t="str">
        <f t="shared" si="0"/>
        <v/>
      </c>
      <c r="O69" s="9" t="str">
        <f t="shared" si="1"/>
        <v/>
      </c>
      <c r="P69" s="10" t="str">
        <f t="shared" si="2"/>
        <v/>
      </c>
      <c r="Q69" s="10" t="str">
        <f t="shared" si="3"/>
        <v/>
      </c>
    </row>
    <row r="70" spans="1:17" x14ac:dyDescent="0.3">
      <c r="A70" s="2"/>
      <c r="B70" s="2"/>
      <c r="C70" s="2"/>
      <c r="D70" s="3"/>
      <c r="E70" s="4"/>
      <c r="F70" s="4"/>
      <c r="G70" s="5"/>
      <c r="H70" s="6"/>
      <c r="I70" s="6"/>
      <c r="J70" s="6"/>
      <c r="K70" s="7"/>
      <c r="L70" s="49"/>
      <c r="M70" s="2"/>
      <c r="N70" s="8" t="str">
        <f t="shared" si="0"/>
        <v/>
      </c>
      <c r="O70" s="9" t="str">
        <f t="shared" si="1"/>
        <v/>
      </c>
      <c r="P70" s="10" t="str">
        <f t="shared" si="2"/>
        <v/>
      </c>
      <c r="Q70" s="10" t="str">
        <f t="shared" si="3"/>
        <v/>
      </c>
    </row>
    <row r="71" spans="1:17" x14ac:dyDescent="0.3">
      <c r="A71" s="2"/>
      <c r="B71" s="2"/>
      <c r="C71" s="2"/>
      <c r="D71" s="3"/>
      <c r="E71" s="4"/>
      <c r="F71" s="4"/>
      <c r="G71" s="5"/>
      <c r="H71" s="6"/>
      <c r="I71" s="6"/>
      <c r="J71" s="6"/>
      <c r="K71" s="7"/>
      <c r="L71" s="49"/>
      <c r="M71" s="2"/>
      <c r="N71" s="8" t="str">
        <f t="shared" ref="N71:N134" si="4">IF($D71="","",$D71*N($E71))</f>
        <v/>
      </c>
      <c r="O71" s="9" t="str">
        <f t="shared" ref="O71:O134" si="5">IF($D71="","",$D71*N($F71))</f>
        <v/>
      </c>
      <c r="P71" s="10" t="str">
        <f t="shared" ref="P71:P134" si="6">IF($D71="","",IF(N($K71)&gt;0,$K71,IF(AND(N($G71)&gt;0,N($H71)&gt;0,N($I71)&gt;0,N($J71)&gt;0),$H71*$I71*$J71/1000000/$G71,0)))</f>
        <v/>
      </c>
      <c r="Q71" s="10" t="str">
        <f t="shared" ref="Q71:Q134" si="7">IF($D71="","",$D71*$P71)</f>
        <v/>
      </c>
    </row>
    <row r="72" spans="1:17" x14ac:dyDescent="0.3">
      <c r="A72" s="2"/>
      <c r="B72" s="2"/>
      <c r="C72" s="2"/>
      <c r="D72" s="3"/>
      <c r="E72" s="4"/>
      <c r="F72" s="4"/>
      <c r="G72" s="5"/>
      <c r="H72" s="6"/>
      <c r="I72" s="6"/>
      <c r="J72" s="6"/>
      <c r="K72" s="7"/>
      <c r="L72" s="49"/>
      <c r="M72" s="2"/>
      <c r="N72" s="8" t="str">
        <f t="shared" si="4"/>
        <v/>
      </c>
      <c r="O72" s="9" t="str">
        <f t="shared" si="5"/>
        <v/>
      </c>
      <c r="P72" s="10" t="str">
        <f t="shared" si="6"/>
        <v/>
      </c>
      <c r="Q72" s="10" t="str">
        <f t="shared" si="7"/>
        <v/>
      </c>
    </row>
    <row r="73" spans="1:17" x14ac:dyDescent="0.3">
      <c r="A73" s="2"/>
      <c r="B73" s="2"/>
      <c r="C73" s="2"/>
      <c r="D73" s="3"/>
      <c r="E73" s="4"/>
      <c r="F73" s="4"/>
      <c r="G73" s="5"/>
      <c r="H73" s="6"/>
      <c r="I73" s="6"/>
      <c r="J73" s="6"/>
      <c r="K73" s="7"/>
      <c r="L73" s="49"/>
      <c r="M73" s="2"/>
      <c r="N73" s="8" t="str">
        <f t="shared" si="4"/>
        <v/>
      </c>
      <c r="O73" s="9" t="str">
        <f t="shared" si="5"/>
        <v/>
      </c>
      <c r="P73" s="10" t="str">
        <f t="shared" si="6"/>
        <v/>
      </c>
      <c r="Q73" s="10" t="str">
        <f t="shared" si="7"/>
        <v/>
      </c>
    </row>
    <row r="74" spans="1:17" x14ac:dyDescent="0.3">
      <c r="A74" s="2"/>
      <c r="B74" s="2"/>
      <c r="C74" s="2"/>
      <c r="D74" s="3"/>
      <c r="E74" s="4"/>
      <c r="F74" s="4"/>
      <c r="G74" s="5"/>
      <c r="H74" s="6"/>
      <c r="I74" s="6"/>
      <c r="J74" s="6"/>
      <c r="K74" s="7"/>
      <c r="L74" s="49"/>
      <c r="M74" s="2"/>
      <c r="N74" s="8" t="str">
        <f t="shared" si="4"/>
        <v/>
      </c>
      <c r="O74" s="9" t="str">
        <f t="shared" si="5"/>
        <v/>
      </c>
      <c r="P74" s="10" t="str">
        <f t="shared" si="6"/>
        <v/>
      </c>
      <c r="Q74" s="10" t="str">
        <f t="shared" si="7"/>
        <v/>
      </c>
    </row>
    <row r="75" spans="1:17" x14ac:dyDescent="0.3">
      <c r="A75" s="2"/>
      <c r="B75" s="2"/>
      <c r="C75" s="2"/>
      <c r="D75" s="3"/>
      <c r="E75" s="4"/>
      <c r="F75" s="4"/>
      <c r="G75" s="5"/>
      <c r="H75" s="6"/>
      <c r="I75" s="6"/>
      <c r="J75" s="6"/>
      <c r="K75" s="7"/>
      <c r="L75" s="49"/>
      <c r="M75" s="2"/>
      <c r="N75" s="8" t="str">
        <f t="shared" si="4"/>
        <v/>
      </c>
      <c r="O75" s="9" t="str">
        <f t="shared" si="5"/>
        <v/>
      </c>
      <c r="P75" s="10" t="str">
        <f t="shared" si="6"/>
        <v/>
      </c>
      <c r="Q75" s="10" t="str">
        <f t="shared" si="7"/>
        <v/>
      </c>
    </row>
    <row r="76" spans="1:17" x14ac:dyDescent="0.3">
      <c r="A76" s="2"/>
      <c r="B76" s="2"/>
      <c r="C76" s="2"/>
      <c r="D76" s="3"/>
      <c r="E76" s="4"/>
      <c r="F76" s="4"/>
      <c r="G76" s="5"/>
      <c r="H76" s="6"/>
      <c r="I76" s="6"/>
      <c r="J76" s="6"/>
      <c r="K76" s="7"/>
      <c r="L76" s="49"/>
      <c r="M76" s="2"/>
      <c r="N76" s="8" t="str">
        <f t="shared" si="4"/>
        <v/>
      </c>
      <c r="O76" s="9" t="str">
        <f t="shared" si="5"/>
        <v/>
      </c>
      <c r="P76" s="10" t="str">
        <f t="shared" si="6"/>
        <v/>
      </c>
      <c r="Q76" s="10" t="str">
        <f t="shared" si="7"/>
        <v/>
      </c>
    </row>
    <row r="77" spans="1:17" x14ac:dyDescent="0.3">
      <c r="A77" s="2"/>
      <c r="B77" s="2"/>
      <c r="C77" s="2"/>
      <c r="D77" s="3"/>
      <c r="E77" s="4"/>
      <c r="F77" s="4"/>
      <c r="G77" s="5"/>
      <c r="H77" s="6"/>
      <c r="I77" s="6"/>
      <c r="J77" s="6"/>
      <c r="K77" s="7"/>
      <c r="L77" s="49"/>
      <c r="M77" s="2"/>
      <c r="N77" s="8" t="str">
        <f t="shared" si="4"/>
        <v/>
      </c>
      <c r="O77" s="9" t="str">
        <f t="shared" si="5"/>
        <v/>
      </c>
      <c r="P77" s="10" t="str">
        <f t="shared" si="6"/>
        <v/>
      </c>
      <c r="Q77" s="10" t="str">
        <f t="shared" si="7"/>
        <v/>
      </c>
    </row>
    <row r="78" spans="1:17" x14ac:dyDescent="0.3">
      <c r="A78" s="2"/>
      <c r="B78" s="2"/>
      <c r="C78" s="2"/>
      <c r="D78" s="3"/>
      <c r="E78" s="4"/>
      <c r="F78" s="4"/>
      <c r="G78" s="5"/>
      <c r="H78" s="6"/>
      <c r="I78" s="6"/>
      <c r="J78" s="6"/>
      <c r="K78" s="7"/>
      <c r="L78" s="49"/>
      <c r="M78" s="2"/>
      <c r="N78" s="8" t="str">
        <f t="shared" si="4"/>
        <v/>
      </c>
      <c r="O78" s="9" t="str">
        <f t="shared" si="5"/>
        <v/>
      </c>
      <c r="P78" s="10" t="str">
        <f t="shared" si="6"/>
        <v/>
      </c>
      <c r="Q78" s="10" t="str">
        <f t="shared" si="7"/>
        <v/>
      </c>
    </row>
    <row r="79" spans="1:17" x14ac:dyDescent="0.3">
      <c r="A79" s="2"/>
      <c r="B79" s="2"/>
      <c r="C79" s="2"/>
      <c r="D79" s="3"/>
      <c r="E79" s="4"/>
      <c r="F79" s="4"/>
      <c r="G79" s="5"/>
      <c r="H79" s="6"/>
      <c r="I79" s="6"/>
      <c r="J79" s="6"/>
      <c r="K79" s="7"/>
      <c r="L79" s="49"/>
      <c r="M79" s="2"/>
      <c r="N79" s="8" t="str">
        <f t="shared" si="4"/>
        <v/>
      </c>
      <c r="O79" s="9" t="str">
        <f t="shared" si="5"/>
        <v/>
      </c>
      <c r="P79" s="10" t="str">
        <f t="shared" si="6"/>
        <v/>
      </c>
      <c r="Q79" s="10" t="str">
        <f t="shared" si="7"/>
        <v/>
      </c>
    </row>
    <row r="80" spans="1:17" x14ac:dyDescent="0.3">
      <c r="A80" s="2"/>
      <c r="B80" s="2"/>
      <c r="C80" s="2"/>
      <c r="D80" s="3"/>
      <c r="E80" s="4"/>
      <c r="F80" s="4"/>
      <c r="G80" s="5"/>
      <c r="H80" s="6"/>
      <c r="I80" s="6"/>
      <c r="J80" s="6"/>
      <c r="K80" s="7"/>
      <c r="L80" s="49"/>
      <c r="M80" s="2"/>
      <c r="N80" s="8" t="str">
        <f t="shared" si="4"/>
        <v/>
      </c>
      <c r="O80" s="9" t="str">
        <f t="shared" si="5"/>
        <v/>
      </c>
      <c r="P80" s="10" t="str">
        <f t="shared" si="6"/>
        <v/>
      </c>
      <c r="Q80" s="10" t="str">
        <f t="shared" si="7"/>
        <v/>
      </c>
    </row>
    <row r="81" spans="1:17" x14ac:dyDescent="0.3">
      <c r="A81" s="2"/>
      <c r="B81" s="2"/>
      <c r="C81" s="2"/>
      <c r="D81" s="3"/>
      <c r="E81" s="4"/>
      <c r="F81" s="4"/>
      <c r="G81" s="5"/>
      <c r="H81" s="6"/>
      <c r="I81" s="6"/>
      <c r="J81" s="6"/>
      <c r="K81" s="7"/>
      <c r="L81" s="49"/>
      <c r="M81" s="2"/>
      <c r="N81" s="8" t="str">
        <f t="shared" si="4"/>
        <v/>
      </c>
      <c r="O81" s="9" t="str">
        <f t="shared" si="5"/>
        <v/>
      </c>
      <c r="P81" s="10" t="str">
        <f t="shared" si="6"/>
        <v/>
      </c>
      <c r="Q81" s="10" t="str">
        <f t="shared" si="7"/>
        <v/>
      </c>
    </row>
    <row r="82" spans="1:17" x14ac:dyDescent="0.3">
      <c r="A82" s="2"/>
      <c r="B82" s="2"/>
      <c r="C82" s="2"/>
      <c r="D82" s="3"/>
      <c r="E82" s="4"/>
      <c r="F82" s="4"/>
      <c r="G82" s="5"/>
      <c r="H82" s="6"/>
      <c r="I82" s="6"/>
      <c r="J82" s="6"/>
      <c r="K82" s="7"/>
      <c r="L82" s="49"/>
      <c r="M82" s="2"/>
      <c r="N82" s="8" t="str">
        <f t="shared" si="4"/>
        <v/>
      </c>
      <c r="O82" s="9" t="str">
        <f t="shared" si="5"/>
        <v/>
      </c>
      <c r="P82" s="10" t="str">
        <f t="shared" si="6"/>
        <v/>
      </c>
      <c r="Q82" s="10" t="str">
        <f t="shared" si="7"/>
        <v/>
      </c>
    </row>
    <row r="83" spans="1:17" x14ac:dyDescent="0.3">
      <c r="A83" s="2"/>
      <c r="B83" s="2"/>
      <c r="C83" s="2"/>
      <c r="D83" s="3"/>
      <c r="E83" s="4"/>
      <c r="F83" s="4"/>
      <c r="G83" s="5"/>
      <c r="H83" s="6"/>
      <c r="I83" s="6"/>
      <c r="J83" s="6"/>
      <c r="K83" s="7"/>
      <c r="L83" s="49"/>
      <c r="M83" s="2"/>
      <c r="N83" s="8" t="str">
        <f t="shared" si="4"/>
        <v/>
      </c>
      <c r="O83" s="9" t="str">
        <f t="shared" si="5"/>
        <v/>
      </c>
      <c r="P83" s="10" t="str">
        <f t="shared" si="6"/>
        <v/>
      </c>
      <c r="Q83" s="10" t="str">
        <f t="shared" si="7"/>
        <v/>
      </c>
    </row>
    <row r="84" spans="1:17" x14ac:dyDescent="0.3">
      <c r="A84" s="2"/>
      <c r="B84" s="2"/>
      <c r="C84" s="2"/>
      <c r="D84" s="3"/>
      <c r="E84" s="4"/>
      <c r="F84" s="4"/>
      <c r="G84" s="5"/>
      <c r="H84" s="6"/>
      <c r="I84" s="6"/>
      <c r="J84" s="6"/>
      <c r="K84" s="7"/>
      <c r="L84" s="49"/>
      <c r="M84" s="2"/>
      <c r="N84" s="8" t="str">
        <f t="shared" si="4"/>
        <v/>
      </c>
      <c r="O84" s="9" t="str">
        <f t="shared" si="5"/>
        <v/>
      </c>
      <c r="P84" s="10" t="str">
        <f t="shared" si="6"/>
        <v/>
      </c>
      <c r="Q84" s="10" t="str">
        <f t="shared" si="7"/>
        <v/>
      </c>
    </row>
    <row r="85" spans="1:17" x14ac:dyDescent="0.3">
      <c r="A85" s="2"/>
      <c r="B85" s="2"/>
      <c r="C85" s="2"/>
      <c r="D85" s="3"/>
      <c r="E85" s="4"/>
      <c r="F85" s="4"/>
      <c r="G85" s="5"/>
      <c r="H85" s="6"/>
      <c r="I85" s="6"/>
      <c r="J85" s="6"/>
      <c r="K85" s="7"/>
      <c r="L85" s="49"/>
      <c r="M85" s="2"/>
      <c r="N85" s="8" t="str">
        <f t="shared" si="4"/>
        <v/>
      </c>
      <c r="O85" s="9" t="str">
        <f t="shared" si="5"/>
        <v/>
      </c>
      <c r="P85" s="10" t="str">
        <f t="shared" si="6"/>
        <v/>
      </c>
      <c r="Q85" s="10" t="str">
        <f t="shared" si="7"/>
        <v/>
      </c>
    </row>
    <row r="86" spans="1:17" x14ac:dyDescent="0.3">
      <c r="A86" s="2"/>
      <c r="B86" s="2"/>
      <c r="C86" s="2"/>
      <c r="D86" s="3"/>
      <c r="E86" s="4"/>
      <c r="F86" s="4"/>
      <c r="G86" s="5"/>
      <c r="H86" s="6"/>
      <c r="I86" s="6"/>
      <c r="J86" s="6"/>
      <c r="K86" s="7"/>
      <c r="L86" s="49"/>
      <c r="M86" s="2"/>
      <c r="N86" s="8" t="str">
        <f t="shared" si="4"/>
        <v/>
      </c>
      <c r="O86" s="9" t="str">
        <f t="shared" si="5"/>
        <v/>
      </c>
      <c r="P86" s="10" t="str">
        <f t="shared" si="6"/>
        <v/>
      </c>
      <c r="Q86" s="10" t="str">
        <f t="shared" si="7"/>
        <v/>
      </c>
    </row>
    <row r="87" spans="1:17" x14ac:dyDescent="0.3">
      <c r="A87" s="2"/>
      <c r="B87" s="2"/>
      <c r="C87" s="2"/>
      <c r="D87" s="3"/>
      <c r="E87" s="4"/>
      <c r="F87" s="4"/>
      <c r="G87" s="5"/>
      <c r="H87" s="6"/>
      <c r="I87" s="6"/>
      <c r="J87" s="6"/>
      <c r="K87" s="7"/>
      <c r="L87" s="49"/>
      <c r="M87" s="2"/>
      <c r="N87" s="8" t="str">
        <f t="shared" si="4"/>
        <v/>
      </c>
      <c r="O87" s="9" t="str">
        <f t="shared" si="5"/>
        <v/>
      </c>
      <c r="P87" s="10" t="str">
        <f t="shared" si="6"/>
        <v/>
      </c>
      <c r="Q87" s="10" t="str">
        <f t="shared" si="7"/>
        <v/>
      </c>
    </row>
    <row r="88" spans="1:17" x14ac:dyDescent="0.3">
      <c r="A88" s="2"/>
      <c r="B88" s="2"/>
      <c r="C88" s="2"/>
      <c r="D88" s="3"/>
      <c r="E88" s="4"/>
      <c r="F88" s="4"/>
      <c r="G88" s="5"/>
      <c r="H88" s="6"/>
      <c r="I88" s="6"/>
      <c r="J88" s="6"/>
      <c r="K88" s="7"/>
      <c r="L88" s="49"/>
      <c r="M88" s="2"/>
      <c r="N88" s="8" t="str">
        <f t="shared" si="4"/>
        <v/>
      </c>
      <c r="O88" s="9" t="str">
        <f t="shared" si="5"/>
        <v/>
      </c>
      <c r="P88" s="10" t="str">
        <f t="shared" si="6"/>
        <v/>
      </c>
      <c r="Q88" s="10" t="str">
        <f t="shared" si="7"/>
        <v/>
      </c>
    </row>
    <row r="89" spans="1:17" x14ac:dyDescent="0.3">
      <c r="A89" s="2"/>
      <c r="B89" s="2"/>
      <c r="C89" s="2"/>
      <c r="D89" s="3"/>
      <c r="E89" s="4"/>
      <c r="F89" s="4"/>
      <c r="G89" s="5"/>
      <c r="H89" s="6"/>
      <c r="I89" s="6"/>
      <c r="J89" s="6"/>
      <c r="K89" s="7"/>
      <c r="L89" s="49"/>
      <c r="M89" s="2"/>
      <c r="N89" s="8" t="str">
        <f t="shared" si="4"/>
        <v/>
      </c>
      <c r="O89" s="9" t="str">
        <f t="shared" si="5"/>
        <v/>
      </c>
      <c r="P89" s="10" t="str">
        <f t="shared" si="6"/>
        <v/>
      </c>
      <c r="Q89" s="10" t="str">
        <f t="shared" si="7"/>
        <v/>
      </c>
    </row>
    <row r="90" spans="1:17" x14ac:dyDescent="0.3">
      <c r="A90" s="2"/>
      <c r="B90" s="2"/>
      <c r="C90" s="2"/>
      <c r="D90" s="3"/>
      <c r="E90" s="4"/>
      <c r="F90" s="4"/>
      <c r="G90" s="5"/>
      <c r="H90" s="6"/>
      <c r="I90" s="6"/>
      <c r="J90" s="6"/>
      <c r="K90" s="7"/>
      <c r="L90" s="49"/>
      <c r="M90" s="2"/>
      <c r="N90" s="8" t="str">
        <f t="shared" si="4"/>
        <v/>
      </c>
      <c r="O90" s="9" t="str">
        <f t="shared" si="5"/>
        <v/>
      </c>
      <c r="P90" s="10" t="str">
        <f t="shared" si="6"/>
        <v/>
      </c>
      <c r="Q90" s="10" t="str">
        <f t="shared" si="7"/>
        <v/>
      </c>
    </row>
    <row r="91" spans="1:17" x14ac:dyDescent="0.3">
      <c r="A91" s="2"/>
      <c r="B91" s="2"/>
      <c r="C91" s="2"/>
      <c r="D91" s="3"/>
      <c r="E91" s="4"/>
      <c r="F91" s="4"/>
      <c r="G91" s="5"/>
      <c r="H91" s="6"/>
      <c r="I91" s="6"/>
      <c r="J91" s="6"/>
      <c r="K91" s="7"/>
      <c r="L91" s="49"/>
      <c r="M91" s="2"/>
      <c r="N91" s="8" t="str">
        <f t="shared" si="4"/>
        <v/>
      </c>
      <c r="O91" s="9" t="str">
        <f t="shared" si="5"/>
        <v/>
      </c>
      <c r="P91" s="10" t="str">
        <f t="shared" si="6"/>
        <v/>
      </c>
      <c r="Q91" s="10" t="str">
        <f t="shared" si="7"/>
        <v/>
      </c>
    </row>
    <row r="92" spans="1:17" x14ac:dyDescent="0.3">
      <c r="A92" s="2"/>
      <c r="B92" s="2"/>
      <c r="C92" s="2"/>
      <c r="D92" s="3"/>
      <c r="E92" s="4"/>
      <c r="F92" s="4"/>
      <c r="G92" s="5"/>
      <c r="H92" s="6"/>
      <c r="I92" s="6"/>
      <c r="J92" s="6"/>
      <c r="K92" s="7"/>
      <c r="L92" s="49"/>
      <c r="M92" s="2"/>
      <c r="N92" s="8" t="str">
        <f t="shared" si="4"/>
        <v/>
      </c>
      <c r="O92" s="9" t="str">
        <f t="shared" si="5"/>
        <v/>
      </c>
      <c r="P92" s="10" t="str">
        <f t="shared" si="6"/>
        <v/>
      </c>
      <c r="Q92" s="10" t="str">
        <f t="shared" si="7"/>
        <v/>
      </c>
    </row>
    <row r="93" spans="1:17" x14ac:dyDescent="0.3">
      <c r="A93" s="2"/>
      <c r="B93" s="2"/>
      <c r="C93" s="2"/>
      <c r="D93" s="3"/>
      <c r="E93" s="4"/>
      <c r="F93" s="4"/>
      <c r="G93" s="5"/>
      <c r="H93" s="6"/>
      <c r="I93" s="6"/>
      <c r="J93" s="6"/>
      <c r="K93" s="7"/>
      <c r="L93" s="49"/>
      <c r="M93" s="2"/>
      <c r="N93" s="8" t="str">
        <f t="shared" si="4"/>
        <v/>
      </c>
      <c r="O93" s="9" t="str">
        <f t="shared" si="5"/>
        <v/>
      </c>
      <c r="P93" s="10" t="str">
        <f t="shared" si="6"/>
        <v/>
      </c>
      <c r="Q93" s="10" t="str">
        <f t="shared" si="7"/>
        <v/>
      </c>
    </row>
    <row r="94" spans="1:17" x14ac:dyDescent="0.3">
      <c r="A94" s="2"/>
      <c r="B94" s="2"/>
      <c r="C94" s="2"/>
      <c r="D94" s="3"/>
      <c r="E94" s="4"/>
      <c r="F94" s="4"/>
      <c r="G94" s="5"/>
      <c r="H94" s="6"/>
      <c r="I94" s="6"/>
      <c r="J94" s="6"/>
      <c r="K94" s="7"/>
      <c r="L94" s="49"/>
      <c r="M94" s="2"/>
      <c r="N94" s="8" t="str">
        <f t="shared" si="4"/>
        <v/>
      </c>
      <c r="O94" s="9" t="str">
        <f t="shared" si="5"/>
        <v/>
      </c>
      <c r="P94" s="10" t="str">
        <f t="shared" si="6"/>
        <v/>
      </c>
      <c r="Q94" s="10" t="str">
        <f t="shared" si="7"/>
        <v/>
      </c>
    </row>
    <row r="95" spans="1:17" x14ac:dyDescent="0.3">
      <c r="A95" s="2"/>
      <c r="B95" s="2"/>
      <c r="C95" s="2"/>
      <c r="D95" s="3"/>
      <c r="E95" s="4"/>
      <c r="F95" s="4"/>
      <c r="G95" s="5"/>
      <c r="H95" s="6"/>
      <c r="I95" s="6"/>
      <c r="J95" s="6"/>
      <c r="K95" s="7"/>
      <c r="L95" s="49"/>
      <c r="M95" s="2"/>
      <c r="N95" s="8" t="str">
        <f t="shared" si="4"/>
        <v/>
      </c>
      <c r="O95" s="9" t="str">
        <f t="shared" si="5"/>
        <v/>
      </c>
      <c r="P95" s="10" t="str">
        <f t="shared" si="6"/>
        <v/>
      </c>
      <c r="Q95" s="10" t="str">
        <f t="shared" si="7"/>
        <v/>
      </c>
    </row>
    <row r="96" spans="1:17" x14ac:dyDescent="0.3">
      <c r="A96" s="2"/>
      <c r="B96" s="2"/>
      <c r="C96" s="2"/>
      <c r="D96" s="3"/>
      <c r="E96" s="4"/>
      <c r="F96" s="4"/>
      <c r="G96" s="5"/>
      <c r="H96" s="6"/>
      <c r="I96" s="6"/>
      <c r="J96" s="6"/>
      <c r="K96" s="7"/>
      <c r="L96" s="49"/>
      <c r="M96" s="2"/>
      <c r="N96" s="8" t="str">
        <f t="shared" si="4"/>
        <v/>
      </c>
      <c r="O96" s="9" t="str">
        <f t="shared" si="5"/>
        <v/>
      </c>
      <c r="P96" s="10" t="str">
        <f t="shared" si="6"/>
        <v/>
      </c>
      <c r="Q96" s="10" t="str">
        <f t="shared" si="7"/>
        <v/>
      </c>
    </row>
    <row r="97" spans="1:17" x14ac:dyDescent="0.3">
      <c r="A97" s="2"/>
      <c r="B97" s="2"/>
      <c r="C97" s="2"/>
      <c r="D97" s="3"/>
      <c r="E97" s="4"/>
      <c r="F97" s="4"/>
      <c r="G97" s="5"/>
      <c r="H97" s="6"/>
      <c r="I97" s="6"/>
      <c r="J97" s="6"/>
      <c r="K97" s="7"/>
      <c r="L97" s="49"/>
      <c r="M97" s="2"/>
      <c r="N97" s="8" t="str">
        <f t="shared" si="4"/>
        <v/>
      </c>
      <c r="O97" s="9" t="str">
        <f t="shared" si="5"/>
        <v/>
      </c>
      <c r="P97" s="10" t="str">
        <f t="shared" si="6"/>
        <v/>
      </c>
      <c r="Q97" s="10" t="str">
        <f t="shared" si="7"/>
        <v/>
      </c>
    </row>
    <row r="98" spans="1:17" x14ac:dyDescent="0.3">
      <c r="A98" s="2"/>
      <c r="B98" s="2"/>
      <c r="C98" s="2"/>
      <c r="D98" s="3"/>
      <c r="E98" s="4"/>
      <c r="F98" s="4"/>
      <c r="G98" s="5"/>
      <c r="H98" s="6"/>
      <c r="I98" s="6"/>
      <c r="J98" s="6"/>
      <c r="K98" s="7"/>
      <c r="L98" s="49"/>
      <c r="M98" s="2"/>
      <c r="N98" s="8" t="str">
        <f t="shared" si="4"/>
        <v/>
      </c>
      <c r="O98" s="9" t="str">
        <f t="shared" si="5"/>
        <v/>
      </c>
      <c r="P98" s="10" t="str">
        <f t="shared" si="6"/>
        <v/>
      </c>
      <c r="Q98" s="10" t="str">
        <f t="shared" si="7"/>
        <v/>
      </c>
    </row>
    <row r="99" spans="1:17" x14ac:dyDescent="0.3">
      <c r="A99" s="2"/>
      <c r="B99" s="2"/>
      <c r="C99" s="2"/>
      <c r="D99" s="3"/>
      <c r="E99" s="4"/>
      <c r="F99" s="4"/>
      <c r="G99" s="5"/>
      <c r="H99" s="6"/>
      <c r="I99" s="6"/>
      <c r="J99" s="6"/>
      <c r="K99" s="7"/>
      <c r="L99" s="49"/>
      <c r="M99" s="2"/>
      <c r="N99" s="8" t="str">
        <f t="shared" si="4"/>
        <v/>
      </c>
      <c r="O99" s="9" t="str">
        <f t="shared" si="5"/>
        <v/>
      </c>
      <c r="P99" s="10" t="str">
        <f t="shared" si="6"/>
        <v/>
      </c>
      <c r="Q99" s="10" t="str">
        <f t="shared" si="7"/>
        <v/>
      </c>
    </row>
    <row r="100" spans="1:17" x14ac:dyDescent="0.3">
      <c r="A100" s="2"/>
      <c r="B100" s="2"/>
      <c r="C100" s="2"/>
      <c r="D100" s="3"/>
      <c r="E100" s="4"/>
      <c r="F100" s="4"/>
      <c r="G100" s="5"/>
      <c r="H100" s="6"/>
      <c r="I100" s="6"/>
      <c r="J100" s="6"/>
      <c r="K100" s="7"/>
      <c r="L100" s="49"/>
      <c r="M100" s="2"/>
      <c r="N100" s="8" t="str">
        <f t="shared" si="4"/>
        <v/>
      </c>
      <c r="O100" s="9" t="str">
        <f t="shared" si="5"/>
        <v/>
      </c>
      <c r="P100" s="10" t="str">
        <f t="shared" si="6"/>
        <v/>
      </c>
      <c r="Q100" s="10" t="str">
        <f t="shared" si="7"/>
        <v/>
      </c>
    </row>
    <row r="101" spans="1:17" x14ac:dyDescent="0.3">
      <c r="A101" s="2"/>
      <c r="B101" s="2"/>
      <c r="C101" s="2"/>
      <c r="D101" s="3"/>
      <c r="E101" s="4"/>
      <c r="F101" s="4"/>
      <c r="G101" s="5"/>
      <c r="H101" s="6"/>
      <c r="I101" s="6"/>
      <c r="J101" s="6"/>
      <c r="K101" s="7"/>
      <c r="L101" s="49"/>
      <c r="M101" s="2"/>
      <c r="N101" s="8" t="str">
        <f t="shared" si="4"/>
        <v/>
      </c>
      <c r="O101" s="9" t="str">
        <f t="shared" si="5"/>
        <v/>
      </c>
      <c r="P101" s="10" t="str">
        <f t="shared" si="6"/>
        <v/>
      </c>
      <c r="Q101" s="10" t="str">
        <f t="shared" si="7"/>
        <v/>
      </c>
    </row>
    <row r="102" spans="1:17" x14ac:dyDescent="0.3">
      <c r="A102" s="2"/>
      <c r="B102" s="2"/>
      <c r="C102" s="2"/>
      <c r="D102" s="3"/>
      <c r="E102" s="4"/>
      <c r="F102" s="4"/>
      <c r="G102" s="5"/>
      <c r="H102" s="6"/>
      <c r="I102" s="6"/>
      <c r="J102" s="6"/>
      <c r="K102" s="7"/>
      <c r="L102" s="49"/>
      <c r="M102" s="2"/>
      <c r="N102" s="8" t="str">
        <f t="shared" si="4"/>
        <v/>
      </c>
      <c r="O102" s="9" t="str">
        <f t="shared" si="5"/>
        <v/>
      </c>
      <c r="P102" s="10" t="str">
        <f t="shared" si="6"/>
        <v/>
      </c>
      <c r="Q102" s="10" t="str">
        <f t="shared" si="7"/>
        <v/>
      </c>
    </row>
    <row r="103" spans="1:17" x14ac:dyDescent="0.3">
      <c r="A103" s="2"/>
      <c r="B103" s="2"/>
      <c r="C103" s="2"/>
      <c r="D103" s="3"/>
      <c r="E103" s="4"/>
      <c r="F103" s="4"/>
      <c r="G103" s="5"/>
      <c r="H103" s="6"/>
      <c r="I103" s="6"/>
      <c r="J103" s="6"/>
      <c r="K103" s="7"/>
      <c r="L103" s="49"/>
      <c r="M103" s="2"/>
      <c r="N103" s="8" t="str">
        <f t="shared" si="4"/>
        <v/>
      </c>
      <c r="O103" s="9" t="str">
        <f t="shared" si="5"/>
        <v/>
      </c>
      <c r="P103" s="10" t="str">
        <f t="shared" si="6"/>
        <v/>
      </c>
      <c r="Q103" s="10" t="str">
        <f t="shared" si="7"/>
        <v/>
      </c>
    </row>
    <row r="104" spans="1:17" x14ac:dyDescent="0.3">
      <c r="A104" s="2"/>
      <c r="B104" s="2"/>
      <c r="C104" s="2"/>
      <c r="D104" s="3"/>
      <c r="E104" s="4"/>
      <c r="F104" s="4"/>
      <c r="G104" s="5"/>
      <c r="H104" s="6"/>
      <c r="I104" s="6"/>
      <c r="J104" s="6"/>
      <c r="K104" s="7"/>
      <c r="L104" s="49"/>
      <c r="M104" s="2"/>
      <c r="N104" s="8" t="str">
        <f t="shared" si="4"/>
        <v/>
      </c>
      <c r="O104" s="9" t="str">
        <f t="shared" si="5"/>
        <v/>
      </c>
      <c r="P104" s="10" t="str">
        <f t="shared" si="6"/>
        <v/>
      </c>
      <c r="Q104" s="10" t="str">
        <f t="shared" si="7"/>
        <v/>
      </c>
    </row>
    <row r="105" spans="1:17" x14ac:dyDescent="0.3">
      <c r="A105" s="2"/>
      <c r="B105" s="2"/>
      <c r="C105" s="2"/>
      <c r="D105" s="3"/>
      <c r="E105" s="4"/>
      <c r="F105" s="4"/>
      <c r="G105" s="5"/>
      <c r="H105" s="6"/>
      <c r="I105" s="6"/>
      <c r="J105" s="6"/>
      <c r="K105" s="7"/>
      <c r="L105" s="49"/>
      <c r="M105" s="2"/>
      <c r="N105" s="8" t="str">
        <f t="shared" si="4"/>
        <v/>
      </c>
      <c r="O105" s="9" t="str">
        <f t="shared" si="5"/>
        <v/>
      </c>
      <c r="P105" s="10" t="str">
        <f t="shared" si="6"/>
        <v/>
      </c>
      <c r="Q105" s="10" t="str">
        <f t="shared" si="7"/>
        <v/>
      </c>
    </row>
    <row r="106" spans="1:17" x14ac:dyDescent="0.3">
      <c r="A106" s="2"/>
      <c r="B106" s="2"/>
      <c r="C106" s="2"/>
      <c r="D106" s="3"/>
      <c r="E106" s="4"/>
      <c r="F106" s="4"/>
      <c r="G106" s="5"/>
      <c r="H106" s="6"/>
      <c r="I106" s="6"/>
      <c r="J106" s="6"/>
      <c r="K106" s="7"/>
      <c r="L106" s="49"/>
      <c r="M106" s="2"/>
      <c r="N106" s="8" t="str">
        <f t="shared" si="4"/>
        <v/>
      </c>
      <c r="O106" s="9" t="str">
        <f t="shared" si="5"/>
        <v/>
      </c>
      <c r="P106" s="10" t="str">
        <f t="shared" si="6"/>
        <v/>
      </c>
      <c r="Q106" s="10" t="str">
        <f t="shared" si="7"/>
        <v/>
      </c>
    </row>
    <row r="107" spans="1:17" x14ac:dyDescent="0.3">
      <c r="A107" s="2"/>
      <c r="B107" s="2"/>
      <c r="C107" s="2"/>
      <c r="D107" s="3"/>
      <c r="E107" s="4"/>
      <c r="F107" s="4"/>
      <c r="G107" s="5"/>
      <c r="H107" s="6"/>
      <c r="I107" s="6"/>
      <c r="J107" s="6"/>
      <c r="K107" s="7"/>
      <c r="L107" s="49"/>
      <c r="M107" s="2"/>
      <c r="N107" s="8" t="str">
        <f t="shared" si="4"/>
        <v/>
      </c>
      <c r="O107" s="9" t="str">
        <f t="shared" si="5"/>
        <v/>
      </c>
      <c r="P107" s="10" t="str">
        <f t="shared" si="6"/>
        <v/>
      </c>
      <c r="Q107" s="10" t="str">
        <f t="shared" si="7"/>
        <v/>
      </c>
    </row>
    <row r="108" spans="1:17" x14ac:dyDescent="0.3">
      <c r="A108" s="2"/>
      <c r="B108" s="2"/>
      <c r="C108" s="2"/>
      <c r="D108" s="3"/>
      <c r="E108" s="4"/>
      <c r="F108" s="4"/>
      <c r="G108" s="5"/>
      <c r="H108" s="6"/>
      <c r="I108" s="6"/>
      <c r="J108" s="6"/>
      <c r="K108" s="7"/>
      <c r="L108" s="49"/>
      <c r="M108" s="2"/>
      <c r="N108" s="8" t="str">
        <f t="shared" si="4"/>
        <v/>
      </c>
      <c r="O108" s="9" t="str">
        <f t="shared" si="5"/>
        <v/>
      </c>
      <c r="P108" s="10" t="str">
        <f t="shared" si="6"/>
        <v/>
      </c>
      <c r="Q108" s="10" t="str">
        <f t="shared" si="7"/>
        <v/>
      </c>
    </row>
    <row r="109" spans="1:17" x14ac:dyDescent="0.3">
      <c r="A109" s="2"/>
      <c r="B109" s="2"/>
      <c r="C109" s="2"/>
      <c r="D109" s="3"/>
      <c r="E109" s="4"/>
      <c r="F109" s="4"/>
      <c r="G109" s="5"/>
      <c r="H109" s="6"/>
      <c r="I109" s="6"/>
      <c r="J109" s="6"/>
      <c r="K109" s="7"/>
      <c r="L109" s="49"/>
      <c r="M109" s="2"/>
      <c r="N109" s="8" t="str">
        <f t="shared" si="4"/>
        <v/>
      </c>
      <c r="O109" s="9" t="str">
        <f t="shared" si="5"/>
        <v/>
      </c>
      <c r="P109" s="10" t="str">
        <f t="shared" si="6"/>
        <v/>
      </c>
      <c r="Q109" s="10" t="str">
        <f t="shared" si="7"/>
        <v/>
      </c>
    </row>
    <row r="110" spans="1:17" x14ac:dyDescent="0.3">
      <c r="A110" s="2"/>
      <c r="B110" s="2"/>
      <c r="C110" s="2"/>
      <c r="D110" s="3"/>
      <c r="E110" s="4"/>
      <c r="F110" s="4"/>
      <c r="G110" s="5"/>
      <c r="H110" s="6"/>
      <c r="I110" s="6"/>
      <c r="J110" s="6"/>
      <c r="K110" s="7"/>
      <c r="L110" s="49"/>
      <c r="M110" s="2"/>
      <c r="N110" s="8" t="str">
        <f t="shared" si="4"/>
        <v/>
      </c>
      <c r="O110" s="9" t="str">
        <f t="shared" si="5"/>
        <v/>
      </c>
      <c r="P110" s="10" t="str">
        <f t="shared" si="6"/>
        <v/>
      </c>
      <c r="Q110" s="10" t="str">
        <f t="shared" si="7"/>
        <v/>
      </c>
    </row>
    <row r="111" spans="1:17" x14ac:dyDescent="0.3">
      <c r="A111" s="2"/>
      <c r="B111" s="2"/>
      <c r="C111" s="2"/>
      <c r="D111" s="3"/>
      <c r="E111" s="4"/>
      <c r="F111" s="4"/>
      <c r="G111" s="5"/>
      <c r="H111" s="6"/>
      <c r="I111" s="6"/>
      <c r="J111" s="6"/>
      <c r="K111" s="7"/>
      <c r="L111" s="49"/>
      <c r="M111" s="2"/>
      <c r="N111" s="8" t="str">
        <f t="shared" si="4"/>
        <v/>
      </c>
      <c r="O111" s="9" t="str">
        <f t="shared" si="5"/>
        <v/>
      </c>
      <c r="P111" s="10" t="str">
        <f t="shared" si="6"/>
        <v/>
      </c>
      <c r="Q111" s="10" t="str">
        <f t="shared" si="7"/>
        <v/>
      </c>
    </row>
    <row r="112" spans="1:17" x14ac:dyDescent="0.3">
      <c r="A112" s="2"/>
      <c r="B112" s="2"/>
      <c r="C112" s="2"/>
      <c r="D112" s="3"/>
      <c r="E112" s="4"/>
      <c r="F112" s="4"/>
      <c r="G112" s="5"/>
      <c r="H112" s="6"/>
      <c r="I112" s="6"/>
      <c r="J112" s="6"/>
      <c r="K112" s="7"/>
      <c r="L112" s="49"/>
      <c r="M112" s="2"/>
      <c r="N112" s="8" t="str">
        <f t="shared" si="4"/>
        <v/>
      </c>
      <c r="O112" s="9" t="str">
        <f t="shared" si="5"/>
        <v/>
      </c>
      <c r="P112" s="10" t="str">
        <f t="shared" si="6"/>
        <v/>
      </c>
      <c r="Q112" s="10" t="str">
        <f t="shared" si="7"/>
        <v/>
      </c>
    </row>
    <row r="113" spans="1:17" x14ac:dyDescent="0.3">
      <c r="A113" s="2"/>
      <c r="B113" s="2"/>
      <c r="C113" s="2"/>
      <c r="D113" s="3"/>
      <c r="E113" s="4"/>
      <c r="F113" s="4"/>
      <c r="G113" s="5"/>
      <c r="H113" s="6"/>
      <c r="I113" s="6"/>
      <c r="J113" s="6"/>
      <c r="K113" s="7"/>
      <c r="L113" s="49"/>
      <c r="M113" s="2"/>
      <c r="N113" s="8" t="str">
        <f t="shared" si="4"/>
        <v/>
      </c>
      <c r="O113" s="9" t="str">
        <f t="shared" si="5"/>
        <v/>
      </c>
      <c r="P113" s="10" t="str">
        <f t="shared" si="6"/>
        <v/>
      </c>
      <c r="Q113" s="10" t="str">
        <f t="shared" si="7"/>
        <v/>
      </c>
    </row>
    <row r="114" spans="1:17" x14ac:dyDescent="0.3">
      <c r="A114" s="2"/>
      <c r="B114" s="2"/>
      <c r="C114" s="2"/>
      <c r="D114" s="3"/>
      <c r="E114" s="4"/>
      <c r="F114" s="4"/>
      <c r="G114" s="5"/>
      <c r="H114" s="6"/>
      <c r="I114" s="6"/>
      <c r="J114" s="6"/>
      <c r="K114" s="7"/>
      <c r="L114" s="49"/>
      <c r="M114" s="2"/>
      <c r="N114" s="8" t="str">
        <f t="shared" si="4"/>
        <v/>
      </c>
      <c r="O114" s="9" t="str">
        <f t="shared" si="5"/>
        <v/>
      </c>
      <c r="P114" s="10" t="str">
        <f t="shared" si="6"/>
        <v/>
      </c>
      <c r="Q114" s="10" t="str">
        <f t="shared" si="7"/>
        <v/>
      </c>
    </row>
    <row r="115" spans="1:17" x14ac:dyDescent="0.3">
      <c r="A115" s="2"/>
      <c r="B115" s="2"/>
      <c r="C115" s="2"/>
      <c r="D115" s="3"/>
      <c r="E115" s="4"/>
      <c r="F115" s="4"/>
      <c r="G115" s="5"/>
      <c r="H115" s="6"/>
      <c r="I115" s="6"/>
      <c r="J115" s="6"/>
      <c r="K115" s="7"/>
      <c r="L115" s="49"/>
      <c r="M115" s="2"/>
      <c r="N115" s="8" t="str">
        <f t="shared" si="4"/>
        <v/>
      </c>
      <c r="O115" s="9" t="str">
        <f t="shared" si="5"/>
        <v/>
      </c>
      <c r="P115" s="10" t="str">
        <f t="shared" si="6"/>
        <v/>
      </c>
      <c r="Q115" s="10" t="str">
        <f t="shared" si="7"/>
        <v/>
      </c>
    </row>
    <row r="116" spans="1:17" x14ac:dyDescent="0.3">
      <c r="A116" s="2"/>
      <c r="B116" s="2"/>
      <c r="C116" s="2"/>
      <c r="D116" s="3"/>
      <c r="E116" s="4"/>
      <c r="F116" s="4"/>
      <c r="G116" s="5"/>
      <c r="H116" s="6"/>
      <c r="I116" s="6"/>
      <c r="J116" s="6"/>
      <c r="K116" s="7"/>
      <c r="L116" s="49"/>
      <c r="M116" s="2"/>
      <c r="N116" s="8" t="str">
        <f t="shared" si="4"/>
        <v/>
      </c>
      <c r="O116" s="9" t="str">
        <f t="shared" si="5"/>
        <v/>
      </c>
      <c r="P116" s="10" t="str">
        <f t="shared" si="6"/>
        <v/>
      </c>
      <c r="Q116" s="10" t="str">
        <f t="shared" si="7"/>
        <v/>
      </c>
    </row>
    <row r="117" spans="1:17" x14ac:dyDescent="0.3">
      <c r="A117" s="2"/>
      <c r="B117" s="2"/>
      <c r="C117" s="2"/>
      <c r="D117" s="3"/>
      <c r="E117" s="4"/>
      <c r="F117" s="4"/>
      <c r="G117" s="5"/>
      <c r="H117" s="6"/>
      <c r="I117" s="6"/>
      <c r="J117" s="6"/>
      <c r="K117" s="7"/>
      <c r="L117" s="49"/>
      <c r="M117" s="2"/>
      <c r="N117" s="8" t="str">
        <f t="shared" si="4"/>
        <v/>
      </c>
      <c r="O117" s="9" t="str">
        <f t="shared" si="5"/>
        <v/>
      </c>
      <c r="P117" s="10" t="str">
        <f t="shared" si="6"/>
        <v/>
      </c>
      <c r="Q117" s="10" t="str">
        <f t="shared" si="7"/>
        <v/>
      </c>
    </row>
    <row r="118" spans="1:17" x14ac:dyDescent="0.3">
      <c r="A118" s="2"/>
      <c r="B118" s="2"/>
      <c r="C118" s="2"/>
      <c r="D118" s="3"/>
      <c r="E118" s="4"/>
      <c r="F118" s="4"/>
      <c r="G118" s="5"/>
      <c r="H118" s="6"/>
      <c r="I118" s="6"/>
      <c r="J118" s="6"/>
      <c r="K118" s="7"/>
      <c r="L118" s="49"/>
      <c r="M118" s="2"/>
      <c r="N118" s="8" t="str">
        <f t="shared" si="4"/>
        <v/>
      </c>
      <c r="O118" s="9" t="str">
        <f t="shared" si="5"/>
        <v/>
      </c>
      <c r="P118" s="10" t="str">
        <f t="shared" si="6"/>
        <v/>
      </c>
      <c r="Q118" s="10" t="str">
        <f t="shared" si="7"/>
        <v/>
      </c>
    </row>
    <row r="119" spans="1:17" x14ac:dyDescent="0.3">
      <c r="A119" s="2"/>
      <c r="B119" s="2"/>
      <c r="C119" s="2"/>
      <c r="D119" s="3"/>
      <c r="E119" s="4"/>
      <c r="F119" s="4"/>
      <c r="G119" s="5"/>
      <c r="H119" s="6"/>
      <c r="I119" s="6"/>
      <c r="J119" s="6"/>
      <c r="K119" s="7"/>
      <c r="L119" s="49"/>
      <c r="M119" s="2"/>
      <c r="N119" s="8" t="str">
        <f t="shared" si="4"/>
        <v/>
      </c>
      <c r="O119" s="9" t="str">
        <f t="shared" si="5"/>
        <v/>
      </c>
      <c r="P119" s="10" t="str">
        <f t="shared" si="6"/>
        <v/>
      </c>
      <c r="Q119" s="10" t="str">
        <f t="shared" si="7"/>
        <v/>
      </c>
    </row>
    <row r="120" spans="1:17" x14ac:dyDescent="0.3">
      <c r="A120" s="2"/>
      <c r="B120" s="2"/>
      <c r="C120" s="2"/>
      <c r="D120" s="3"/>
      <c r="E120" s="4"/>
      <c r="F120" s="4"/>
      <c r="G120" s="5"/>
      <c r="H120" s="6"/>
      <c r="I120" s="6"/>
      <c r="J120" s="6"/>
      <c r="K120" s="7"/>
      <c r="L120" s="49"/>
      <c r="M120" s="2"/>
      <c r="N120" s="8" t="str">
        <f t="shared" si="4"/>
        <v/>
      </c>
      <c r="O120" s="9" t="str">
        <f t="shared" si="5"/>
        <v/>
      </c>
      <c r="P120" s="10" t="str">
        <f t="shared" si="6"/>
        <v/>
      </c>
      <c r="Q120" s="10" t="str">
        <f t="shared" si="7"/>
        <v/>
      </c>
    </row>
    <row r="121" spans="1:17" x14ac:dyDescent="0.3">
      <c r="A121" s="2"/>
      <c r="B121" s="2"/>
      <c r="C121" s="2"/>
      <c r="D121" s="3"/>
      <c r="E121" s="4"/>
      <c r="F121" s="4"/>
      <c r="G121" s="5"/>
      <c r="H121" s="6"/>
      <c r="I121" s="6"/>
      <c r="J121" s="6"/>
      <c r="K121" s="7"/>
      <c r="L121" s="49"/>
      <c r="M121" s="2"/>
      <c r="N121" s="8" t="str">
        <f t="shared" si="4"/>
        <v/>
      </c>
      <c r="O121" s="9" t="str">
        <f t="shared" si="5"/>
        <v/>
      </c>
      <c r="P121" s="10" t="str">
        <f t="shared" si="6"/>
        <v/>
      </c>
      <c r="Q121" s="10" t="str">
        <f t="shared" si="7"/>
        <v/>
      </c>
    </row>
    <row r="122" spans="1:17" x14ac:dyDescent="0.3">
      <c r="A122" s="2"/>
      <c r="B122" s="2"/>
      <c r="C122" s="2"/>
      <c r="D122" s="3"/>
      <c r="E122" s="4"/>
      <c r="F122" s="4"/>
      <c r="G122" s="5"/>
      <c r="H122" s="6"/>
      <c r="I122" s="6"/>
      <c r="J122" s="6"/>
      <c r="K122" s="7"/>
      <c r="L122" s="49"/>
      <c r="M122" s="2"/>
      <c r="N122" s="8" t="str">
        <f t="shared" si="4"/>
        <v/>
      </c>
      <c r="O122" s="9" t="str">
        <f t="shared" si="5"/>
        <v/>
      </c>
      <c r="P122" s="10" t="str">
        <f t="shared" si="6"/>
        <v/>
      </c>
      <c r="Q122" s="10" t="str">
        <f t="shared" si="7"/>
        <v/>
      </c>
    </row>
    <row r="123" spans="1:17" x14ac:dyDescent="0.3">
      <c r="A123" s="2"/>
      <c r="B123" s="2"/>
      <c r="C123" s="2"/>
      <c r="D123" s="3"/>
      <c r="E123" s="4"/>
      <c r="F123" s="4"/>
      <c r="G123" s="5"/>
      <c r="H123" s="6"/>
      <c r="I123" s="6"/>
      <c r="J123" s="6"/>
      <c r="K123" s="7"/>
      <c r="L123" s="49"/>
      <c r="M123" s="2"/>
      <c r="N123" s="8" t="str">
        <f t="shared" si="4"/>
        <v/>
      </c>
      <c r="O123" s="9" t="str">
        <f t="shared" si="5"/>
        <v/>
      </c>
      <c r="P123" s="10" t="str">
        <f t="shared" si="6"/>
        <v/>
      </c>
      <c r="Q123" s="10" t="str">
        <f t="shared" si="7"/>
        <v/>
      </c>
    </row>
    <row r="124" spans="1:17" x14ac:dyDescent="0.3">
      <c r="A124" s="2"/>
      <c r="B124" s="2"/>
      <c r="C124" s="2"/>
      <c r="D124" s="3"/>
      <c r="E124" s="4"/>
      <c r="F124" s="4"/>
      <c r="G124" s="5"/>
      <c r="H124" s="6"/>
      <c r="I124" s="6"/>
      <c r="J124" s="6"/>
      <c r="K124" s="7"/>
      <c r="L124" s="49"/>
      <c r="M124" s="2"/>
      <c r="N124" s="8" t="str">
        <f t="shared" si="4"/>
        <v/>
      </c>
      <c r="O124" s="9" t="str">
        <f t="shared" si="5"/>
        <v/>
      </c>
      <c r="P124" s="10" t="str">
        <f t="shared" si="6"/>
        <v/>
      </c>
      <c r="Q124" s="10" t="str">
        <f t="shared" si="7"/>
        <v/>
      </c>
    </row>
    <row r="125" spans="1:17" x14ac:dyDescent="0.3">
      <c r="A125" s="2"/>
      <c r="B125" s="2"/>
      <c r="C125" s="2"/>
      <c r="D125" s="3"/>
      <c r="E125" s="4"/>
      <c r="F125" s="4"/>
      <c r="G125" s="5"/>
      <c r="H125" s="6"/>
      <c r="I125" s="6"/>
      <c r="J125" s="6"/>
      <c r="K125" s="7"/>
      <c r="L125" s="49"/>
      <c r="M125" s="2"/>
      <c r="N125" s="8" t="str">
        <f t="shared" si="4"/>
        <v/>
      </c>
      <c r="O125" s="9" t="str">
        <f t="shared" si="5"/>
        <v/>
      </c>
      <c r="P125" s="10" t="str">
        <f t="shared" si="6"/>
        <v/>
      </c>
      <c r="Q125" s="10" t="str">
        <f t="shared" si="7"/>
        <v/>
      </c>
    </row>
    <row r="126" spans="1:17" x14ac:dyDescent="0.3">
      <c r="A126" s="2"/>
      <c r="B126" s="2"/>
      <c r="C126" s="2"/>
      <c r="D126" s="3"/>
      <c r="E126" s="4"/>
      <c r="F126" s="4"/>
      <c r="G126" s="5"/>
      <c r="H126" s="6"/>
      <c r="I126" s="6"/>
      <c r="J126" s="6"/>
      <c r="K126" s="7"/>
      <c r="L126" s="49"/>
      <c r="M126" s="2"/>
      <c r="N126" s="8" t="str">
        <f t="shared" si="4"/>
        <v/>
      </c>
      <c r="O126" s="9" t="str">
        <f t="shared" si="5"/>
        <v/>
      </c>
      <c r="P126" s="10" t="str">
        <f t="shared" si="6"/>
        <v/>
      </c>
      <c r="Q126" s="10" t="str">
        <f t="shared" si="7"/>
        <v/>
      </c>
    </row>
    <row r="127" spans="1:17" x14ac:dyDescent="0.3">
      <c r="A127" s="2"/>
      <c r="B127" s="2"/>
      <c r="C127" s="2"/>
      <c r="D127" s="3"/>
      <c r="E127" s="4"/>
      <c r="F127" s="4"/>
      <c r="G127" s="5"/>
      <c r="H127" s="6"/>
      <c r="I127" s="6"/>
      <c r="J127" s="6"/>
      <c r="K127" s="7"/>
      <c r="L127" s="49"/>
      <c r="M127" s="2"/>
      <c r="N127" s="8" t="str">
        <f t="shared" si="4"/>
        <v/>
      </c>
      <c r="O127" s="9" t="str">
        <f t="shared" si="5"/>
        <v/>
      </c>
      <c r="P127" s="10" t="str">
        <f t="shared" si="6"/>
        <v/>
      </c>
      <c r="Q127" s="10" t="str">
        <f t="shared" si="7"/>
        <v/>
      </c>
    </row>
    <row r="128" spans="1:17" x14ac:dyDescent="0.3">
      <c r="A128" s="2"/>
      <c r="B128" s="2"/>
      <c r="C128" s="2"/>
      <c r="D128" s="3"/>
      <c r="E128" s="4"/>
      <c r="F128" s="4"/>
      <c r="G128" s="5"/>
      <c r="H128" s="6"/>
      <c r="I128" s="6"/>
      <c r="J128" s="6"/>
      <c r="K128" s="7"/>
      <c r="L128" s="49"/>
      <c r="M128" s="2"/>
      <c r="N128" s="8" t="str">
        <f t="shared" si="4"/>
        <v/>
      </c>
      <c r="O128" s="9" t="str">
        <f t="shared" si="5"/>
        <v/>
      </c>
      <c r="P128" s="10" t="str">
        <f t="shared" si="6"/>
        <v/>
      </c>
      <c r="Q128" s="10" t="str">
        <f t="shared" si="7"/>
        <v/>
      </c>
    </row>
    <row r="129" spans="1:17" x14ac:dyDescent="0.3">
      <c r="A129" s="2"/>
      <c r="B129" s="2"/>
      <c r="C129" s="2"/>
      <c r="D129" s="3"/>
      <c r="E129" s="4"/>
      <c r="F129" s="4"/>
      <c r="G129" s="5"/>
      <c r="H129" s="6"/>
      <c r="I129" s="6"/>
      <c r="J129" s="6"/>
      <c r="K129" s="7"/>
      <c r="L129" s="49"/>
      <c r="M129" s="2"/>
      <c r="N129" s="8" t="str">
        <f t="shared" si="4"/>
        <v/>
      </c>
      <c r="O129" s="9" t="str">
        <f t="shared" si="5"/>
        <v/>
      </c>
      <c r="P129" s="10" t="str">
        <f t="shared" si="6"/>
        <v/>
      </c>
      <c r="Q129" s="10" t="str">
        <f t="shared" si="7"/>
        <v/>
      </c>
    </row>
    <row r="130" spans="1:17" x14ac:dyDescent="0.3">
      <c r="A130" s="2"/>
      <c r="B130" s="2"/>
      <c r="C130" s="2"/>
      <c r="D130" s="3"/>
      <c r="E130" s="4"/>
      <c r="F130" s="4"/>
      <c r="G130" s="5"/>
      <c r="H130" s="6"/>
      <c r="I130" s="6"/>
      <c r="J130" s="6"/>
      <c r="K130" s="7"/>
      <c r="L130" s="49"/>
      <c r="M130" s="2"/>
      <c r="N130" s="8" t="str">
        <f t="shared" si="4"/>
        <v/>
      </c>
      <c r="O130" s="9" t="str">
        <f t="shared" si="5"/>
        <v/>
      </c>
      <c r="P130" s="10" t="str">
        <f t="shared" si="6"/>
        <v/>
      </c>
      <c r="Q130" s="10" t="str">
        <f t="shared" si="7"/>
        <v/>
      </c>
    </row>
    <row r="131" spans="1:17" x14ac:dyDescent="0.3">
      <c r="A131" s="2"/>
      <c r="B131" s="2"/>
      <c r="C131" s="2"/>
      <c r="D131" s="3"/>
      <c r="E131" s="4"/>
      <c r="F131" s="4"/>
      <c r="G131" s="5"/>
      <c r="H131" s="6"/>
      <c r="I131" s="6"/>
      <c r="J131" s="6"/>
      <c r="K131" s="7"/>
      <c r="L131" s="49"/>
      <c r="M131" s="2"/>
      <c r="N131" s="8" t="str">
        <f t="shared" si="4"/>
        <v/>
      </c>
      <c r="O131" s="9" t="str">
        <f t="shared" si="5"/>
        <v/>
      </c>
      <c r="P131" s="10" t="str">
        <f t="shared" si="6"/>
        <v/>
      </c>
      <c r="Q131" s="10" t="str">
        <f t="shared" si="7"/>
        <v/>
      </c>
    </row>
    <row r="132" spans="1:17" x14ac:dyDescent="0.3">
      <c r="A132" s="2"/>
      <c r="B132" s="2"/>
      <c r="C132" s="2"/>
      <c r="D132" s="3"/>
      <c r="E132" s="4"/>
      <c r="F132" s="4"/>
      <c r="G132" s="5"/>
      <c r="H132" s="6"/>
      <c r="I132" s="6"/>
      <c r="J132" s="6"/>
      <c r="K132" s="7"/>
      <c r="L132" s="49"/>
      <c r="M132" s="2"/>
      <c r="N132" s="8" t="str">
        <f t="shared" si="4"/>
        <v/>
      </c>
      <c r="O132" s="9" t="str">
        <f t="shared" si="5"/>
        <v/>
      </c>
      <c r="P132" s="10" t="str">
        <f t="shared" si="6"/>
        <v/>
      </c>
      <c r="Q132" s="10" t="str">
        <f t="shared" si="7"/>
        <v/>
      </c>
    </row>
    <row r="133" spans="1:17" x14ac:dyDescent="0.3">
      <c r="A133" s="2"/>
      <c r="B133" s="2"/>
      <c r="C133" s="2"/>
      <c r="D133" s="3"/>
      <c r="E133" s="4"/>
      <c r="F133" s="4"/>
      <c r="G133" s="5"/>
      <c r="H133" s="6"/>
      <c r="I133" s="6"/>
      <c r="J133" s="6"/>
      <c r="K133" s="7"/>
      <c r="L133" s="49"/>
      <c r="M133" s="2"/>
      <c r="N133" s="8" t="str">
        <f t="shared" si="4"/>
        <v/>
      </c>
      <c r="O133" s="9" t="str">
        <f t="shared" si="5"/>
        <v/>
      </c>
      <c r="P133" s="10" t="str">
        <f t="shared" si="6"/>
        <v/>
      </c>
      <c r="Q133" s="10" t="str">
        <f t="shared" si="7"/>
        <v/>
      </c>
    </row>
    <row r="134" spans="1:17" x14ac:dyDescent="0.3">
      <c r="A134" s="2"/>
      <c r="B134" s="2"/>
      <c r="C134" s="2"/>
      <c r="D134" s="3"/>
      <c r="E134" s="4"/>
      <c r="F134" s="4"/>
      <c r="G134" s="5"/>
      <c r="H134" s="6"/>
      <c r="I134" s="6"/>
      <c r="J134" s="6"/>
      <c r="K134" s="7"/>
      <c r="L134" s="49"/>
      <c r="M134" s="2"/>
      <c r="N134" s="8" t="str">
        <f t="shared" si="4"/>
        <v/>
      </c>
      <c r="O134" s="9" t="str">
        <f t="shared" si="5"/>
        <v/>
      </c>
      <c r="P134" s="10" t="str">
        <f t="shared" si="6"/>
        <v/>
      </c>
      <c r="Q134" s="10" t="str">
        <f t="shared" si="7"/>
        <v/>
      </c>
    </row>
    <row r="135" spans="1:17" x14ac:dyDescent="0.3">
      <c r="A135" s="2"/>
      <c r="B135" s="2"/>
      <c r="C135" s="2"/>
      <c r="D135" s="3"/>
      <c r="E135" s="4"/>
      <c r="F135" s="4"/>
      <c r="G135" s="5"/>
      <c r="H135" s="6"/>
      <c r="I135" s="6"/>
      <c r="J135" s="6"/>
      <c r="K135" s="7"/>
      <c r="L135" s="49"/>
      <c r="M135" s="2"/>
      <c r="N135" s="8" t="str">
        <f t="shared" ref="N135:N198" si="8">IF($D135="","",$D135*N($E135))</f>
        <v/>
      </c>
      <c r="O135" s="9" t="str">
        <f t="shared" ref="O135:O198" si="9">IF($D135="","",$D135*N($F135))</f>
        <v/>
      </c>
      <c r="P135" s="10" t="str">
        <f t="shared" ref="P135:P198" si="10">IF($D135="","",IF(N($K135)&gt;0,$K135,IF(AND(N($G135)&gt;0,N($H135)&gt;0,N($I135)&gt;0,N($J135)&gt;0),$H135*$I135*$J135/1000000/$G135,0)))</f>
        <v/>
      </c>
      <c r="Q135" s="10" t="str">
        <f t="shared" ref="Q135:Q198" si="11">IF($D135="","",$D135*$P135)</f>
        <v/>
      </c>
    </row>
    <row r="136" spans="1:17" x14ac:dyDescent="0.3">
      <c r="A136" s="2"/>
      <c r="B136" s="2"/>
      <c r="C136" s="2"/>
      <c r="D136" s="3"/>
      <c r="E136" s="4"/>
      <c r="F136" s="4"/>
      <c r="G136" s="5"/>
      <c r="H136" s="6"/>
      <c r="I136" s="6"/>
      <c r="J136" s="6"/>
      <c r="K136" s="7"/>
      <c r="L136" s="49"/>
      <c r="M136" s="2"/>
      <c r="N136" s="8" t="str">
        <f t="shared" si="8"/>
        <v/>
      </c>
      <c r="O136" s="9" t="str">
        <f t="shared" si="9"/>
        <v/>
      </c>
      <c r="P136" s="10" t="str">
        <f t="shared" si="10"/>
        <v/>
      </c>
      <c r="Q136" s="10" t="str">
        <f t="shared" si="11"/>
        <v/>
      </c>
    </row>
    <row r="137" spans="1:17" x14ac:dyDescent="0.3">
      <c r="A137" s="2"/>
      <c r="B137" s="2"/>
      <c r="C137" s="2"/>
      <c r="D137" s="3"/>
      <c r="E137" s="4"/>
      <c r="F137" s="4"/>
      <c r="G137" s="5"/>
      <c r="H137" s="6"/>
      <c r="I137" s="6"/>
      <c r="J137" s="6"/>
      <c r="K137" s="7"/>
      <c r="L137" s="49"/>
      <c r="M137" s="2"/>
      <c r="N137" s="8" t="str">
        <f t="shared" si="8"/>
        <v/>
      </c>
      <c r="O137" s="9" t="str">
        <f t="shared" si="9"/>
        <v/>
      </c>
      <c r="P137" s="10" t="str">
        <f t="shared" si="10"/>
        <v/>
      </c>
      <c r="Q137" s="10" t="str">
        <f t="shared" si="11"/>
        <v/>
      </c>
    </row>
    <row r="138" spans="1:17" x14ac:dyDescent="0.3">
      <c r="A138" s="2"/>
      <c r="B138" s="2"/>
      <c r="C138" s="2"/>
      <c r="D138" s="3"/>
      <c r="E138" s="4"/>
      <c r="F138" s="4"/>
      <c r="G138" s="5"/>
      <c r="H138" s="6"/>
      <c r="I138" s="6"/>
      <c r="J138" s="6"/>
      <c r="K138" s="7"/>
      <c r="L138" s="49"/>
      <c r="M138" s="2"/>
      <c r="N138" s="8" t="str">
        <f t="shared" si="8"/>
        <v/>
      </c>
      <c r="O138" s="9" t="str">
        <f t="shared" si="9"/>
        <v/>
      </c>
      <c r="P138" s="10" t="str">
        <f t="shared" si="10"/>
        <v/>
      </c>
      <c r="Q138" s="10" t="str">
        <f t="shared" si="11"/>
        <v/>
      </c>
    </row>
    <row r="139" spans="1:17" x14ac:dyDescent="0.3">
      <c r="A139" s="2"/>
      <c r="B139" s="2"/>
      <c r="C139" s="2"/>
      <c r="D139" s="3"/>
      <c r="E139" s="4"/>
      <c r="F139" s="4"/>
      <c r="G139" s="5"/>
      <c r="H139" s="6"/>
      <c r="I139" s="6"/>
      <c r="J139" s="6"/>
      <c r="K139" s="7"/>
      <c r="L139" s="49"/>
      <c r="M139" s="2"/>
      <c r="N139" s="8" t="str">
        <f t="shared" si="8"/>
        <v/>
      </c>
      <c r="O139" s="9" t="str">
        <f t="shared" si="9"/>
        <v/>
      </c>
      <c r="P139" s="10" t="str">
        <f t="shared" si="10"/>
        <v/>
      </c>
      <c r="Q139" s="10" t="str">
        <f t="shared" si="11"/>
        <v/>
      </c>
    </row>
    <row r="140" spans="1:17" x14ac:dyDescent="0.3">
      <c r="A140" s="2"/>
      <c r="B140" s="2"/>
      <c r="C140" s="2"/>
      <c r="D140" s="3"/>
      <c r="E140" s="4"/>
      <c r="F140" s="4"/>
      <c r="G140" s="5"/>
      <c r="H140" s="6"/>
      <c r="I140" s="6"/>
      <c r="J140" s="6"/>
      <c r="K140" s="7"/>
      <c r="L140" s="49"/>
      <c r="M140" s="2"/>
      <c r="N140" s="8" t="str">
        <f t="shared" si="8"/>
        <v/>
      </c>
      <c r="O140" s="9" t="str">
        <f t="shared" si="9"/>
        <v/>
      </c>
      <c r="P140" s="10" t="str">
        <f t="shared" si="10"/>
        <v/>
      </c>
      <c r="Q140" s="10" t="str">
        <f t="shared" si="11"/>
        <v/>
      </c>
    </row>
    <row r="141" spans="1:17" x14ac:dyDescent="0.3">
      <c r="A141" s="2"/>
      <c r="B141" s="2"/>
      <c r="C141" s="2"/>
      <c r="D141" s="3"/>
      <c r="E141" s="4"/>
      <c r="F141" s="4"/>
      <c r="G141" s="5"/>
      <c r="H141" s="6"/>
      <c r="I141" s="6"/>
      <c r="J141" s="6"/>
      <c r="K141" s="7"/>
      <c r="L141" s="49"/>
      <c r="M141" s="2"/>
      <c r="N141" s="8" t="str">
        <f t="shared" si="8"/>
        <v/>
      </c>
      <c r="O141" s="9" t="str">
        <f t="shared" si="9"/>
        <v/>
      </c>
      <c r="P141" s="10" t="str">
        <f t="shared" si="10"/>
        <v/>
      </c>
      <c r="Q141" s="10" t="str">
        <f t="shared" si="11"/>
        <v/>
      </c>
    </row>
    <row r="142" spans="1:17" x14ac:dyDescent="0.3">
      <c r="A142" s="2"/>
      <c r="B142" s="2"/>
      <c r="C142" s="2"/>
      <c r="D142" s="3"/>
      <c r="E142" s="4"/>
      <c r="F142" s="4"/>
      <c r="G142" s="5"/>
      <c r="H142" s="6"/>
      <c r="I142" s="6"/>
      <c r="J142" s="6"/>
      <c r="K142" s="7"/>
      <c r="L142" s="49"/>
      <c r="M142" s="2"/>
      <c r="N142" s="8" t="str">
        <f t="shared" si="8"/>
        <v/>
      </c>
      <c r="O142" s="9" t="str">
        <f t="shared" si="9"/>
        <v/>
      </c>
      <c r="P142" s="10" t="str">
        <f t="shared" si="10"/>
        <v/>
      </c>
      <c r="Q142" s="10" t="str">
        <f t="shared" si="11"/>
        <v/>
      </c>
    </row>
    <row r="143" spans="1:17" x14ac:dyDescent="0.3">
      <c r="A143" s="2"/>
      <c r="B143" s="2"/>
      <c r="C143" s="2"/>
      <c r="D143" s="3"/>
      <c r="E143" s="4"/>
      <c r="F143" s="4"/>
      <c r="G143" s="5"/>
      <c r="H143" s="6"/>
      <c r="I143" s="6"/>
      <c r="J143" s="6"/>
      <c r="K143" s="7"/>
      <c r="L143" s="49"/>
      <c r="M143" s="2"/>
      <c r="N143" s="8" t="str">
        <f t="shared" si="8"/>
        <v/>
      </c>
      <c r="O143" s="9" t="str">
        <f t="shared" si="9"/>
        <v/>
      </c>
      <c r="P143" s="10" t="str">
        <f t="shared" si="10"/>
        <v/>
      </c>
      <c r="Q143" s="10" t="str">
        <f t="shared" si="11"/>
        <v/>
      </c>
    </row>
    <row r="144" spans="1:17" x14ac:dyDescent="0.3">
      <c r="A144" s="2"/>
      <c r="B144" s="2"/>
      <c r="C144" s="2"/>
      <c r="D144" s="3"/>
      <c r="E144" s="4"/>
      <c r="F144" s="4"/>
      <c r="G144" s="5"/>
      <c r="H144" s="6"/>
      <c r="I144" s="6"/>
      <c r="J144" s="6"/>
      <c r="K144" s="7"/>
      <c r="L144" s="49"/>
      <c r="M144" s="2"/>
      <c r="N144" s="8" t="str">
        <f t="shared" si="8"/>
        <v/>
      </c>
      <c r="O144" s="9" t="str">
        <f t="shared" si="9"/>
        <v/>
      </c>
      <c r="P144" s="10" t="str">
        <f t="shared" si="10"/>
        <v/>
      </c>
      <c r="Q144" s="10" t="str">
        <f t="shared" si="11"/>
        <v/>
      </c>
    </row>
    <row r="145" spans="1:17" x14ac:dyDescent="0.3">
      <c r="A145" s="2"/>
      <c r="B145" s="2"/>
      <c r="C145" s="2"/>
      <c r="D145" s="3"/>
      <c r="E145" s="4"/>
      <c r="F145" s="4"/>
      <c r="G145" s="5"/>
      <c r="H145" s="6"/>
      <c r="I145" s="6"/>
      <c r="J145" s="6"/>
      <c r="K145" s="7"/>
      <c r="L145" s="49"/>
      <c r="M145" s="2"/>
      <c r="N145" s="8" t="str">
        <f t="shared" si="8"/>
        <v/>
      </c>
      <c r="O145" s="9" t="str">
        <f t="shared" si="9"/>
        <v/>
      </c>
      <c r="P145" s="10" t="str">
        <f t="shared" si="10"/>
        <v/>
      </c>
      <c r="Q145" s="10" t="str">
        <f t="shared" si="11"/>
        <v/>
      </c>
    </row>
    <row r="146" spans="1:17" x14ac:dyDescent="0.3">
      <c r="A146" s="2"/>
      <c r="B146" s="2"/>
      <c r="C146" s="2"/>
      <c r="D146" s="3"/>
      <c r="E146" s="4"/>
      <c r="F146" s="4"/>
      <c r="G146" s="5"/>
      <c r="H146" s="6"/>
      <c r="I146" s="6"/>
      <c r="J146" s="6"/>
      <c r="K146" s="7"/>
      <c r="L146" s="49"/>
      <c r="M146" s="2"/>
      <c r="N146" s="8" t="str">
        <f t="shared" si="8"/>
        <v/>
      </c>
      <c r="O146" s="9" t="str">
        <f t="shared" si="9"/>
        <v/>
      </c>
      <c r="P146" s="10" t="str">
        <f t="shared" si="10"/>
        <v/>
      </c>
      <c r="Q146" s="10" t="str">
        <f t="shared" si="11"/>
        <v/>
      </c>
    </row>
    <row r="147" spans="1:17" x14ac:dyDescent="0.3">
      <c r="A147" s="2"/>
      <c r="B147" s="2"/>
      <c r="C147" s="2"/>
      <c r="D147" s="3"/>
      <c r="E147" s="4"/>
      <c r="F147" s="4"/>
      <c r="G147" s="5"/>
      <c r="H147" s="6"/>
      <c r="I147" s="6"/>
      <c r="J147" s="6"/>
      <c r="K147" s="7"/>
      <c r="L147" s="49"/>
      <c r="M147" s="2"/>
      <c r="N147" s="8" t="str">
        <f t="shared" si="8"/>
        <v/>
      </c>
      <c r="O147" s="9" t="str">
        <f t="shared" si="9"/>
        <v/>
      </c>
      <c r="P147" s="10" t="str">
        <f t="shared" si="10"/>
        <v/>
      </c>
      <c r="Q147" s="10" t="str">
        <f t="shared" si="11"/>
        <v/>
      </c>
    </row>
    <row r="148" spans="1:17" x14ac:dyDescent="0.3">
      <c r="A148" s="2"/>
      <c r="B148" s="2"/>
      <c r="C148" s="2"/>
      <c r="D148" s="3"/>
      <c r="E148" s="4"/>
      <c r="F148" s="4"/>
      <c r="G148" s="5"/>
      <c r="H148" s="6"/>
      <c r="I148" s="6"/>
      <c r="J148" s="6"/>
      <c r="K148" s="7"/>
      <c r="L148" s="49"/>
      <c r="M148" s="2"/>
      <c r="N148" s="8" t="str">
        <f t="shared" si="8"/>
        <v/>
      </c>
      <c r="O148" s="9" t="str">
        <f t="shared" si="9"/>
        <v/>
      </c>
      <c r="P148" s="10" t="str">
        <f t="shared" si="10"/>
        <v/>
      </c>
      <c r="Q148" s="10" t="str">
        <f t="shared" si="11"/>
        <v/>
      </c>
    </row>
    <row r="149" spans="1:17" x14ac:dyDescent="0.3">
      <c r="A149" s="2"/>
      <c r="B149" s="2"/>
      <c r="C149" s="2"/>
      <c r="D149" s="3"/>
      <c r="E149" s="4"/>
      <c r="F149" s="4"/>
      <c r="G149" s="5"/>
      <c r="H149" s="6"/>
      <c r="I149" s="6"/>
      <c r="J149" s="6"/>
      <c r="K149" s="7"/>
      <c r="L149" s="49"/>
      <c r="M149" s="2"/>
      <c r="N149" s="8" t="str">
        <f t="shared" si="8"/>
        <v/>
      </c>
      <c r="O149" s="9" t="str">
        <f t="shared" si="9"/>
        <v/>
      </c>
      <c r="P149" s="10" t="str">
        <f t="shared" si="10"/>
        <v/>
      </c>
      <c r="Q149" s="10" t="str">
        <f t="shared" si="11"/>
        <v/>
      </c>
    </row>
    <row r="150" spans="1:17" x14ac:dyDescent="0.3">
      <c r="A150" s="2"/>
      <c r="B150" s="2"/>
      <c r="C150" s="2"/>
      <c r="D150" s="3"/>
      <c r="E150" s="4"/>
      <c r="F150" s="4"/>
      <c r="G150" s="5"/>
      <c r="H150" s="6"/>
      <c r="I150" s="6"/>
      <c r="J150" s="6"/>
      <c r="K150" s="7"/>
      <c r="L150" s="49"/>
      <c r="M150" s="2"/>
      <c r="N150" s="8" t="str">
        <f t="shared" si="8"/>
        <v/>
      </c>
      <c r="O150" s="9" t="str">
        <f t="shared" si="9"/>
        <v/>
      </c>
      <c r="P150" s="10" t="str">
        <f t="shared" si="10"/>
        <v/>
      </c>
      <c r="Q150" s="10" t="str">
        <f t="shared" si="11"/>
        <v/>
      </c>
    </row>
    <row r="151" spans="1:17" x14ac:dyDescent="0.3">
      <c r="A151" s="2"/>
      <c r="B151" s="2"/>
      <c r="C151" s="2"/>
      <c r="D151" s="3"/>
      <c r="E151" s="4"/>
      <c r="F151" s="4"/>
      <c r="G151" s="5"/>
      <c r="H151" s="6"/>
      <c r="I151" s="6"/>
      <c r="J151" s="6"/>
      <c r="K151" s="7"/>
      <c r="L151" s="49"/>
      <c r="M151" s="2"/>
      <c r="N151" s="8" t="str">
        <f t="shared" si="8"/>
        <v/>
      </c>
      <c r="O151" s="9" t="str">
        <f t="shared" si="9"/>
        <v/>
      </c>
      <c r="P151" s="10" t="str">
        <f t="shared" si="10"/>
        <v/>
      </c>
      <c r="Q151" s="10" t="str">
        <f t="shared" si="11"/>
        <v/>
      </c>
    </row>
    <row r="152" spans="1:17" x14ac:dyDescent="0.3">
      <c r="A152" s="2"/>
      <c r="B152" s="2"/>
      <c r="C152" s="2"/>
      <c r="D152" s="3"/>
      <c r="E152" s="4"/>
      <c r="F152" s="4"/>
      <c r="G152" s="5"/>
      <c r="H152" s="6"/>
      <c r="I152" s="6"/>
      <c r="J152" s="6"/>
      <c r="K152" s="7"/>
      <c r="L152" s="49"/>
      <c r="M152" s="2"/>
      <c r="N152" s="8" t="str">
        <f t="shared" si="8"/>
        <v/>
      </c>
      <c r="O152" s="9" t="str">
        <f t="shared" si="9"/>
        <v/>
      </c>
      <c r="P152" s="10" t="str">
        <f t="shared" si="10"/>
        <v/>
      </c>
      <c r="Q152" s="10" t="str">
        <f t="shared" si="11"/>
        <v/>
      </c>
    </row>
    <row r="153" spans="1:17" x14ac:dyDescent="0.3">
      <c r="A153" s="2"/>
      <c r="B153" s="2"/>
      <c r="C153" s="2"/>
      <c r="D153" s="3"/>
      <c r="E153" s="4"/>
      <c r="F153" s="4"/>
      <c r="G153" s="5"/>
      <c r="H153" s="6"/>
      <c r="I153" s="6"/>
      <c r="J153" s="6"/>
      <c r="K153" s="7"/>
      <c r="L153" s="49"/>
      <c r="M153" s="2"/>
      <c r="N153" s="8" t="str">
        <f t="shared" si="8"/>
        <v/>
      </c>
      <c r="O153" s="9" t="str">
        <f t="shared" si="9"/>
        <v/>
      </c>
      <c r="P153" s="10" t="str">
        <f t="shared" si="10"/>
        <v/>
      </c>
      <c r="Q153" s="10" t="str">
        <f t="shared" si="11"/>
        <v/>
      </c>
    </row>
    <row r="154" spans="1:17" x14ac:dyDescent="0.3">
      <c r="A154" s="2"/>
      <c r="B154" s="2"/>
      <c r="C154" s="2"/>
      <c r="D154" s="3"/>
      <c r="E154" s="4"/>
      <c r="F154" s="4"/>
      <c r="G154" s="5"/>
      <c r="H154" s="6"/>
      <c r="I154" s="6"/>
      <c r="J154" s="6"/>
      <c r="K154" s="7"/>
      <c r="L154" s="49"/>
      <c r="M154" s="2"/>
      <c r="N154" s="8" t="str">
        <f t="shared" si="8"/>
        <v/>
      </c>
      <c r="O154" s="9" t="str">
        <f t="shared" si="9"/>
        <v/>
      </c>
      <c r="P154" s="10" t="str">
        <f t="shared" si="10"/>
        <v/>
      </c>
      <c r="Q154" s="10" t="str">
        <f t="shared" si="11"/>
        <v/>
      </c>
    </row>
    <row r="155" spans="1:17" x14ac:dyDescent="0.3">
      <c r="A155" s="2"/>
      <c r="B155" s="2"/>
      <c r="C155" s="2"/>
      <c r="D155" s="3"/>
      <c r="E155" s="4"/>
      <c r="F155" s="4"/>
      <c r="G155" s="5"/>
      <c r="H155" s="6"/>
      <c r="I155" s="6"/>
      <c r="J155" s="6"/>
      <c r="K155" s="7"/>
      <c r="L155" s="49"/>
      <c r="M155" s="2"/>
      <c r="N155" s="8" t="str">
        <f t="shared" si="8"/>
        <v/>
      </c>
      <c r="O155" s="9" t="str">
        <f t="shared" si="9"/>
        <v/>
      </c>
      <c r="P155" s="10" t="str">
        <f t="shared" si="10"/>
        <v/>
      </c>
      <c r="Q155" s="10" t="str">
        <f t="shared" si="11"/>
        <v/>
      </c>
    </row>
    <row r="156" spans="1:17" x14ac:dyDescent="0.3">
      <c r="A156" s="2"/>
      <c r="B156" s="2"/>
      <c r="C156" s="2"/>
      <c r="D156" s="3"/>
      <c r="E156" s="4"/>
      <c r="F156" s="4"/>
      <c r="G156" s="5"/>
      <c r="H156" s="6"/>
      <c r="I156" s="6"/>
      <c r="J156" s="6"/>
      <c r="K156" s="7"/>
      <c r="L156" s="49"/>
      <c r="M156" s="2"/>
      <c r="N156" s="8" t="str">
        <f t="shared" si="8"/>
        <v/>
      </c>
      <c r="O156" s="9" t="str">
        <f t="shared" si="9"/>
        <v/>
      </c>
      <c r="P156" s="10" t="str">
        <f t="shared" si="10"/>
        <v/>
      </c>
      <c r="Q156" s="10" t="str">
        <f t="shared" si="11"/>
        <v/>
      </c>
    </row>
    <row r="157" spans="1:17" x14ac:dyDescent="0.3">
      <c r="A157" s="2"/>
      <c r="B157" s="2"/>
      <c r="C157" s="2"/>
      <c r="D157" s="3"/>
      <c r="E157" s="4"/>
      <c r="F157" s="4"/>
      <c r="G157" s="5"/>
      <c r="H157" s="6"/>
      <c r="I157" s="6"/>
      <c r="J157" s="6"/>
      <c r="K157" s="7"/>
      <c r="L157" s="49"/>
      <c r="M157" s="2"/>
      <c r="N157" s="8" t="str">
        <f t="shared" si="8"/>
        <v/>
      </c>
      <c r="O157" s="9" t="str">
        <f t="shared" si="9"/>
        <v/>
      </c>
      <c r="P157" s="10" t="str">
        <f t="shared" si="10"/>
        <v/>
      </c>
      <c r="Q157" s="10" t="str">
        <f t="shared" si="11"/>
        <v/>
      </c>
    </row>
    <row r="158" spans="1:17" x14ac:dyDescent="0.3">
      <c r="A158" s="2"/>
      <c r="B158" s="2"/>
      <c r="C158" s="2"/>
      <c r="D158" s="3"/>
      <c r="E158" s="4"/>
      <c r="F158" s="4"/>
      <c r="G158" s="5"/>
      <c r="H158" s="6"/>
      <c r="I158" s="6"/>
      <c r="J158" s="6"/>
      <c r="K158" s="7"/>
      <c r="L158" s="49"/>
      <c r="M158" s="2"/>
      <c r="N158" s="8" t="str">
        <f t="shared" si="8"/>
        <v/>
      </c>
      <c r="O158" s="9" t="str">
        <f t="shared" si="9"/>
        <v/>
      </c>
      <c r="P158" s="10" t="str">
        <f t="shared" si="10"/>
        <v/>
      </c>
      <c r="Q158" s="10" t="str">
        <f t="shared" si="11"/>
        <v/>
      </c>
    </row>
    <row r="159" spans="1:17" x14ac:dyDescent="0.3">
      <c r="A159" s="2"/>
      <c r="B159" s="2"/>
      <c r="C159" s="2"/>
      <c r="D159" s="3"/>
      <c r="E159" s="4"/>
      <c r="F159" s="4"/>
      <c r="G159" s="5"/>
      <c r="H159" s="6"/>
      <c r="I159" s="6"/>
      <c r="J159" s="6"/>
      <c r="K159" s="7"/>
      <c r="L159" s="49"/>
      <c r="M159" s="2"/>
      <c r="N159" s="8" t="str">
        <f t="shared" si="8"/>
        <v/>
      </c>
      <c r="O159" s="9" t="str">
        <f t="shared" si="9"/>
        <v/>
      </c>
      <c r="P159" s="10" t="str">
        <f t="shared" si="10"/>
        <v/>
      </c>
      <c r="Q159" s="10" t="str">
        <f t="shared" si="11"/>
        <v/>
      </c>
    </row>
    <row r="160" spans="1:17" x14ac:dyDescent="0.3">
      <c r="A160" s="2"/>
      <c r="B160" s="2"/>
      <c r="C160" s="2"/>
      <c r="D160" s="3"/>
      <c r="E160" s="4"/>
      <c r="F160" s="4"/>
      <c r="G160" s="5"/>
      <c r="H160" s="6"/>
      <c r="I160" s="6"/>
      <c r="J160" s="6"/>
      <c r="K160" s="7"/>
      <c r="L160" s="49"/>
      <c r="M160" s="2"/>
      <c r="N160" s="8" t="str">
        <f t="shared" si="8"/>
        <v/>
      </c>
      <c r="O160" s="9" t="str">
        <f t="shared" si="9"/>
        <v/>
      </c>
      <c r="P160" s="10" t="str">
        <f t="shared" si="10"/>
        <v/>
      </c>
      <c r="Q160" s="10" t="str">
        <f t="shared" si="11"/>
        <v/>
      </c>
    </row>
    <row r="161" spans="1:17" x14ac:dyDescent="0.3">
      <c r="A161" s="2"/>
      <c r="B161" s="2"/>
      <c r="C161" s="2"/>
      <c r="D161" s="3"/>
      <c r="E161" s="4"/>
      <c r="F161" s="4"/>
      <c r="G161" s="5"/>
      <c r="H161" s="6"/>
      <c r="I161" s="6"/>
      <c r="J161" s="6"/>
      <c r="K161" s="7"/>
      <c r="L161" s="49"/>
      <c r="M161" s="2"/>
      <c r="N161" s="8" t="str">
        <f t="shared" si="8"/>
        <v/>
      </c>
      <c r="O161" s="9" t="str">
        <f t="shared" si="9"/>
        <v/>
      </c>
      <c r="P161" s="10" t="str">
        <f t="shared" si="10"/>
        <v/>
      </c>
      <c r="Q161" s="10" t="str">
        <f t="shared" si="11"/>
        <v/>
      </c>
    </row>
    <row r="162" spans="1:17" x14ac:dyDescent="0.3">
      <c r="A162" s="2"/>
      <c r="B162" s="2"/>
      <c r="C162" s="2"/>
      <c r="D162" s="3"/>
      <c r="E162" s="4"/>
      <c r="F162" s="4"/>
      <c r="G162" s="5"/>
      <c r="H162" s="6"/>
      <c r="I162" s="6"/>
      <c r="J162" s="6"/>
      <c r="K162" s="7"/>
      <c r="L162" s="49"/>
      <c r="M162" s="2"/>
      <c r="N162" s="8" t="str">
        <f t="shared" si="8"/>
        <v/>
      </c>
      <c r="O162" s="9" t="str">
        <f t="shared" si="9"/>
        <v/>
      </c>
      <c r="P162" s="10" t="str">
        <f t="shared" si="10"/>
        <v/>
      </c>
      <c r="Q162" s="10" t="str">
        <f t="shared" si="11"/>
        <v/>
      </c>
    </row>
    <row r="163" spans="1:17" x14ac:dyDescent="0.3">
      <c r="A163" s="2"/>
      <c r="B163" s="2"/>
      <c r="C163" s="2"/>
      <c r="D163" s="3"/>
      <c r="E163" s="4"/>
      <c r="F163" s="4"/>
      <c r="G163" s="5"/>
      <c r="H163" s="6"/>
      <c r="I163" s="6"/>
      <c r="J163" s="6"/>
      <c r="K163" s="7"/>
      <c r="L163" s="49"/>
      <c r="M163" s="2"/>
      <c r="N163" s="8" t="str">
        <f t="shared" si="8"/>
        <v/>
      </c>
      <c r="O163" s="9" t="str">
        <f t="shared" si="9"/>
        <v/>
      </c>
      <c r="P163" s="10" t="str">
        <f t="shared" si="10"/>
        <v/>
      </c>
      <c r="Q163" s="10" t="str">
        <f t="shared" si="11"/>
        <v/>
      </c>
    </row>
    <row r="164" spans="1:17" x14ac:dyDescent="0.3">
      <c r="A164" s="2"/>
      <c r="B164" s="2"/>
      <c r="C164" s="2"/>
      <c r="D164" s="3"/>
      <c r="E164" s="4"/>
      <c r="F164" s="4"/>
      <c r="G164" s="5"/>
      <c r="H164" s="6"/>
      <c r="I164" s="6"/>
      <c r="J164" s="6"/>
      <c r="K164" s="7"/>
      <c r="L164" s="49"/>
      <c r="M164" s="2"/>
      <c r="N164" s="8" t="str">
        <f t="shared" si="8"/>
        <v/>
      </c>
      <c r="O164" s="9" t="str">
        <f t="shared" si="9"/>
        <v/>
      </c>
      <c r="P164" s="10" t="str">
        <f t="shared" si="10"/>
        <v/>
      </c>
      <c r="Q164" s="10" t="str">
        <f t="shared" si="11"/>
        <v/>
      </c>
    </row>
    <row r="165" spans="1:17" x14ac:dyDescent="0.3">
      <c r="A165" s="2"/>
      <c r="B165" s="2"/>
      <c r="C165" s="2"/>
      <c r="D165" s="3"/>
      <c r="E165" s="4"/>
      <c r="F165" s="4"/>
      <c r="G165" s="5"/>
      <c r="H165" s="6"/>
      <c r="I165" s="6"/>
      <c r="J165" s="6"/>
      <c r="K165" s="7"/>
      <c r="L165" s="49"/>
      <c r="M165" s="2"/>
      <c r="N165" s="8" t="str">
        <f t="shared" si="8"/>
        <v/>
      </c>
      <c r="O165" s="9" t="str">
        <f t="shared" si="9"/>
        <v/>
      </c>
      <c r="P165" s="10" t="str">
        <f t="shared" si="10"/>
        <v/>
      </c>
      <c r="Q165" s="10" t="str">
        <f t="shared" si="11"/>
        <v/>
      </c>
    </row>
    <row r="166" spans="1:17" x14ac:dyDescent="0.3">
      <c r="A166" s="2"/>
      <c r="B166" s="2"/>
      <c r="C166" s="2"/>
      <c r="D166" s="3"/>
      <c r="E166" s="4"/>
      <c r="F166" s="4"/>
      <c r="G166" s="5"/>
      <c r="H166" s="6"/>
      <c r="I166" s="6"/>
      <c r="J166" s="6"/>
      <c r="K166" s="7"/>
      <c r="L166" s="49"/>
      <c r="M166" s="2"/>
      <c r="N166" s="8" t="str">
        <f t="shared" si="8"/>
        <v/>
      </c>
      <c r="O166" s="9" t="str">
        <f t="shared" si="9"/>
        <v/>
      </c>
      <c r="P166" s="10" t="str">
        <f t="shared" si="10"/>
        <v/>
      </c>
      <c r="Q166" s="10" t="str">
        <f t="shared" si="11"/>
        <v/>
      </c>
    </row>
    <row r="167" spans="1:17" x14ac:dyDescent="0.3">
      <c r="A167" s="2"/>
      <c r="B167" s="2"/>
      <c r="C167" s="2"/>
      <c r="D167" s="3"/>
      <c r="E167" s="4"/>
      <c r="F167" s="4"/>
      <c r="G167" s="5"/>
      <c r="H167" s="6"/>
      <c r="I167" s="6"/>
      <c r="J167" s="6"/>
      <c r="K167" s="7"/>
      <c r="L167" s="49"/>
      <c r="M167" s="2"/>
      <c r="N167" s="8" t="str">
        <f t="shared" si="8"/>
        <v/>
      </c>
      <c r="O167" s="9" t="str">
        <f t="shared" si="9"/>
        <v/>
      </c>
      <c r="P167" s="10" t="str">
        <f t="shared" si="10"/>
        <v/>
      </c>
      <c r="Q167" s="10" t="str">
        <f t="shared" si="11"/>
        <v/>
      </c>
    </row>
    <row r="168" spans="1:17" x14ac:dyDescent="0.3">
      <c r="A168" s="2"/>
      <c r="B168" s="2"/>
      <c r="C168" s="2"/>
      <c r="D168" s="3"/>
      <c r="E168" s="4"/>
      <c r="F168" s="4"/>
      <c r="G168" s="5"/>
      <c r="H168" s="6"/>
      <c r="I168" s="6"/>
      <c r="J168" s="6"/>
      <c r="K168" s="7"/>
      <c r="L168" s="49"/>
      <c r="M168" s="2"/>
      <c r="N168" s="8" t="str">
        <f t="shared" si="8"/>
        <v/>
      </c>
      <c r="O168" s="9" t="str">
        <f t="shared" si="9"/>
        <v/>
      </c>
      <c r="P168" s="10" t="str">
        <f t="shared" si="10"/>
        <v/>
      </c>
      <c r="Q168" s="10" t="str">
        <f t="shared" si="11"/>
        <v/>
      </c>
    </row>
    <row r="169" spans="1:17" x14ac:dyDescent="0.3">
      <c r="A169" s="2"/>
      <c r="B169" s="2"/>
      <c r="C169" s="2"/>
      <c r="D169" s="3"/>
      <c r="E169" s="4"/>
      <c r="F169" s="4"/>
      <c r="G169" s="5"/>
      <c r="H169" s="6"/>
      <c r="I169" s="6"/>
      <c r="J169" s="6"/>
      <c r="K169" s="7"/>
      <c r="L169" s="49"/>
      <c r="M169" s="2"/>
      <c r="N169" s="8" t="str">
        <f t="shared" si="8"/>
        <v/>
      </c>
      <c r="O169" s="9" t="str">
        <f t="shared" si="9"/>
        <v/>
      </c>
      <c r="P169" s="10" t="str">
        <f t="shared" si="10"/>
        <v/>
      </c>
      <c r="Q169" s="10" t="str">
        <f t="shared" si="11"/>
        <v/>
      </c>
    </row>
    <row r="170" spans="1:17" x14ac:dyDescent="0.3">
      <c r="A170" s="2"/>
      <c r="B170" s="2"/>
      <c r="C170" s="2"/>
      <c r="D170" s="3"/>
      <c r="E170" s="4"/>
      <c r="F170" s="4"/>
      <c r="G170" s="5"/>
      <c r="H170" s="6"/>
      <c r="I170" s="6"/>
      <c r="J170" s="6"/>
      <c r="K170" s="7"/>
      <c r="L170" s="49"/>
      <c r="M170" s="2"/>
      <c r="N170" s="8" t="str">
        <f t="shared" si="8"/>
        <v/>
      </c>
      <c r="O170" s="9" t="str">
        <f t="shared" si="9"/>
        <v/>
      </c>
      <c r="P170" s="10" t="str">
        <f t="shared" si="10"/>
        <v/>
      </c>
      <c r="Q170" s="10" t="str">
        <f t="shared" si="11"/>
        <v/>
      </c>
    </row>
    <row r="171" spans="1:17" x14ac:dyDescent="0.3">
      <c r="A171" s="2"/>
      <c r="B171" s="2"/>
      <c r="C171" s="2"/>
      <c r="D171" s="3"/>
      <c r="E171" s="4"/>
      <c r="F171" s="4"/>
      <c r="G171" s="5"/>
      <c r="H171" s="6"/>
      <c r="I171" s="6"/>
      <c r="J171" s="6"/>
      <c r="K171" s="7"/>
      <c r="L171" s="49"/>
      <c r="M171" s="2"/>
      <c r="N171" s="8" t="str">
        <f t="shared" si="8"/>
        <v/>
      </c>
      <c r="O171" s="9" t="str">
        <f t="shared" si="9"/>
        <v/>
      </c>
      <c r="P171" s="10" t="str">
        <f t="shared" si="10"/>
        <v/>
      </c>
      <c r="Q171" s="10" t="str">
        <f t="shared" si="11"/>
        <v/>
      </c>
    </row>
    <row r="172" spans="1:17" x14ac:dyDescent="0.3">
      <c r="A172" s="2"/>
      <c r="B172" s="2"/>
      <c r="C172" s="2"/>
      <c r="D172" s="3"/>
      <c r="E172" s="4"/>
      <c r="F172" s="4"/>
      <c r="G172" s="5"/>
      <c r="H172" s="6"/>
      <c r="I172" s="6"/>
      <c r="J172" s="6"/>
      <c r="K172" s="7"/>
      <c r="L172" s="49"/>
      <c r="M172" s="2"/>
      <c r="N172" s="8" t="str">
        <f t="shared" si="8"/>
        <v/>
      </c>
      <c r="O172" s="9" t="str">
        <f t="shared" si="9"/>
        <v/>
      </c>
      <c r="P172" s="10" t="str">
        <f t="shared" si="10"/>
        <v/>
      </c>
      <c r="Q172" s="10" t="str">
        <f t="shared" si="11"/>
        <v/>
      </c>
    </row>
    <row r="173" spans="1:17" x14ac:dyDescent="0.3">
      <c r="A173" s="2"/>
      <c r="B173" s="2"/>
      <c r="C173" s="2"/>
      <c r="D173" s="3"/>
      <c r="E173" s="4"/>
      <c r="F173" s="4"/>
      <c r="G173" s="5"/>
      <c r="H173" s="6"/>
      <c r="I173" s="6"/>
      <c r="J173" s="6"/>
      <c r="K173" s="7"/>
      <c r="L173" s="49"/>
      <c r="M173" s="2"/>
      <c r="N173" s="8" t="str">
        <f t="shared" si="8"/>
        <v/>
      </c>
      <c r="O173" s="9" t="str">
        <f t="shared" si="9"/>
        <v/>
      </c>
      <c r="P173" s="10" t="str">
        <f t="shared" si="10"/>
        <v/>
      </c>
      <c r="Q173" s="10" t="str">
        <f t="shared" si="11"/>
        <v/>
      </c>
    </row>
    <row r="174" spans="1:17" x14ac:dyDescent="0.3">
      <c r="A174" s="2"/>
      <c r="B174" s="2"/>
      <c r="C174" s="2"/>
      <c r="D174" s="3"/>
      <c r="E174" s="4"/>
      <c r="F174" s="4"/>
      <c r="G174" s="5"/>
      <c r="H174" s="6"/>
      <c r="I174" s="6"/>
      <c r="J174" s="6"/>
      <c r="K174" s="7"/>
      <c r="L174" s="49"/>
      <c r="M174" s="2"/>
      <c r="N174" s="8" t="str">
        <f t="shared" si="8"/>
        <v/>
      </c>
      <c r="O174" s="9" t="str">
        <f t="shared" si="9"/>
        <v/>
      </c>
      <c r="P174" s="10" t="str">
        <f t="shared" si="10"/>
        <v/>
      </c>
      <c r="Q174" s="10" t="str">
        <f t="shared" si="11"/>
        <v/>
      </c>
    </row>
    <row r="175" spans="1:17" x14ac:dyDescent="0.3">
      <c r="A175" s="2"/>
      <c r="B175" s="2"/>
      <c r="C175" s="2"/>
      <c r="D175" s="3"/>
      <c r="E175" s="4"/>
      <c r="F175" s="4"/>
      <c r="G175" s="5"/>
      <c r="H175" s="6"/>
      <c r="I175" s="6"/>
      <c r="J175" s="6"/>
      <c r="K175" s="7"/>
      <c r="L175" s="49"/>
      <c r="M175" s="2"/>
      <c r="N175" s="8" t="str">
        <f t="shared" si="8"/>
        <v/>
      </c>
      <c r="O175" s="9" t="str">
        <f t="shared" si="9"/>
        <v/>
      </c>
      <c r="P175" s="10" t="str">
        <f t="shared" si="10"/>
        <v/>
      </c>
      <c r="Q175" s="10" t="str">
        <f t="shared" si="11"/>
        <v/>
      </c>
    </row>
    <row r="176" spans="1:17" x14ac:dyDescent="0.3">
      <c r="A176" s="2"/>
      <c r="B176" s="2"/>
      <c r="C176" s="2"/>
      <c r="D176" s="3"/>
      <c r="E176" s="4"/>
      <c r="F176" s="4"/>
      <c r="G176" s="5"/>
      <c r="H176" s="6"/>
      <c r="I176" s="6"/>
      <c r="J176" s="6"/>
      <c r="K176" s="7"/>
      <c r="L176" s="49"/>
      <c r="M176" s="2"/>
      <c r="N176" s="8" t="str">
        <f t="shared" si="8"/>
        <v/>
      </c>
      <c r="O176" s="9" t="str">
        <f t="shared" si="9"/>
        <v/>
      </c>
      <c r="P176" s="10" t="str">
        <f t="shared" si="10"/>
        <v/>
      </c>
      <c r="Q176" s="10" t="str">
        <f t="shared" si="11"/>
        <v/>
      </c>
    </row>
    <row r="177" spans="1:17" x14ac:dyDescent="0.3">
      <c r="A177" s="2"/>
      <c r="B177" s="2"/>
      <c r="C177" s="2"/>
      <c r="D177" s="3"/>
      <c r="E177" s="4"/>
      <c r="F177" s="4"/>
      <c r="G177" s="5"/>
      <c r="H177" s="6"/>
      <c r="I177" s="6"/>
      <c r="J177" s="6"/>
      <c r="K177" s="7"/>
      <c r="L177" s="49"/>
      <c r="M177" s="2"/>
      <c r="N177" s="8" t="str">
        <f t="shared" si="8"/>
        <v/>
      </c>
      <c r="O177" s="9" t="str">
        <f t="shared" si="9"/>
        <v/>
      </c>
      <c r="P177" s="10" t="str">
        <f t="shared" si="10"/>
        <v/>
      </c>
      <c r="Q177" s="10" t="str">
        <f t="shared" si="11"/>
        <v/>
      </c>
    </row>
    <row r="178" spans="1:17" x14ac:dyDescent="0.3">
      <c r="A178" s="2"/>
      <c r="B178" s="2"/>
      <c r="C178" s="2"/>
      <c r="D178" s="3"/>
      <c r="E178" s="4"/>
      <c r="F178" s="4"/>
      <c r="G178" s="5"/>
      <c r="H178" s="6"/>
      <c r="I178" s="6"/>
      <c r="J178" s="6"/>
      <c r="K178" s="7"/>
      <c r="L178" s="49"/>
      <c r="M178" s="2"/>
      <c r="N178" s="8" t="str">
        <f t="shared" si="8"/>
        <v/>
      </c>
      <c r="O178" s="9" t="str">
        <f t="shared" si="9"/>
        <v/>
      </c>
      <c r="P178" s="10" t="str">
        <f t="shared" si="10"/>
        <v/>
      </c>
      <c r="Q178" s="10" t="str">
        <f t="shared" si="11"/>
        <v/>
      </c>
    </row>
    <row r="179" spans="1:17" x14ac:dyDescent="0.3">
      <c r="A179" s="2"/>
      <c r="B179" s="2"/>
      <c r="C179" s="2"/>
      <c r="D179" s="3"/>
      <c r="E179" s="4"/>
      <c r="F179" s="4"/>
      <c r="G179" s="5"/>
      <c r="H179" s="6"/>
      <c r="I179" s="6"/>
      <c r="J179" s="6"/>
      <c r="K179" s="7"/>
      <c r="L179" s="49"/>
      <c r="M179" s="2"/>
      <c r="N179" s="8" t="str">
        <f t="shared" si="8"/>
        <v/>
      </c>
      <c r="O179" s="9" t="str">
        <f t="shared" si="9"/>
        <v/>
      </c>
      <c r="P179" s="10" t="str">
        <f t="shared" si="10"/>
        <v/>
      </c>
      <c r="Q179" s="10" t="str">
        <f t="shared" si="11"/>
        <v/>
      </c>
    </row>
    <row r="180" spans="1:17" x14ac:dyDescent="0.3">
      <c r="A180" s="2"/>
      <c r="B180" s="2"/>
      <c r="C180" s="2"/>
      <c r="D180" s="3"/>
      <c r="E180" s="4"/>
      <c r="F180" s="4"/>
      <c r="G180" s="5"/>
      <c r="H180" s="6"/>
      <c r="I180" s="6"/>
      <c r="J180" s="6"/>
      <c r="K180" s="7"/>
      <c r="L180" s="49"/>
      <c r="M180" s="2"/>
      <c r="N180" s="8" t="str">
        <f t="shared" si="8"/>
        <v/>
      </c>
      <c r="O180" s="9" t="str">
        <f t="shared" si="9"/>
        <v/>
      </c>
      <c r="P180" s="10" t="str">
        <f t="shared" si="10"/>
        <v/>
      </c>
      <c r="Q180" s="10" t="str">
        <f t="shared" si="11"/>
        <v/>
      </c>
    </row>
    <row r="181" spans="1:17" x14ac:dyDescent="0.3">
      <c r="A181" s="2"/>
      <c r="B181" s="2"/>
      <c r="C181" s="2"/>
      <c r="D181" s="3"/>
      <c r="E181" s="4"/>
      <c r="F181" s="4"/>
      <c r="G181" s="5"/>
      <c r="H181" s="6"/>
      <c r="I181" s="6"/>
      <c r="J181" s="6"/>
      <c r="K181" s="7"/>
      <c r="L181" s="49"/>
      <c r="M181" s="2"/>
      <c r="N181" s="8" t="str">
        <f t="shared" si="8"/>
        <v/>
      </c>
      <c r="O181" s="9" t="str">
        <f t="shared" si="9"/>
        <v/>
      </c>
      <c r="P181" s="10" t="str">
        <f t="shared" si="10"/>
        <v/>
      </c>
      <c r="Q181" s="10" t="str">
        <f t="shared" si="11"/>
        <v/>
      </c>
    </row>
    <row r="182" spans="1:17" x14ac:dyDescent="0.3">
      <c r="A182" s="2"/>
      <c r="B182" s="2"/>
      <c r="C182" s="2"/>
      <c r="D182" s="3"/>
      <c r="E182" s="4"/>
      <c r="F182" s="4"/>
      <c r="G182" s="5"/>
      <c r="H182" s="6"/>
      <c r="I182" s="6"/>
      <c r="J182" s="6"/>
      <c r="K182" s="7"/>
      <c r="L182" s="49"/>
      <c r="M182" s="2"/>
      <c r="N182" s="8" t="str">
        <f t="shared" si="8"/>
        <v/>
      </c>
      <c r="O182" s="9" t="str">
        <f t="shared" si="9"/>
        <v/>
      </c>
      <c r="P182" s="10" t="str">
        <f t="shared" si="10"/>
        <v/>
      </c>
      <c r="Q182" s="10" t="str">
        <f t="shared" si="11"/>
        <v/>
      </c>
    </row>
    <row r="183" spans="1:17" x14ac:dyDescent="0.3">
      <c r="A183" s="2"/>
      <c r="B183" s="2"/>
      <c r="C183" s="2"/>
      <c r="D183" s="3"/>
      <c r="E183" s="4"/>
      <c r="F183" s="4"/>
      <c r="G183" s="5"/>
      <c r="H183" s="6"/>
      <c r="I183" s="6"/>
      <c r="J183" s="6"/>
      <c r="K183" s="7"/>
      <c r="L183" s="49"/>
      <c r="M183" s="2"/>
      <c r="N183" s="8" t="str">
        <f t="shared" si="8"/>
        <v/>
      </c>
      <c r="O183" s="9" t="str">
        <f t="shared" si="9"/>
        <v/>
      </c>
      <c r="P183" s="10" t="str">
        <f t="shared" si="10"/>
        <v/>
      </c>
      <c r="Q183" s="10" t="str">
        <f t="shared" si="11"/>
        <v/>
      </c>
    </row>
    <row r="184" spans="1:17" x14ac:dyDescent="0.3">
      <c r="A184" s="2"/>
      <c r="B184" s="2"/>
      <c r="C184" s="2"/>
      <c r="D184" s="3"/>
      <c r="E184" s="4"/>
      <c r="F184" s="4"/>
      <c r="G184" s="5"/>
      <c r="H184" s="6"/>
      <c r="I184" s="6"/>
      <c r="J184" s="6"/>
      <c r="K184" s="7"/>
      <c r="L184" s="49"/>
      <c r="M184" s="2"/>
      <c r="N184" s="8" t="str">
        <f t="shared" si="8"/>
        <v/>
      </c>
      <c r="O184" s="9" t="str">
        <f t="shared" si="9"/>
        <v/>
      </c>
      <c r="P184" s="10" t="str">
        <f t="shared" si="10"/>
        <v/>
      </c>
      <c r="Q184" s="10" t="str">
        <f t="shared" si="11"/>
        <v/>
      </c>
    </row>
    <row r="185" spans="1:17" x14ac:dyDescent="0.3">
      <c r="A185" s="2"/>
      <c r="B185" s="2"/>
      <c r="C185" s="2"/>
      <c r="D185" s="3"/>
      <c r="E185" s="4"/>
      <c r="F185" s="4"/>
      <c r="G185" s="5"/>
      <c r="H185" s="6"/>
      <c r="I185" s="6"/>
      <c r="J185" s="6"/>
      <c r="K185" s="7"/>
      <c r="L185" s="49"/>
      <c r="M185" s="2"/>
      <c r="N185" s="8" t="str">
        <f t="shared" si="8"/>
        <v/>
      </c>
      <c r="O185" s="9" t="str">
        <f t="shared" si="9"/>
        <v/>
      </c>
      <c r="P185" s="10" t="str">
        <f t="shared" si="10"/>
        <v/>
      </c>
      <c r="Q185" s="10" t="str">
        <f t="shared" si="11"/>
        <v/>
      </c>
    </row>
    <row r="186" spans="1:17" x14ac:dyDescent="0.3">
      <c r="A186" s="2"/>
      <c r="B186" s="2"/>
      <c r="C186" s="2"/>
      <c r="D186" s="3"/>
      <c r="E186" s="4"/>
      <c r="F186" s="4"/>
      <c r="G186" s="5"/>
      <c r="H186" s="6"/>
      <c r="I186" s="6"/>
      <c r="J186" s="6"/>
      <c r="K186" s="7"/>
      <c r="L186" s="49"/>
      <c r="M186" s="2"/>
      <c r="N186" s="8" t="str">
        <f t="shared" si="8"/>
        <v/>
      </c>
      <c r="O186" s="9" t="str">
        <f t="shared" si="9"/>
        <v/>
      </c>
      <c r="P186" s="10" t="str">
        <f t="shared" si="10"/>
        <v/>
      </c>
      <c r="Q186" s="10" t="str">
        <f t="shared" si="11"/>
        <v/>
      </c>
    </row>
    <row r="187" spans="1:17" x14ac:dyDescent="0.3">
      <c r="A187" s="2"/>
      <c r="B187" s="2"/>
      <c r="C187" s="2"/>
      <c r="D187" s="3"/>
      <c r="E187" s="4"/>
      <c r="F187" s="4"/>
      <c r="G187" s="5"/>
      <c r="H187" s="6"/>
      <c r="I187" s="6"/>
      <c r="J187" s="6"/>
      <c r="K187" s="7"/>
      <c r="L187" s="49"/>
      <c r="M187" s="2"/>
      <c r="N187" s="8" t="str">
        <f t="shared" si="8"/>
        <v/>
      </c>
      <c r="O187" s="9" t="str">
        <f t="shared" si="9"/>
        <v/>
      </c>
      <c r="P187" s="10" t="str">
        <f t="shared" si="10"/>
        <v/>
      </c>
      <c r="Q187" s="10" t="str">
        <f t="shared" si="11"/>
        <v/>
      </c>
    </row>
    <row r="188" spans="1:17" x14ac:dyDescent="0.3">
      <c r="A188" s="2"/>
      <c r="B188" s="2"/>
      <c r="C188" s="2"/>
      <c r="D188" s="3"/>
      <c r="E188" s="4"/>
      <c r="F188" s="4"/>
      <c r="G188" s="5"/>
      <c r="H188" s="6"/>
      <c r="I188" s="6"/>
      <c r="J188" s="6"/>
      <c r="K188" s="7"/>
      <c r="L188" s="49"/>
      <c r="M188" s="2"/>
      <c r="N188" s="8" t="str">
        <f t="shared" si="8"/>
        <v/>
      </c>
      <c r="O188" s="9" t="str">
        <f t="shared" si="9"/>
        <v/>
      </c>
      <c r="P188" s="10" t="str">
        <f t="shared" si="10"/>
        <v/>
      </c>
      <c r="Q188" s="10" t="str">
        <f t="shared" si="11"/>
        <v/>
      </c>
    </row>
    <row r="189" spans="1:17" x14ac:dyDescent="0.3">
      <c r="A189" s="2"/>
      <c r="B189" s="2"/>
      <c r="C189" s="2"/>
      <c r="D189" s="3"/>
      <c r="E189" s="4"/>
      <c r="F189" s="4"/>
      <c r="G189" s="5"/>
      <c r="H189" s="6"/>
      <c r="I189" s="6"/>
      <c r="J189" s="6"/>
      <c r="K189" s="7"/>
      <c r="L189" s="49"/>
      <c r="M189" s="2"/>
      <c r="N189" s="8" t="str">
        <f t="shared" si="8"/>
        <v/>
      </c>
      <c r="O189" s="9" t="str">
        <f t="shared" si="9"/>
        <v/>
      </c>
      <c r="P189" s="10" t="str">
        <f t="shared" si="10"/>
        <v/>
      </c>
      <c r="Q189" s="10" t="str">
        <f t="shared" si="11"/>
        <v/>
      </c>
    </row>
    <row r="190" spans="1:17" x14ac:dyDescent="0.3">
      <c r="A190" s="2"/>
      <c r="B190" s="2"/>
      <c r="C190" s="2"/>
      <c r="D190" s="3"/>
      <c r="E190" s="4"/>
      <c r="F190" s="4"/>
      <c r="G190" s="5"/>
      <c r="H190" s="6"/>
      <c r="I190" s="6"/>
      <c r="J190" s="6"/>
      <c r="K190" s="7"/>
      <c r="L190" s="49"/>
      <c r="M190" s="2"/>
      <c r="N190" s="8" t="str">
        <f t="shared" si="8"/>
        <v/>
      </c>
      <c r="O190" s="9" t="str">
        <f t="shared" si="9"/>
        <v/>
      </c>
      <c r="P190" s="10" t="str">
        <f t="shared" si="10"/>
        <v/>
      </c>
      <c r="Q190" s="10" t="str">
        <f t="shared" si="11"/>
        <v/>
      </c>
    </row>
    <row r="191" spans="1:17" x14ac:dyDescent="0.3">
      <c r="A191" s="2"/>
      <c r="B191" s="2"/>
      <c r="C191" s="2"/>
      <c r="D191" s="3"/>
      <c r="E191" s="4"/>
      <c r="F191" s="4"/>
      <c r="G191" s="5"/>
      <c r="H191" s="6"/>
      <c r="I191" s="6"/>
      <c r="J191" s="6"/>
      <c r="K191" s="7"/>
      <c r="L191" s="49"/>
      <c r="M191" s="2"/>
      <c r="N191" s="8" t="str">
        <f t="shared" si="8"/>
        <v/>
      </c>
      <c r="O191" s="9" t="str">
        <f t="shared" si="9"/>
        <v/>
      </c>
      <c r="P191" s="10" t="str">
        <f t="shared" si="10"/>
        <v/>
      </c>
      <c r="Q191" s="10" t="str">
        <f t="shared" si="11"/>
        <v/>
      </c>
    </row>
    <row r="192" spans="1:17" x14ac:dyDescent="0.3">
      <c r="A192" s="2"/>
      <c r="B192" s="2"/>
      <c r="C192" s="2"/>
      <c r="D192" s="3"/>
      <c r="E192" s="4"/>
      <c r="F192" s="4"/>
      <c r="G192" s="5"/>
      <c r="H192" s="6"/>
      <c r="I192" s="6"/>
      <c r="J192" s="6"/>
      <c r="K192" s="7"/>
      <c r="L192" s="49"/>
      <c r="M192" s="2"/>
      <c r="N192" s="8" t="str">
        <f t="shared" si="8"/>
        <v/>
      </c>
      <c r="O192" s="9" t="str">
        <f t="shared" si="9"/>
        <v/>
      </c>
      <c r="P192" s="10" t="str">
        <f t="shared" si="10"/>
        <v/>
      </c>
      <c r="Q192" s="10" t="str">
        <f t="shared" si="11"/>
        <v/>
      </c>
    </row>
    <row r="193" spans="1:17" x14ac:dyDescent="0.3">
      <c r="A193" s="2"/>
      <c r="B193" s="2"/>
      <c r="C193" s="2"/>
      <c r="D193" s="3"/>
      <c r="E193" s="4"/>
      <c r="F193" s="4"/>
      <c r="G193" s="5"/>
      <c r="H193" s="6"/>
      <c r="I193" s="6"/>
      <c r="J193" s="6"/>
      <c r="K193" s="7"/>
      <c r="L193" s="49"/>
      <c r="M193" s="2"/>
      <c r="N193" s="8" t="str">
        <f t="shared" si="8"/>
        <v/>
      </c>
      <c r="O193" s="9" t="str">
        <f t="shared" si="9"/>
        <v/>
      </c>
      <c r="P193" s="10" t="str">
        <f t="shared" si="10"/>
        <v/>
      </c>
      <c r="Q193" s="10" t="str">
        <f t="shared" si="11"/>
        <v/>
      </c>
    </row>
    <row r="194" spans="1:17" x14ac:dyDescent="0.3">
      <c r="A194" s="2"/>
      <c r="B194" s="2"/>
      <c r="C194" s="2"/>
      <c r="D194" s="3"/>
      <c r="E194" s="4"/>
      <c r="F194" s="4"/>
      <c r="G194" s="5"/>
      <c r="H194" s="6"/>
      <c r="I194" s="6"/>
      <c r="J194" s="6"/>
      <c r="K194" s="7"/>
      <c r="L194" s="49"/>
      <c r="M194" s="2"/>
      <c r="N194" s="8" t="str">
        <f t="shared" si="8"/>
        <v/>
      </c>
      <c r="O194" s="9" t="str">
        <f t="shared" si="9"/>
        <v/>
      </c>
      <c r="P194" s="10" t="str">
        <f t="shared" si="10"/>
        <v/>
      </c>
      <c r="Q194" s="10" t="str">
        <f t="shared" si="11"/>
        <v/>
      </c>
    </row>
    <row r="195" spans="1:17" x14ac:dyDescent="0.3">
      <c r="A195" s="2"/>
      <c r="B195" s="2"/>
      <c r="C195" s="2"/>
      <c r="D195" s="3"/>
      <c r="E195" s="4"/>
      <c r="F195" s="4"/>
      <c r="G195" s="5"/>
      <c r="H195" s="6"/>
      <c r="I195" s="6"/>
      <c r="J195" s="6"/>
      <c r="K195" s="7"/>
      <c r="L195" s="49"/>
      <c r="M195" s="2"/>
      <c r="N195" s="8" t="str">
        <f t="shared" si="8"/>
        <v/>
      </c>
      <c r="O195" s="9" t="str">
        <f t="shared" si="9"/>
        <v/>
      </c>
      <c r="P195" s="10" t="str">
        <f t="shared" si="10"/>
        <v/>
      </c>
      <c r="Q195" s="10" t="str">
        <f t="shared" si="11"/>
        <v/>
      </c>
    </row>
    <row r="196" spans="1:17" x14ac:dyDescent="0.3">
      <c r="A196" s="2"/>
      <c r="B196" s="2"/>
      <c r="C196" s="2"/>
      <c r="D196" s="3"/>
      <c r="E196" s="4"/>
      <c r="F196" s="4"/>
      <c r="G196" s="5"/>
      <c r="H196" s="6"/>
      <c r="I196" s="6"/>
      <c r="J196" s="6"/>
      <c r="K196" s="7"/>
      <c r="L196" s="49"/>
      <c r="M196" s="2"/>
      <c r="N196" s="8" t="str">
        <f t="shared" si="8"/>
        <v/>
      </c>
      <c r="O196" s="9" t="str">
        <f t="shared" si="9"/>
        <v/>
      </c>
      <c r="P196" s="10" t="str">
        <f t="shared" si="10"/>
        <v/>
      </c>
      <c r="Q196" s="10" t="str">
        <f t="shared" si="11"/>
        <v/>
      </c>
    </row>
    <row r="197" spans="1:17" x14ac:dyDescent="0.3">
      <c r="A197" s="2"/>
      <c r="B197" s="2"/>
      <c r="C197" s="2"/>
      <c r="D197" s="3"/>
      <c r="E197" s="4"/>
      <c r="F197" s="4"/>
      <c r="G197" s="5"/>
      <c r="H197" s="6"/>
      <c r="I197" s="6"/>
      <c r="J197" s="6"/>
      <c r="K197" s="7"/>
      <c r="L197" s="49"/>
      <c r="M197" s="2"/>
      <c r="N197" s="8" t="str">
        <f t="shared" si="8"/>
        <v/>
      </c>
      <c r="O197" s="9" t="str">
        <f t="shared" si="9"/>
        <v/>
      </c>
      <c r="P197" s="10" t="str">
        <f t="shared" si="10"/>
        <v/>
      </c>
      <c r="Q197" s="10" t="str">
        <f t="shared" si="11"/>
        <v/>
      </c>
    </row>
    <row r="198" spans="1:17" x14ac:dyDescent="0.3">
      <c r="A198" s="2"/>
      <c r="B198" s="2"/>
      <c r="C198" s="2"/>
      <c r="D198" s="3"/>
      <c r="E198" s="4"/>
      <c r="F198" s="4"/>
      <c r="G198" s="5"/>
      <c r="H198" s="6"/>
      <c r="I198" s="6"/>
      <c r="J198" s="6"/>
      <c r="K198" s="7"/>
      <c r="L198" s="49"/>
      <c r="M198" s="2"/>
      <c r="N198" s="8" t="str">
        <f t="shared" si="8"/>
        <v/>
      </c>
      <c r="O198" s="9" t="str">
        <f t="shared" si="9"/>
        <v/>
      </c>
      <c r="P198" s="10" t="str">
        <f t="shared" si="10"/>
        <v/>
      </c>
      <c r="Q198" s="10" t="str">
        <f t="shared" si="11"/>
        <v/>
      </c>
    </row>
    <row r="199" spans="1:17" x14ac:dyDescent="0.3">
      <c r="A199" s="2"/>
      <c r="B199" s="2"/>
      <c r="C199" s="2"/>
      <c r="D199" s="3"/>
      <c r="E199" s="4"/>
      <c r="F199" s="4"/>
      <c r="G199" s="5"/>
      <c r="H199" s="6"/>
      <c r="I199" s="6"/>
      <c r="J199" s="6"/>
      <c r="K199" s="7"/>
      <c r="L199" s="49"/>
      <c r="M199" s="2"/>
      <c r="N199" s="8" t="str">
        <f t="shared" ref="N199:N262" si="12">IF($D199="","",$D199*N($E199))</f>
        <v/>
      </c>
      <c r="O199" s="9" t="str">
        <f t="shared" ref="O199:O262" si="13">IF($D199="","",$D199*N($F199))</f>
        <v/>
      </c>
      <c r="P199" s="10" t="str">
        <f t="shared" ref="P199:P262" si="14">IF($D199="","",IF(N($K199)&gt;0,$K199,IF(AND(N($G199)&gt;0,N($H199)&gt;0,N($I199)&gt;0,N($J199)&gt;0),$H199*$I199*$J199/1000000/$G199,0)))</f>
        <v/>
      </c>
      <c r="Q199" s="10" t="str">
        <f t="shared" ref="Q199:Q262" si="15">IF($D199="","",$D199*$P199)</f>
        <v/>
      </c>
    </row>
    <row r="200" spans="1:17" x14ac:dyDescent="0.3">
      <c r="A200" s="2"/>
      <c r="B200" s="2"/>
      <c r="C200" s="2"/>
      <c r="D200" s="3"/>
      <c r="E200" s="4"/>
      <c r="F200" s="4"/>
      <c r="G200" s="5"/>
      <c r="H200" s="6"/>
      <c r="I200" s="6"/>
      <c r="J200" s="6"/>
      <c r="K200" s="7"/>
      <c r="L200" s="49"/>
      <c r="M200" s="2"/>
      <c r="N200" s="8" t="str">
        <f t="shared" si="12"/>
        <v/>
      </c>
      <c r="O200" s="9" t="str">
        <f t="shared" si="13"/>
        <v/>
      </c>
      <c r="P200" s="10" t="str">
        <f t="shared" si="14"/>
        <v/>
      </c>
      <c r="Q200" s="10" t="str">
        <f t="shared" si="15"/>
        <v/>
      </c>
    </row>
    <row r="201" spans="1:17" x14ac:dyDescent="0.3">
      <c r="A201" s="2"/>
      <c r="B201" s="2"/>
      <c r="C201" s="2"/>
      <c r="D201" s="3"/>
      <c r="E201" s="4"/>
      <c r="F201" s="4"/>
      <c r="G201" s="5"/>
      <c r="H201" s="6"/>
      <c r="I201" s="6"/>
      <c r="J201" s="6"/>
      <c r="K201" s="7"/>
      <c r="L201" s="49"/>
      <c r="M201" s="2"/>
      <c r="N201" s="8" t="str">
        <f t="shared" si="12"/>
        <v/>
      </c>
      <c r="O201" s="9" t="str">
        <f t="shared" si="13"/>
        <v/>
      </c>
      <c r="P201" s="10" t="str">
        <f t="shared" si="14"/>
        <v/>
      </c>
      <c r="Q201" s="10" t="str">
        <f t="shared" si="15"/>
        <v/>
      </c>
    </row>
    <row r="202" spans="1:17" x14ac:dyDescent="0.3">
      <c r="A202" s="2"/>
      <c r="B202" s="2"/>
      <c r="C202" s="2"/>
      <c r="D202" s="3"/>
      <c r="E202" s="4"/>
      <c r="F202" s="4"/>
      <c r="G202" s="5"/>
      <c r="H202" s="6"/>
      <c r="I202" s="6"/>
      <c r="J202" s="6"/>
      <c r="K202" s="7"/>
      <c r="L202" s="49"/>
      <c r="M202" s="2"/>
      <c r="N202" s="8" t="str">
        <f t="shared" si="12"/>
        <v/>
      </c>
      <c r="O202" s="9" t="str">
        <f t="shared" si="13"/>
        <v/>
      </c>
      <c r="P202" s="10" t="str">
        <f t="shared" si="14"/>
        <v/>
      </c>
      <c r="Q202" s="10" t="str">
        <f t="shared" si="15"/>
        <v/>
      </c>
    </row>
    <row r="203" spans="1:17" x14ac:dyDescent="0.3">
      <c r="A203" s="2"/>
      <c r="B203" s="2"/>
      <c r="C203" s="2"/>
      <c r="D203" s="3"/>
      <c r="E203" s="4"/>
      <c r="F203" s="4"/>
      <c r="G203" s="5"/>
      <c r="H203" s="6"/>
      <c r="I203" s="6"/>
      <c r="J203" s="6"/>
      <c r="K203" s="7"/>
      <c r="L203" s="49"/>
      <c r="M203" s="2"/>
      <c r="N203" s="8" t="str">
        <f t="shared" si="12"/>
        <v/>
      </c>
      <c r="O203" s="9" t="str">
        <f t="shared" si="13"/>
        <v/>
      </c>
      <c r="P203" s="10" t="str">
        <f t="shared" si="14"/>
        <v/>
      </c>
      <c r="Q203" s="10" t="str">
        <f t="shared" si="15"/>
        <v/>
      </c>
    </row>
    <row r="204" spans="1:17" x14ac:dyDescent="0.3">
      <c r="A204" s="2"/>
      <c r="B204" s="2"/>
      <c r="C204" s="2"/>
      <c r="D204" s="3"/>
      <c r="E204" s="4"/>
      <c r="F204" s="4"/>
      <c r="G204" s="5"/>
      <c r="H204" s="6"/>
      <c r="I204" s="6"/>
      <c r="J204" s="6"/>
      <c r="K204" s="7"/>
      <c r="L204" s="49"/>
      <c r="M204" s="2"/>
      <c r="N204" s="8" t="str">
        <f t="shared" si="12"/>
        <v/>
      </c>
      <c r="O204" s="9" t="str">
        <f t="shared" si="13"/>
        <v/>
      </c>
      <c r="P204" s="10" t="str">
        <f t="shared" si="14"/>
        <v/>
      </c>
      <c r="Q204" s="10" t="str">
        <f t="shared" si="15"/>
        <v/>
      </c>
    </row>
    <row r="205" spans="1:17" x14ac:dyDescent="0.3">
      <c r="A205" s="2"/>
      <c r="B205" s="2"/>
      <c r="C205" s="2"/>
      <c r="D205" s="3"/>
      <c r="E205" s="4"/>
      <c r="F205" s="4"/>
      <c r="G205" s="5"/>
      <c r="H205" s="6"/>
      <c r="I205" s="6"/>
      <c r="J205" s="6"/>
      <c r="K205" s="7"/>
      <c r="L205" s="49"/>
      <c r="M205" s="2"/>
      <c r="N205" s="8" t="str">
        <f t="shared" si="12"/>
        <v/>
      </c>
      <c r="O205" s="9" t="str">
        <f t="shared" si="13"/>
        <v/>
      </c>
      <c r="P205" s="10" t="str">
        <f t="shared" si="14"/>
        <v/>
      </c>
      <c r="Q205" s="10" t="str">
        <f t="shared" si="15"/>
        <v/>
      </c>
    </row>
    <row r="206" spans="1:17" x14ac:dyDescent="0.3">
      <c r="A206" s="2"/>
      <c r="B206" s="2"/>
      <c r="C206" s="2"/>
      <c r="D206" s="3"/>
      <c r="E206" s="4"/>
      <c r="F206" s="4"/>
      <c r="G206" s="5"/>
      <c r="H206" s="6"/>
      <c r="I206" s="6"/>
      <c r="J206" s="6"/>
      <c r="K206" s="7"/>
      <c r="L206" s="49"/>
      <c r="M206" s="2"/>
      <c r="N206" s="8" t="str">
        <f t="shared" si="12"/>
        <v/>
      </c>
      <c r="O206" s="9" t="str">
        <f t="shared" si="13"/>
        <v/>
      </c>
      <c r="P206" s="10" t="str">
        <f t="shared" si="14"/>
        <v/>
      </c>
      <c r="Q206" s="10" t="str">
        <f t="shared" si="15"/>
        <v/>
      </c>
    </row>
    <row r="207" spans="1:17" x14ac:dyDescent="0.3">
      <c r="A207" s="2"/>
      <c r="B207" s="2"/>
      <c r="C207" s="2"/>
      <c r="D207" s="3"/>
      <c r="E207" s="4"/>
      <c r="F207" s="4"/>
      <c r="G207" s="5"/>
      <c r="H207" s="6"/>
      <c r="I207" s="6"/>
      <c r="J207" s="6"/>
      <c r="K207" s="7"/>
      <c r="L207" s="49"/>
      <c r="M207" s="2"/>
      <c r="N207" s="8" t="str">
        <f t="shared" si="12"/>
        <v/>
      </c>
      <c r="O207" s="9" t="str">
        <f t="shared" si="13"/>
        <v/>
      </c>
      <c r="P207" s="10" t="str">
        <f t="shared" si="14"/>
        <v/>
      </c>
      <c r="Q207" s="10" t="str">
        <f t="shared" si="15"/>
        <v/>
      </c>
    </row>
    <row r="208" spans="1:17" x14ac:dyDescent="0.3">
      <c r="A208" s="2"/>
      <c r="B208" s="2"/>
      <c r="C208" s="2"/>
      <c r="D208" s="3"/>
      <c r="E208" s="4"/>
      <c r="F208" s="4"/>
      <c r="G208" s="5"/>
      <c r="H208" s="6"/>
      <c r="I208" s="6"/>
      <c r="J208" s="6"/>
      <c r="K208" s="7"/>
      <c r="L208" s="49"/>
      <c r="M208" s="2"/>
      <c r="N208" s="8" t="str">
        <f t="shared" si="12"/>
        <v/>
      </c>
      <c r="O208" s="9" t="str">
        <f t="shared" si="13"/>
        <v/>
      </c>
      <c r="P208" s="10" t="str">
        <f t="shared" si="14"/>
        <v/>
      </c>
      <c r="Q208" s="10" t="str">
        <f t="shared" si="15"/>
        <v/>
      </c>
    </row>
    <row r="209" spans="1:17" x14ac:dyDescent="0.3">
      <c r="A209" s="2"/>
      <c r="B209" s="2"/>
      <c r="C209" s="2"/>
      <c r="D209" s="3"/>
      <c r="E209" s="4"/>
      <c r="F209" s="4"/>
      <c r="G209" s="5"/>
      <c r="H209" s="6"/>
      <c r="I209" s="6"/>
      <c r="J209" s="6"/>
      <c r="K209" s="7"/>
      <c r="L209" s="49"/>
      <c r="M209" s="2"/>
      <c r="N209" s="8" t="str">
        <f t="shared" si="12"/>
        <v/>
      </c>
      <c r="O209" s="9" t="str">
        <f t="shared" si="13"/>
        <v/>
      </c>
      <c r="P209" s="10" t="str">
        <f t="shared" si="14"/>
        <v/>
      </c>
      <c r="Q209" s="10" t="str">
        <f t="shared" si="15"/>
        <v/>
      </c>
    </row>
    <row r="210" spans="1:17" x14ac:dyDescent="0.3">
      <c r="A210" s="2"/>
      <c r="B210" s="2"/>
      <c r="C210" s="2"/>
      <c r="D210" s="3"/>
      <c r="E210" s="4"/>
      <c r="F210" s="4"/>
      <c r="G210" s="5"/>
      <c r="H210" s="6"/>
      <c r="I210" s="6"/>
      <c r="J210" s="6"/>
      <c r="K210" s="7"/>
      <c r="L210" s="49"/>
      <c r="M210" s="2"/>
      <c r="N210" s="8" t="str">
        <f t="shared" si="12"/>
        <v/>
      </c>
      <c r="O210" s="9" t="str">
        <f t="shared" si="13"/>
        <v/>
      </c>
      <c r="P210" s="10" t="str">
        <f t="shared" si="14"/>
        <v/>
      </c>
      <c r="Q210" s="10" t="str">
        <f t="shared" si="15"/>
        <v/>
      </c>
    </row>
    <row r="211" spans="1:17" x14ac:dyDescent="0.3">
      <c r="A211" s="2"/>
      <c r="B211" s="2"/>
      <c r="C211" s="2"/>
      <c r="D211" s="3"/>
      <c r="E211" s="4"/>
      <c r="F211" s="4"/>
      <c r="G211" s="5"/>
      <c r="H211" s="6"/>
      <c r="I211" s="6"/>
      <c r="J211" s="6"/>
      <c r="K211" s="7"/>
      <c r="L211" s="49"/>
      <c r="M211" s="2"/>
      <c r="N211" s="8" t="str">
        <f t="shared" si="12"/>
        <v/>
      </c>
      <c r="O211" s="9" t="str">
        <f t="shared" si="13"/>
        <v/>
      </c>
      <c r="P211" s="10" t="str">
        <f t="shared" si="14"/>
        <v/>
      </c>
      <c r="Q211" s="10" t="str">
        <f t="shared" si="15"/>
        <v/>
      </c>
    </row>
    <row r="212" spans="1:17" x14ac:dyDescent="0.3">
      <c r="A212" s="2"/>
      <c r="B212" s="2"/>
      <c r="C212" s="2"/>
      <c r="D212" s="3"/>
      <c r="E212" s="4"/>
      <c r="F212" s="4"/>
      <c r="G212" s="5"/>
      <c r="H212" s="6"/>
      <c r="I212" s="6"/>
      <c r="J212" s="6"/>
      <c r="K212" s="7"/>
      <c r="L212" s="49"/>
      <c r="M212" s="2"/>
      <c r="N212" s="8" t="str">
        <f t="shared" si="12"/>
        <v/>
      </c>
      <c r="O212" s="9" t="str">
        <f t="shared" si="13"/>
        <v/>
      </c>
      <c r="P212" s="10" t="str">
        <f t="shared" si="14"/>
        <v/>
      </c>
      <c r="Q212" s="10" t="str">
        <f t="shared" si="15"/>
        <v/>
      </c>
    </row>
    <row r="213" spans="1:17" x14ac:dyDescent="0.3">
      <c r="A213" s="2"/>
      <c r="B213" s="2"/>
      <c r="C213" s="2"/>
      <c r="D213" s="3"/>
      <c r="E213" s="4"/>
      <c r="F213" s="4"/>
      <c r="G213" s="5"/>
      <c r="H213" s="6"/>
      <c r="I213" s="6"/>
      <c r="J213" s="6"/>
      <c r="K213" s="7"/>
      <c r="L213" s="49"/>
      <c r="M213" s="2"/>
      <c r="N213" s="8" t="str">
        <f t="shared" si="12"/>
        <v/>
      </c>
      <c r="O213" s="9" t="str">
        <f t="shared" si="13"/>
        <v/>
      </c>
      <c r="P213" s="10" t="str">
        <f t="shared" si="14"/>
        <v/>
      </c>
      <c r="Q213" s="10" t="str">
        <f t="shared" si="15"/>
        <v/>
      </c>
    </row>
    <row r="214" spans="1:17" x14ac:dyDescent="0.3">
      <c r="A214" s="2"/>
      <c r="B214" s="2"/>
      <c r="C214" s="2"/>
      <c r="D214" s="3"/>
      <c r="E214" s="4"/>
      <c r="F214" s="4"/>
      <c r="G214" s="5"/>
      <c r="H214" s="6"/>
      <c r="I214" s="6"/>
      <c r="J214" s="6"/>
      <c r="K214" s="7"/>
      <c r="L214" s="49"/>
      <c r="M214" s="2"/>
      <c r="N214" s="8" t="str">
        <f t="shared" si="12"/>
        <v/>
      </c>
      <c r="O214" s="9" t="str">
        <f t="shared" si="13"/>
        <v/>
      </c>
      <c r="P214" s="10" t="str">
        <f t="shared" si="14"/>
        <v/>
      </c>
      <c r="Q214" s="10" t="str">
        <f t="shared" si="15"/>
        <v/>
      </c>
    </row>
    <row r="215" spans="1:17" x14ac:dyDescent="0.3">
      <c r="A215" s="2"/>
      <c r="B215" s="2"/>
      <c r="C215" s="2"/>
      <c r="D215" s="3"/>
      <c r="E215" s="4"/>
      <c r="F215" s="4"/>
      <c r="G215" s="5"/>
      <c r="H215" s="6"/>
      <c r="I215" s="6"/>
      <c r="J215" s="6"/>
      <c r="K215" s="7"/>
      <c r="L215" s="49"/>
      <c r="M215" s="2"/>
      <c r="N215" s="8" t="str">
        <f t="shared" si="12"/>
        <v/>
      </c>
      <c r="O215" s="9" t="str">
        <f t="shared" si="13"/>
        <v/>
      </c>
      <c r="P215" s="10" t="str">
        <f t="shared" si="14"/>
        <v/>
      </c>
      <c r="Q215" s="10" t="str">
        <f t="shared" si="15"/>
        <v/>
      </c>
    </row>
    <row r="216" spans="1:17" x14ac:dyDescent="0.3">
      <c r="A216" s="2"/>
      <c r="B216" s="2"/>
      <c r="C216" s="2"/>
      <c r="D216" s="3"/>
      <c r="E216" s="4"/>
      <c r="F216" s="4"/>
      <c r="G216" s="5"/>
      <c r="H216" s="6"/>
      <c r="I216" s="6"/>
      <c r="J216" s="6"/>
      <c r="K216" s="7"/>
      <c r="L216" s="49"/>
      <c r="M216" s="2"/>
      <c r="N216" s="8" t="str">
        <f t="shared" si="12"/>
        <v/>
      </c>
      <c r="O216" s="9" t="str">
        <f t="shared" si="13"/>
        <v/>
      </c>
      <c r="P216" s="10" t="str">
        <f t="shared" si="14"/>
        <v/>
      </c>
      <c r="Q216" s="10" t="str">
        <f t="shared" si="15"/>
        <v/>
      </c>
    </row>
    <row r="217" spans="1:17" x14ac:dyDescent="0.3">
      <c r="A217" s="2"/>
      <c r="B217" s="2"/>
      <c r="C217" s="2"/>
      <c r="D217" s="3"/>
      <c r="E217" s="4"/>
      <c r="F217" s="4"/>
      <c r="G217" s="5"/>
      <c r="H217" s="6"/>
      <c r="I217" s="6"/>
      <c r="J217" s="6"/>
      <c r="K217" s="7"/>
      <c r="L217" s="49"/>
      <c r="M217" s="2"/>
      <c r="N217" s="8" t="str">
        <f t="shared" si="12"/>
        <v/>
      </c>
      <c r="O217" s="9" t="str">
        <f t="shared" si="13"/>
        <v/>
      </c>
      <c r="P217" s="10" t="str">
        <f t="shared" si="14"/>
        <v/>
      </c>
      <c r="Q217" s="10" t="str">
        <f t="shared" si="15"/>
        <v/>
      </c>
    </row>
    <row r="218" spans="1:17" x14ac:dyDescent="0.3">
      <c r="A218" s="2"/>
      <c r="B218" s="2"/>
      <c r="C218" s="2"/>
      <c r="D218" s="3"/>
      <c r="E218" s="4"/>
      <c r="F218" s="4"/>
      <c r="G218" s="5"/>
      <c r="H218" s="6"/>
      <c r="I218" s="6"/>
      <c r="J218" s="6"/>
      <c r="K218" s="7"/>
      <c r="L218" s="49"/>
      <c r="M218" s="2"/>
      <c r="N218" s="8" t="str">
        <f t="shared" si="12"/>
        <v/>
      </c>
      <c r="O218" s="9" t="str">
        <f t="shared" si="13"/>
        <v/>
      </c>
      <c r="P218" s="10" t="str">
        <f t="shared" si="14"/>
        <v/>
      </c>
      <c r="Q218" s="10" t="str">
        <f t="shared" si="15"/>
        <v/>
      </c>
    </row>
    <row r="219" spans="1:17" x14ac:dyDescent="0.3">
      <c r="A219" s="2"/>
      <c r="B219" s="2"/>
      <c r="C219" s="2"/>
      <c r="D219" s="3"/>
      <c r="E219" s="4"/>
      <c r="F219" s="4"/>
      <c r="G219" s="5"/>
      <c r="H219" s="6"/>
      <c r="I219" s="6"/>
      <c r="J219" s="6"/>
      <c r="K219" s="7"/>
      <c r="L219" s="49"/>
      <c r="M219" s="2"/>
      <c r="N219" s="8" t="str">
        <f t="shared" si="12"/>
        <v/>
      </c>
      <c r="O219" s="9" t="str">
        <f t="shared" si="13"/>
        <v/>
      </c>
      <c r="P219" s="10" t="str">
        <f t="shared" si="14"/>
        <v/>
      </c>
      <c r="Q219" s="10" t="str">
        <f t="shared" si="15"/>
        <v/>
      </c>
    </row>
    <row r="220" spans="1:17" x14ac:dyDescent="0.3">
      <c r="A220" s="2"/>
      <c r="B220" s="2"/>
      <c r="C220" s="2"/>
      <c r="D220" s="3"/>
      <c r="E220" s="4"/>
      <c r="F220" s="4"/>
      <c r="G220" s="5"/>
      <c r="H220" s="6"/>
      <c r="I220" s="6"/>
      <c r="J220" s="6"/>
      <c r="K220" s="7"/>
      <c r="L220" s="49"/>
      <c r="M220" s="2"/>
      <c r="N220" s="8" t="str">
        <f t="shared" si="12"/>
        <v/>
      </c>
      <c r="O220" s="9" t="str">
        <f t="shared" si="13"/>
        <v/>
      </c>
      <c r="P220" s="10" t="str">
        <f t="shared" si="14"/>
        <v/>
      </c>
      <c r="Q220" s="10" t="str">
        <f t="shared" si="15"/>
        <v/>
      </c>
    </row>
    <row r="221" spans="1:17" x14ac:dyDescent="0.3">
      <c r="A221" s="2"/>
      <c r="B221" s="2"/>
      <c r="C221" s="2"/>
      <c r="D221" s="3"/>
      <c r="E221" s="4"/>
      <c r="F221" s="4"/>
      <c r="G221" s="5"/>
      <c r="H221" s="6"/>
      <c r="I221" s="6"/>
      <c r="J221" s="6"/>
      <c r="K221" s="7"/>
      <c r="L221" s="49"/>
      <c r="M221" s="2"/>
      <c r="N221" s="8" t="str">
        <f t="shared" si="12"/>
        <v/>
      </c>
      <c r="O221" s="9" t="str">
        <f t="shared" si="13"/>
        <v/>
      </c>
      <c r="P221" s="10" t="str">
        <f t="shared" si="14"/>
        <v/>
      </c>
      <c r="Q221" s="10" t="str">
        <f t="shared" si="15"/>
        <v/>
      </c>
    </row>
    <row r="222" spans="1:17" x14ac:dyDescent="0.3">
      <c r="A222" s="2"/>
      <c r="B222" s="2"/>
      <c r="C222" s="2"/>
      <c r="D222" s="3"/>
      <c r="E222" s="4"/>
      <c r="F222" s="4"/>
      <c r="G222" s="5"/>
      <c r="H222" s="6"/>
      <c r="I222" s="6"/>
      <c r="J222" s="6"/>
      <c r="K222" s="7"/>
      <c r="L222" s="49"/>
      <c r="M222" s="2"/>
      <c r="N222" s="8" t="str">
        <f t="shared" si="12"/>
        <v/>
      </c>
      <c r="O222" s="9" t="str">
        <f t="shared" si="13"/>
        <v/>
      </c>
      <c r="P222" s="10" t="str">
        <f t="shared" si="14"/>
        <v/>
      </c>
      <c r="Q222" s="10" t="str">
        <f t="shared" si="15"/>
        <v/>
      </c>
    </row>
    <row r="223" spans="1:17" x14ac:dyDescent="0.3">
      <c r="A223" s="2"/>
      <c r="B223" s="2"/>
      <c r="C223" s="2"/>
      <c r="D223" s="3"/>
      <c r="E223" s="4"/>
      <c r="F223" s="4"/>
      <c r="G223" s="5"/>
      <c r="H223" s="6"/>
      <c r="I223" s="6"/>
      <c r="J223" s="6"/>
      <c r="K223" s="7"/>
      <c r="L223" s="49"/>
      <c r="M223" s="2"/>
      <c r="N223" s="8" t="str">
        <f t="shared" si="12"/>
        <v/>
      </c>
      <c r="O223" s="9" t="str">
        <f t="shared" si="13"/>
        <v/>
      </c>
      <c r="P223" s="10" t="str">
        <f t="shared" si="14"/>
        <v/>
      </c>
      <c r="Q223" s="10" t="str">
        <f t="shared" si="15"/>
        <v/>
      </c>
    </row>
    <row r="224" spans="1:17" x14ac:dyDescent="0.3">
      <c r="A224" s="2"/>
      <c r="B224" s="2"/>
      <c r="C224" s="2"/>
      <c r="D224" s="3"/>
      <c r="E224" s="4"/>
      <c r="F224" s="4"/>
      <c r="G224" s="5"/>
      <c r="H224" s="6"/>
      <c r="I224" s="6"/>
      <c r="J224" s="6"/>
      <c r="K224" s="7"/>
      <c r="L224" s="49"/>
      <c r="M224" s="2"/>
      <c r="N224" s="8" t="str">
        <f t="shared" si="12"/>
        <v/>
      </c>
      <c r="O224" s="9" t="str">
        <f t="shared" si="13"/>
        <v/>
      </c>
      <c r="P224" s="10" t="str">
        <f t="shared" si="14"/>
        <v/>
      </c>
      <c r="Q224" s="10" t="str">
        <f t="shared" si="15"/>
        <v/>
      </c>
    </row>
    <row r="225" spans="1:17" x14ac:dyDescent="0.3">
      <c r="A225" s="2"/>
      <c r="B225" s="2"/>
      <c r="C225" s="2"/>
      <c r="D225" s="3"/>
      <c r="E225" s="4"/>
      <c r="F225" s="4"/>
      <c r="G225" s="5"/>
      <c r="H225" s="6"/>
      <c r="I225" s="6"/>
      <c r="J225" s="6"/>
      <c r="K225" s="7"/>
      <c r="L225" s="49"/>
      <c r="M225" s="2"/>
      <c r="N225" s="8" t="str">
        <f t="shared" si="12"/>
        <v/>
      </c>
      <c r="O225" s="9" t="str">
        <f t="shared" si="13"/>
        <v/>
      </c>
      <c r="P225" s="10" t="str">
        <f t="shared" si="14"/>
        <v/>
      </c>
      <c r="Q225" s="10" t="str">
        <f t="shared" si="15"/>
        <v/>
      </c>
    </row>
    <row r="226" spans="1:17" x14ac:dyDescent="0.3">
      <c r="A226" s="2"/>
      <c r="B226" s="2"/>
      <c r="C226" s="2"/>
      <c r="D226" s="3"/>
      <c r="E226" s="4"/>
      <c r="F226" s="4"/>
      <c r="G226" s="5"/>
      <c r="H226" s="6"/>
      <c r="I226" s="6"/>
      <c r="J226" s="6"/>
      <c r="K226" s="7"/>
      <c r="L226" s="49"/>
      <c r="M226" s="2"/>
      <c r="N226" s="8" t="str">
        <f t="shared" si="12"/>
        <v/>
      </c>
      <c r="O226" s="9" t="str">
        <f t="shared" si="13"/>
        <v/>
      </c>
      <c r="P226" s="10" t="str">
        <f t="shared" si="14"/>
        <v/>
      </c>
      <c r="Q226" s="10" t="str">
        <f t="shared" si="15"/>
        <v/>
      </c>
    </row>
    <row r="227" spans="1:17" x14ac:dyDescent="0.3">
      <c r="A227" s="2"/>
      <c r="B227" s="2"/>
      <c r="C227" s="2"/>
      <c r="D227" s="3"/>
      <c r="E227" s="4"/>
      <c r="F227" s="4"/>
      <c r="G227" s="5"/>
      <c r="H227" s="6"/>
      <c r="I227" s="6"/>
      <c r="J227" s="6"/>
      <c r="K227" s="7"/>
      <c r="L227" s="49"/>
      <c r="M227" s="2"/>
      <c r="N227" s="8" t="str">
        <f t="shared" si="12"/>
        <v/>
      </c>
      <c r="O227" s="9" t="str">
        <f t="shared" si="13"/>
        <v/>
      </c>
      <c r="P227" s="10" t="str">
        <f t="shared" si="14"/>
        <v/>
      </c>
      <c r="Q227" s="10" t="str">
        <f t="shared" si="15"/>
        <v/>
      </c>
    </row>
    <row r="228" spans="1:17" x14ac:dyDescent="0.3">
      <c r="A228" s="2"/>
      <c r="B228" s="2"/>
      <c r="C228" s="2"/>
      <c r="D228" s="3"/>
      <c r="E228" s="4"/>
      <c r="F228" s="4"/>
      <c r="G228" s="5"/>
      <c r="H228" s="6"/>
      <c r="I228" s="6"/>
      <c r="J228" s="6"/>
      <c r="K228" s="7"/>
      <c r="L228" s="49"/>
      <c r="M228" s="2"/>
      <c r="N228" s="8" t="str">
        <f t="shared" si="12"/>
        <v/>
      </c>
      <c r="O228" s="9" t="str">
        <f t="shared" si="13"/>
        <v/>
      </c>
      <c r="P228" s="10" t="str">
        <f t="shared" si="14"/>
        <v/>
      </c>
      <c r="Q228" s="10" t="str">
        <f t="shared" si="15"/>
        <v/>
      </c>
    </row>
    <row r="229" spans="1:17" x14ac:dyDescent="0.3">
      <c r="A229" s="2"/>
      <c r="B229" s="2"/>
      <c r="C229" s="2"/>
      <c r="D229" s="3"/>
      <c r="E229" s="4"/>
      <c r="F229" s="4"/>
      <c r="G229" s="5"/>
      <c r="H229" s="6"/>
      <c r="I229" s="6"/>
      <c r="J229" s="6"/>
      <c r="K229" s="7"/>
      <c r="L229" s="49"/>
      <c r="M229" s="2"/>
      <c r="N229" s="8" t="str">
        <f t="shared" si="12"/>
        <v/>
      </c>
      <c r="O229" s="9" t="str">
        <f t="shared" si="13"/>
        <v/>
      </c>
      <c r="P229" s="10" t="str">
        <f t="shared" si="14"/>
        <v/>
      </c>
      <c r="Q229" s="10" t="str">
        <f t="shared" si="15"/>
        <v/>
      </c>
    </row>
    <row r="230" spans="1:17" x14ac:dyDescent="0.3">
      <c r="A230" s="2"/>
      <c r="B230" s="2"/>
      <c r="C230" s="2"/>
      <c r="D230" s="3"/>
      <c r="E230" s="4"/>
      <c r="F230" s="4"/>
      <c r="G230" s="5"/>
      <c r="H230" s="6"/>
      <c r="I230" s="6"/>
      <c r="J230" s="6"/>
      <c r="K230" s="7"/>
      <c r="L230" s="49"/>
      <c r="M230" s="2"/>
      <c r="N230" s="8" t="str">
        <f t="shared" si="12"/>
        <v/>
      </c>
      <c r="O230" s="9" t="str">
        <f t="shared" si="13"/>
        <v/>
      </c>
      <c r="P230" s="10" t="str">
        <f t="shared" si="14"/>
        <v/>
      </c>
      <c r="Q230" s="10" t="str">
        <f t="shared" si="15"/>
        <v/>
      </c>
    </row>
    <row r="231" spans="1:17" x14ac:dyDescent="0.3">
      <c r="A231" s="2"/>
      <c r="B231" s="2"/>
      <c r="C231" s="2"/>
      <c r="D231" s="3"/>
      <c r="E231" s="4"/>
      <c r="F231" s="4"/>
      <c r="G231" s="5"/>
      <c r="H231" s="6"/>
      <c r="I231" s="6"/>
      <c r="J231" s="6"/>
      <c r="K231" s="7"/>
      <c r="L231" s="49"/>
      <c r="M231" s="2"/>
      <c r="N231" s="8" t="str">
        <f t="shared" si="12"/>
        <v/>
      </c>
      <c r="O231" s="9" t="str">
        <f t="shared" si="13"/>
        <v/>
      </c>
      <c r="P231" s="10" t="str">
        <f t="shared" si="14"/>
        <v/>
      </c>
      <c r="Q231" s="10" t="str">
        <f t="shared" si="15"/>
        <v/>
      </c>
    </row>
    <row r="232" spans="1:17" x14ac:dyDescent="0.3">
      <c r="A232" s="2"/>
      <c r="B232" s="2"/>
      <c r="C232" s="2"/>
      <c r="D232" s="3"/>
      <c r="E232" s="4"/>
      <c r="F232" s="4"/>
      <c r="G232" s="5"/>
      <c r="H232" s="6"/>
      <c r="I232" s="6"/>
      <c r="J232" s="6"/>
      <c r="K232" s="7"/>
      <c r="L232" s="49"/>
      <c r="M232" s="2"/>
      <c r="N232" s="8" t="str">
        <f t="shared" si="12"/>
        <v/>
      </c>
      <c r="O232" s="9" t="str">
        <f t="shared" si="13"/>
        <v/>
      </c>
      <c r="P232" s="10" t="str">
        <f t="shared" si="14"/>
        <v/>
      </c>
      <c r="Q232" s="10" t="str">
        <f t="shared" si="15"/>
        <v/>
      </c>
    </row>
    <row r="233" spans="1:17" x14ac:dyDescent="0.3">
      <c r="A233" s="2"/>
      <c r="B233" s="2"/>
      <c r="C233" s="2"/>
      <c r="D233" s="3"/>
      <c r="E233" s="4"/>
      <c r="F233" s="4"/>
      <c r="G233" s="5"/>
      <c r="H233" s="6"/>
      <c r="I233" s="6"/>
      <c r="J233" s="6"/>
      <c r="K233" s="7"/>
      <c r="L233" s="49"/>
      <c r="M233" s="2"/>
      <c r="N233" s="8" t="str">
        <f t="shared" si="12"/>
        <v/>
      </c>
      <c r="O233" s="9" t="str">
        <f t="shared" si="13"/>
        <v/>
      </c>
      <c r="P233" s="10" t="str">
        <f t="shared" si="14"/>
        <v/>
      </c>
      <c r="Q233" s="10" t="str">
        <f t="shared" si="15"/>
        <v/>
      </c>
    </row>
    <row r="234" spans="1:17" x14ac:dyDescent="0.3">
      <c r="A234" s="2"/>
      <c r="B234" s="2"/>
      <c r="C234" s="2"/>
      <c r="D234" s="3"/>
      <c r="E234" s="4"/>
      <c r="F234" s="4"/>
      <c r="G234" s="5"/>
      <c r="H234" s="6"/>
      <c r="I234" s="6"/>
      <c r="J234" s="6"/>
      <c r="K234" s="7"/>
      <c r="L234" s="49"/>
      <c r="M234" s="2"/>
      <c r="N234" s="8" t="str">
        <f t="shared" si="12"/>
        <v/>
      </c>
      <c r="O234" s="9" t="str">
        <f t="shared" si="13"/>
        <v/>
      </c>
      <c r="P234" s="10" t="str">
        <f t="shared" si="14"/>
        <v/>
      </c>
      <c r="Q234" s="10" t="str">
        <f t="shared" si="15"/>
        <v/>
      </c>
    </row>
    <row r="235" spans="1:17" x14ac:dyDescent="0.3">
      <c r="A235" s="2"/>
      <c r="B235" s="2"/>
      <c r="C235" s="2"/>
      <c r="D235" s="3"/>
      <c r="E235" s="4"/>
      <c r="F235" s="4"/>
      <c r="G235" s="5"/>
      <c r="H235" s="6"/>
      <c r="I235" s="6"/>
      <c r="J235" s="6"/>
      <c r="K235" s="7"/>
      <c r="L235" s="49"/>
      <c r="M235" s="2"/>
      <c r="N235" s="8" t="str">
        <f t="shared" si="12"/>
        <v/>
      </c>
      <c r="O235" s="9" t="str">
        <f t="shared" si="13"/>
        <v/>
      </c>
      <c r="P235" s="10" t="str">
        <f t="shared" si="14"/>
        <v/>
      </c>
      <c r="Q235" s="10" t="str">
        <f t="shared" si="15"/>
        <v/>
      </c>
    </row>
    <row r="236" spans="1:17" x14ac:dyDescent="0.3">
      <c r="A236" s="2"/>
      <c r="B236" s="2"/>
      <c r="C236" s="2"/>
      <c r="D236" s="3"/>
      <c r="E236" s="4"/>
      <c r="F236" s="4"/>
      <c r="G236" s="5"/>
      <c r="H236" s="6"/>
      <c r="I236" s="6"/>
      <c r="J236" s="6"/>
      <c r="K236" s="7"/>
      <c r="L236" s="49"/>
      <c r="M236" s="2"/>
      <c r="N236" s="8" t="str">
        <f t="shared" si="12"/>
        <v/>
      </c>
      <c r="O236" s="9" t="str">
        <f t="shared" si="13"/>
        <v/>
      </c>
      <c r="P236" s="10" t="str">
        <f t="shared" si="14"/>
        <v/>
      </c>
      <c r="Q236" s="10" t="str">
        <f t="shared" si="15"/>
        <v/>
      </c>
    </row>
    <row r="237" spans="1:17" x14ac:dyDescent="0.3">
      <c r="A237" s="2"/>
      <c r="B237" s="2"/>
      <c r="C237" s="2"/>
      <c r="D237" s="3"/>
      <c r="E237" s="4"/>
      <c r="F237" s="4"/>
      <c r="G237" s="5"/>
      <c r="H237" s="6"/>
      <c r="I237" s="6"/>
      <c r="J237" s="6"/>
      <c r="K237" s="7"/>
      <c r="L237" s="49"/>
      <c r="M237" s="2"/>
      <c r="N237" s="8" t="str">
        <f t="shared" si="12"/>
        <v/>
      </c>
      <c r="O237" s="9" t="str">
        <f t="shared" si="13"/>
        <v/>
      </c>
      <c r="P237" s="10" t="str">
        <f t="shared" si="14"/>
        <v/>
      </c>
      <c r="Q237" s="10" t="str">
        <f t="shared" si="15"/>
        <v/>
      </c>
    </row>
    <row r="238" spans="1:17" x14ac:dyDescent="0.3">
      <c r="A238" s="2"/>
      <c r="B238" s="2"/>
      <c r="C238" s="2"/>
      <c r="D238" s="3"/>
      <c r="E238" s="4"/>
      <c r="F238" s="4"/>
      <c r="G238" s="5"/>
      <c r="H238" s="6"/>
      <c r="I238" s="6"/>
      <c r="J238" s="6"/>
      <c r="K238" s="7"/>
      <c r="L238" s="49"/>
      <c r="M238" s="2"/>
      <c r="N238" s="8" t="str">
        <f t="shared" si="12"/>
        <v/>
      </c>
      <c r="O238" s="9" t="str">
        <f t="shared" si="13"/>
        <v/>
      </c>
      <c r="P238" s="10" t="str">
        <f t="shared" si="14"/>
        <v/>
      </c>
      <c r="Q238" s="10" t="str">
        <f t="shared" si="15"/>
        <v/>
      </c>
    </row>
    <row r="239" spans="1:17" x14ac:dyDescent="0.3">
      <c r="A239" s="2"/>
      <c r="B239" s="2"/>
      <c r="C239" s="2"/>
      <c r="D239" s="3"/>
      <c r="E239" s="4"/>
      <c r="F239" s="4"/>
      <c r="G239" s="5"/>
      <c r="H239" s="6"/>
      <c r="I239" s="6"/>
      <c r="J239" s="6"/>
      <c r="K239" s="7"/>
      <c r="L239" s="49"/>
      <c r="M239" s="2"/>
      <c r="N239" s="8" t="str">
        <f t="shared" si="12"/>
        <v/>
      </c>
      <c r="O239" s="9" t="str">
        <f t="shared" si="13"/>
        <v/>
      </c>
      <c r="P239" s="10" t="str">
        <f t="shared" si="14"/>
        <v/>
      </c>
      <c r="Q239" s="10" t="str">
        <f t="shared" si="15"/>
        <v/>
      </c>
    </row>
    <row r="240" spans="1:17" x14ac:dyDescent="0.3">
      <c r="A240" s="2"/>
      <c r="B240" s="2"/>
      <c r="C240" s="2"/>
      <c r="D240" s="3"/>
      <c r="E240" s="4"/>
      <c r="F240" s="4"/>
      <c r="G240" s="5"/>
      <c r="H240" s="6"/>
      <c r="I240" s="6"/>
      <c r="J240" s="6"/>
      <c r="K240" s="7"/>
      <c r="L240" s="49"/>
      <c r="M240" s="2"/>
      <c r="N240" s="8" t="str">
        <f t="shared" si="12"/>
        <v/>
      </c>
      <c r="O240" s="9" t="str">
        <f t="shared" si="13"/>
        <v/>
      </c>
      <c r="P240" s="10" t="str">
        <f t="shared" si="14"/>
        <v/>
      </c>
      <c r="Q240" s="10" t="str">
        <f t="shared" si="15"/>
        <v/>
      </c>
    </row>
    <row r="241" spans="1:17" x14ac:dyDescent="0.3">
      <c r="A241" s="2"/>
      <c r="B241" s="2"/>
      <c r="C241" s="2"/>
      <c r="D241" s="3"/>
      <c r="E241" s="4"/>
      <c r="F241" s="4"/>
      <c r="G241" s="5"/>
      <c r="H241" s="6"/>
      <c r="I241" s="6"/>
      <c r="J241" s="6"/>
      <c r="K241" s="7"/>
      <c r="L241" s="49"/>
      <c r="M241" s="2"/>
      <c r="N241" s="8" t="str">
        <f t="shared" si="12"/>
        <v/>
      </c>
      <c r="O241" s="9" t="str">
        <f t="shared" si="13"/>
        <v/>
      </c>
      <c r="P241" s="10" t="str">
        <f t="shared" si="14"/>
        <v/>
      </c>
      <c r="Q241" s="10" t="str">
        <f t="shared" si="15"/>
        <v/>
      </c>
    </row>
    <row r="242" spans="1:17" x14ac:dyDescent="0.3">
      <c r="A242" s="2"/>
      <c r="B242" s="2"/>
      <c r="C242" s="2"/>
      <c r="D242" s="3"/>
      <c r="E242" s="4"/>
      <c r="F242" s="4"/>
      <c r="G242" s="5"/>
      <c r="H242" s="6"/>
      <c r="I242" s="6"/>
      <c r="J242" s="6"/>
      <c r="K242" s="7"/>
      <c r="L242" s="49"/>
      <c r="M242" s="2"/>
      <c r="N242" s="8" t="str">
        <f t="shared" si="12"/>
        <v/>
      </c>
      <c r="O242" s="9" t="str">
        <f t="shared" si="13"/>
        <v/>
      </c>
      <c r="P242" s="10" t="str">
        <f t="shared" si="14"/>
        <v/>
      </c>
      <c r="Q242" s="10" t="str">
        <f t="shared" si="15"/>
        <v/>
      </c>
    </row>
    <row r="243" spans="1:17" x14ac:dyDescent="0.3">
      <c r="A243" s="2"/>
      <c r="B243" s="2"/>
      <c r="C243" s="2"/>
      <c r="D243" s="3"/>
      <c r="E243" s="4"/>
      <c r="F243" s="4"/>
      <c r="G243" s="5"/>
      <c r="H243" s="6"/>
      <c r="I243" s="6"/>
      <c r="J243" s="6"/>
      <c r="K243" s="7"/>
      <c r="L243" s="49"/>
      <c r="M243" s="2"/>
      <c r="N243" s="8" t="str">
        <f t="shared" si="12"/>
        <v/>
      </c>
      <c r="O243" s="9" t="str">
        <f t="shared" si="13"/>
        <v/>
      </c>
      <c r="P243" s="10" t="str">
        <f t="shared" si="14"/>
        <v/>
      </c>
      <c r="Q243" s="10" t="str">
        <f t="shared" si="15"/>
        <v/>
      </c>
    </row>
    <row r="244" spans="1:17" x14ac:dyDescent="0.3">
      <c r="A244" s="2"/>
      <c r="B244" s="2"/>
      <c r="C244" s="2"/>
      <c r="D244" s="3"/>
      <c r="E244" s="4"/>
      <c r="F244" s="4"/>
      <c r="G244" s="5"/>
      <c r="H244" s="6"/>
      <c r="I244" s="6"/>
      <c r="J244" s="6"/>
      <c r="K244" s="7"/>
      <c r="L244" s="49"/>
      <c r="M244" s="2"/>
      <c r="N244" s="8" t="str">
        <f t="shared" si="12"/>
        <v/>
      </c>
      <c r="O244" s="9" t="str">
        <f t="shared" si="13"/>
        <v/>
      </c>
      <c r="P244" s="10" t="str">
        <f t="shared" si="14"/>
        <v/>
      </c>
      <c r="Q244" s="10" t="str">
        <f t="shared" si="15"/>
        <v/>
      </c>
    </row>
    <row r="245" spans="1:17" x14ac:dyDescent="0.3">
      <c r="A245" s="2"/>
      <c r="B245" s="2"/>
      <c r="C245" s="2"/>
      <c r="D245" s="3"/>
      <c r="E245" s="4"/>
      <c r="F245" s="4"/>
      <c r="G245" s="5"/>
      <c r="H245" s="6"/>
      <c r="I245" s="6"/>
      <c r="J245" s="6"/>
      <c r="K245" s="7"/>
      <c r="L245" s="49"/>
      <c r="M245" s="2"/>
      <c r="N245" s="8" t="str">
        <f t="shared" si="12"/>
        <v/>
      </c>
      <c r="O245" s="9" t="str">
        <f t="shared" si="13"/>
        <v/>
      </c>
      <c r="P245" s="10" t="str">
        <f t="shared" si="14"/>
        <v/>
      </c>
      <c r="Q245" s="10" t="str">
        <f t="shared" si="15"/>
        <v/>
      </c>
    </row>
    <row r="246" spans="1:17" x14ac:dyDescent="0.3">
      <c r="A246" s="2"/>
      <c r="B246" s="2"/>
      <c r="C246" s="2"/>
      <c r="D246" s="3"/>
      <c r="E246" s="4"/>
      <c r="F246" s="4"/>
      <c r="G246" s="5"/>
      <c r="H246" s="6"/>
      <c r="I246" s="6"/>
      <c r="J246" s="6"/>
      <c r="K246" s="7"/>
      <c r="L246" s="49"/>
      <c r="M246" s="2"/>
      <c r="N246" s="8" t="str">
        <f t="shared" si="12"/>
        <v/>
      </c>
      <c r="O246" s="9" t="str">
        <f t="shared" si="13"/>
        <v/>
      </c>
      <c r="P246" s="10" t="str">
        <f t="shared" si="14"/>
        <v/>
      </c>
      <c r="Q246" s="10" t="str">
        <f t="shared" si="15"/>
        <v/>
      </c>
    </row>
    <row r="247" spans="1:17" x14ac:dyDescent="0.3">
      <c r="A247" s="2"/>
      <c r="B247" s="2"/>
      <c r="C247" s="2"/>
      <c r="D247" s="3"/>
      <c r="E247" s="4"/>
      <c r="F247" s="4"/>
      <c r="G247" s="5"/>
      <c r="H247" s="6"/>
      <c r="I247" s="6"/>
      <c r="J247" s="6"/>
      <c r="K247" s="7"/>
      <c r="L247" s="49"/>
      <c r="M247" s="2"/>
      <c r="N247" s="8" t="str">
        <f t="shared" si="12"/>
        <v/>
      </c>
      <c r="O247" s="9" t="str">
        <f t="shared" si="13"/>
        <v/>
      </c>
      <c r="P247" s="10" t="str">
        <f t="shared" si="14"/>
        <v/>
      </c>
      <c r="Q247" s="10" t="str">
        <f t="shared" si="15"/>
        <v/>
      </c>
    </row>
    <row r="248" spans="1:17" x14ac:dyDescent="0.3">
      <c r="A248" s="2"/>
      <c r="B248" s="2"/>
      <c r="C248" s="2"/>
      <c r="D248" s="3"/>
      <c r="E248" s="4"/>
      <c r="F248" s="4"/>
      <c r="G248" s="5"/>
      <c r="H248" s="6"/>
      <c r="I248" s="6"/>
      <c r="J248" s="6"/>
      <c r="K248" s="7"/>
      <c r="L248" s="49"/>
      <c r="M248" s="2"/>
      <c r="N248" s="8" t="str">
        <f t="shared" si="12"/>
        <v/>
      </c>
      <c r="O248" s="9" t="str">
        <f t="shared" si="13"/>
        <v/>
      </c>
      <c r="P248" s="10" t="str">
        <f t="shared" si="14"/>
        <v/>
      </c>
      <c r="Q248" s="10" t="str">
        <f t="shared" si="15"/>
        <v/>
      </c>
    </row>
    <row r="249" spans="1:17" x14ac:dyDescent="0.3">
      <c r="A249" s="2"/>
      <c r="B249" s="2"/>
      <c r="C249" s="2"/>
      <c r="D249" s="3"/>
      <c r="E249" s="4"/>
      <c r="F249" s="4"/>
      <c r="G249" s="5"/>
      <c r="H249" s="6"/>
      <c r="I249" s="6"/>
      <c r="J249" s="6"/>
      <c r="K249" s="7"/>
      <c r="L249" s="49"/>
      <c r="M249" s="2"/>
      <c r="N249" s="8" t="str">
        <f t="shared" si="12"/>
        <v/>
      </c>
      <c r="O249" s="9" t="str">
        <f t="shared" si="13"/>
        <v/>
      </c>
      <c r="P249" s="10" t="str">
        <f t="shared" si="14"/>
        <v/>
      </c>
      <c r="Q249" s="10" t="str">
        <f t="shared" si="15"/>
        <v/>
      </c>
    </row>
    <row r="250" spans="1:17" x14ac:dyDescent="0.3">
      <c r="A250" s="2"/>
      <c r="B250" s="2"/>
      <c r="C250" s="2"/>
      <c r="D250" s="3"/>
      <c r="E250" s="4"/>
      <c r="F250" s="4"/>
      <c r="G250" s="5"/>
      <c r="H250" s="6"/>
      <c r="I250" s="6"/>
      <c r="J250" s="6"/>
      <c r="K250" s="7"/>
      <c r="L250" s="49"/>
      <c r="M250" s="2"/>
      <c r="N250" s="8" t="str">
        <f t="shared" si="12"/>
        <v/>
      </c>
      <c r="O250" s="9" t="str">
        <f t="shared" si="13"/>
        <v/>
      </c>
      <c r="P250" s="10" t="str">
        <f t="shared" si="14"/>
        <v/>
      </c>
      <c r="Q250" s="10" t="str">
        <f t="shared" si="15"/>
        <v/>
      </c>
    </row>
    <row r="251" spans="1:17" x14ac:dyDescent="0.3">
      <c r="A251" s="2"/>
      <c r="B251" s="2"/>
      <c r="C251" s="2"/>
      <c r="D251" s="3"/>
      <c r="E251" s="4"/>
      <c r="F251" s="4"/>
      <c r="G251" s="5"/>
      <c r="H251" s="6"/>
      <c r="I251" s="6"/>
      <c r="J251" s="6"/>
      <c r="K251" s="7"/>
      <c r="L251" s="49"/>
      <c r="M251" s="2"/>
      <c r="N251" s="8" t="str">
        <f t="shared" si="12"/>
        <v/>
      </c>
      <c r="O251" s="9" t="str">
        <f t="shared" si="13"/>
        <v/>
      </c>
      <c r="P251" s="10" t="str">
        <f t="shared" si="14"/>
        <v/>
      </c>
      <c r="Q251" s="10" t="str">
        <f t="shared" si="15"/>
        <v/>
      </c>
    </row>
    <row r="252" spans="1:17" x14ac:dyDescent="0.3">
      <c r="A252" s="2"/>
      <c r="B252" s="2"/>
      <c r="C252" s="2"/>
      <c r="D252" s="3"/>
      <c r="E252" s="4"/>
      <c r="F252" s="4"/>
      <c r="G252" s="5"/>
      <c r="H252" s="6"/>
      <c r="I252" s="6"/>
      <c r="J252" s="6"/>
      <c r="K252" s="7"/>
      <c r="L252" s="49"/>
      <c r="M252" s="2"/>
      <c r="N252" s="8" t="str">
        <f t="shared" si="12"/>
        <v/>
      </c>
      <c r="O252" s="9" t="str">
        <f t="shared" si="13"/>
        <v/>
      </c>
      <c r="P252" s="10" t="str">
        <f t="shared" si="14"/>
        <v/>
      </c>
      <c r="Q252" s="10" t="str">
        <f t="shared" si="15"/>
        <v/>
      </c>
    </row>
    <row r="253" spans="1:17" x14ac:dyDescent="0.3">
      <c r="A253" s="2"/>
      <c r="B253" s="2"/>
      <c r="C253" s="2"/>
      <c r="D253" s="3"/>
      <c r="E253" s="4"/>
      <c r="F253" s="4"/>
      <c r="G253" s="5"/>
      <c r="H253" s="6"/>
      <c r="I253" s="6"/>
      <c r="J253" s="6"/>
      <c r="K253" s="7"/>
      <c r="L253" s="49"/>
      <c r="M253" s="2"/>
      <c r="N253" s="8" t="str">
        <f t="shared" si="12"/>
        <v/>
      </c>
      <c r="O253" s="9" t="str">
        <f t="shared" si="13"/>
        <v/>
      </c>
      <c r="P253" s="10" t="str">
        <f t="shared" si="14"/>
        <v/>
      </c>
      <c r="Q253" s="10" t="str">
        <f t="shared" si="15"/>
        <v/>
      </c>
    </row>
    <row r="254" spans="1:17" x14ac:dyDescent="0.3">
      <c r="A254" s="2"/>
      <c r="B254" s="2"/>
      <c r="C254" s="2"/>
      <c r="D254" s="3"/>
      <c r="E254" s="4"/>
      <c r="F254" s="4"/>
      <c r="G254" s="5"/>
      <c r="H254" s="6"/>
      <c r="I254" s="6"/>
      <c r="J254" s="6"/>
      <c r="K254" s="7"/>
      <c r="L254" s="49"/>
      <c r="M254" s="2"/>
      <c r="N254" s="8" t="str">
        <f t="shared" si="12"/>
        <v/>
      </c>
      <c r="O254" s="9" t="str">
        <f t="shared" si="13"/>
        <v/>
      </c>
      <c r="P254" s="10" t="str">
        <f t="shared" si="14"/>
        <v/>
      </c>
      <c r="Q254" s="10" t="str">
        <f t="shared" si="15"/>
        <v/>
      </c>
    </row>
    <row r="255" spans="1:17" x14ac:dyDescent="0.3">
      <c r="A255" s="2"/>
      <c r="B255" s="2"/>
      <c r="C255" s="2"/>
      <c r="D255" s="3"/>
      <c r="E255" s="4"/>
      <c r="F255" s="4"/>
      <c r="G255" s="5"/>
      <c r="H255" s="6"/>
      <c r="I255" s="6"/>
      <c r="J255" s="6"/>
      <c r="K255" s="7"/>
      <c r="L255" s="49"/>
      <c r="M255" s="2"/>
      <c r="N255" s="8" t="str">
        <f t="shared" si="12"/>
        <v/>
      </c>
      <c r="O255" s="9" t="str">
        <f t="shared" si="13"/>
        <v/>
      </c>
      <c r="P255" s="10" t="str">
        <f t="shared" si="14"/>
        <v/>
      </c>
      <c r="Q255" s="10" t="str">
        <f t="shared" si="15"/>
        <v/>
      </c>
    </row>
    <row r="256" spans="1:17" x14ac:dyDescent="0.3">
      <c r="A256" s="2"/>
      <c r="B256" s="2"/>
      <c r="C256" s="2"/>
      <c r="D256" s="3"/>
      <c r="E256" s="4"/>
      <c r="F256" s="4"/>
      <c r="G256" s="5"/>
      <c r="H256" s="6"/>
      <c r="I256" s="6"/>
      <c r="J256" s="6"/>
      <c r="K256" s="7"/>
      <c r="L256" s="49"/>
      <c r="M256" s="2"/>
      <c r="N256" s="8" t="str">
        <f t="shared" si="12"/>
        <v/>
      </c>
      <c r="O256" s="9" t="str">
        <f t="shared" si="13"/>
        <v/>
      </c>
      <c r="P256" s="10" t="str">
        <f t="shared" si="14"/>
        <v/>
      </c>
      <c r="Q256" s="10" t="str">
        <f t="shared" si="15"/>
        <v/>
      </c>
    </row>
    <row r="257" spans="1:17" x14ac:dyDescent="0.3">
      <c r="A257" s="2"/>
      <c r="B257" s="2"/>
      <c r="C257" s="2"/>
      <c r="D257" s="3"/>
      <c r="E257" s="4"/>
      <c r="F257" s="4"/>
      <c r="G257" s="5"/>
      <c r="H257" s="6"/>
      <c r="I257" s="6"/>
      <c r="J257" s="6"/>
      <c r="K257" s="7"/>
      <c r="L257" s="49"/>
      <c r="M257" s="2"/>
      <c r="N257" s="8" t="str">
        <f t="shared" si="12"/>
        <v/>
      </c>
      <c r="O257" s="9" t="str">
        <f t="shared" si="13"/>
        <v/>
      </c>
      <c r="P257" s="10" t="str">
        <f t="shared" si="14"/>
        <v/>
      </c>
      <c r="Q257" s="10" t="str">
        <f t="shared" si="15"/>
        <v/>
      </c>
    </row>
    <row r="258" spans="1:17" x14ac:dyDescent="0.3">
      <c r="A258" s="2"/>
      <c r="B258" s="2"/>
      <c r="C258" s="2"/>
      <c r="D258" s="3"/>
      <c r="E258" s="4"/>
      <c r="F258" s="4"/>
      <c r="G258" s="5"/>
      <c r="H258" s="6"/>
      <c r="I258" s="6"/>
      <c r="J258" s="6"/>
      <c r="K258" s="7"/>
      <c r="L258" s="49"/>
      <c r="M258" s="2"/>
      <c r="N258" s="8" t="str">
        <f t="shared" si="12"/>
        <v/>
      </c>
      <c r="O258" s="9" t="str">
        <f t="shared" si="13"/>
        <v/>
      </c>
      <c r="P258" s="10" t="str">
        <f t="shared" si="14"/>
        <v/>
      </c>
      <c r="Q258" s="10" t="str">
        <f t="shared" si="15"/>
        <v/>
      </c>
    </row>
    <row r="259" spans="1:17" x14ac:dyDescent="0.3">
      <c r="A259" s="2"/>
      <c r="B259" s="2"/>
      <c r="C259" s="2"/>
      <c r="D259" s="3"/>
      <c r="E259" s="4"/>
      <c r="F259" s="4"/>
      <c r="G259" s="5"/>
      <c r="H259" s="6"/>
      <c r="I259" s="6"/>
      <c r="J259" s="6"/>
      <c r="K259" s="7"/>
      <c r="L259" s="49"/>
      <c r="M259" s="2"/>
      <c r="N259" s="8" t="str">
        <f t="shared" si="12"/>
        <v/>
      </c>
      <c r="O259" s="9" t="str">
        <f t="shared" si="13"/>
        <v/>
      </c>
      <c r="P259" s="10" t="str">
        <f t="shared" si="14"/>
        <v/>
      </c>
      <c r="Q259" s="10" t="str">
        <f t="shared" si="15"/>
        <v/>
      </c>
    </row>
    <row r="260" spans="1:17" x14ac:dyDescent="0.3">
      <c r="A260" s="2"/>
      <c r="B260" s="2"/>
      <c r="C260" s="2"/>
      <c r="D260" s="3"/>
      <c r="E260" s="4"/>
      <c r="F260" s="4"/>
      <c r="G260" s="5"/>
      <c r="H260" s="6"/>
      <c r="I260" s="6"/>
      <c r="J260" s="6"/>
      <c r="K260" s="7"/>
      <c r="L260" s="49"/>
      <c r="M260" s="2"/>
      <c r="N260" s="8" t="str">
        <f t="shared" si="12"/>
        <v/>
      </c>
      <c r="O260" s="9" t="str">
        <f t="shared" si="13"/>
        <v/>
      </c>
      <c r="P260" s="10" t="str">
        <f t="shared" si="14"/>
        <v/>
      </c>
      <c r="Q260" s="10" t="str">
        <f t="shared" si="15"/>
        <v/>
      </c>
    </row>
    <row r="261" spans="1:17" x14ac:dyDescent="0.3">
      <c r="A261" s="2"/>
      <c r="B261" s="2"/>
      <c r="C261" s="2"/>
      <c r="D261" s="3"/>
      <c r="E261" s="4"/>
      <c r="F261" s="4"/>
      <c r="G261" s="5"/>
      <c r="H261" s="6"/>
      <c r="I261" s="6"/>
      <c r="J261" s="6"/>
      <c r="K261" s="7"/>
      <c r="L261" s="49"/>
      <c r="M261" s="2"/>
      <c r="N261" s="8" t="str">
        <f t="shared" si="12"/>
        <v/>
      </c>
      <c r="O261" s="9" t="str">
        <f t="shared" si="13"/>
        <v/>
      </c>
      <c r="P261" s="10" t="str">
        <f t="shared" si="14"/>
        <v/>
      </c>
      <c r="Q261" s="10" t="str">
        <f t="shared" si="15"/>
        <v/>
      </c>
    </row>
    <row r="262" spans="1:17" x14ac:dyDescent="0.3">
      <c r="A262" s="2"/>
      <c r="B262" s="2"/>
      <c r="C262" s="2"/>
      <c r="D262" s="3"/>
      <c r="E262" s="4"/>
      <c r="F262" s="4"/>
      <c r="G262" s="5"/>
      <c r="H262" s="6"/>
      <c r="I262" s="6"/>
      <c r="J262" s="6"/>
      <c r="K262" s="7"/>
      <c r="L262" s="49"/>
      <c r="M262" s="2"/>
      <c r="N262" s="8" t="str">
        <f t="shared" si="12"/>
        <v/>
      </c>
      <c r="O262" s="9" t="str">
        <f t="shared" si="13"/>
        <v/>
      </c>
      <c r="P262" s="10" t="str">
        <f t="shared" si="14"/>
        <v/>
      </c>
      <c r="Q262" s="10" t="str">
        <f t="shared" si="15"/>
        <v/>
      </c>
    </row>
    <row r="263" spans="1:17" x14ac:dyDescent="0.3">
      <c r="A263" s="2"/>
      <c r="B263" s="2"/>
      <c r="C263" s="2"/>
      <c r="D263" s="3"/>
      <c r="E263" s="4"/>
      <c r="F263" s="4"/>
      <c r="G263" s="5"/>
      <c r="H263" s="6"/>
      <c r="I263" s="6"/>
      <c r="J263" s="6"/>
      <c r="K263" s="7"/>
      <c r="L263" s="49"/>
      <c r="M263" s="2"/>
      <c r="N263" s="8" t="str">
        <f t="shared" ref="N263:N326" si="16">IF($D263="","",$D263*N($E263))</f>
        <v/>
      </c>
      <c r="O263" s="9" t="str">
        <f t="shared" ref="O263:O326" si="17">IF($D263="","",$D263*N($F263))</f>
        <v/>
      </c>
      <c r="P263" s="10" t="str">
        <f t="shared" ref="P263:P326" si="18">IF($D263="","",IF(N($K263)&gt;0,$K263,IF(AND(N($G263)&gt;0,N($H263)&gt;0,N($I263)&gt;0,N($J263)&gt;0),$H263*$I263*$J263/1000000/$G263,0)))</f>
        <v/>
      </c>
      <c r="Q263" s="10" t="str">
        <f t="shared" ref="Q263:Q326" si="19">IF($D263="","",$D263*$P263)</f>
        <v/>
      </c>
    </row>
    <row r="264" spans="1:17" x14ac:dyDescent="0.3">
      <c r="A264" s="2"/>
      <c r="B264" s="2"/>
      <c r="C264" s="2"/>
      <c r="D264" s="3"/>
      <c r="E264" s="4"/>
      <c r="F264" s="4"/>
      <c r="G264" s="5"/>
      <c r="H264" s="6"/>
      <c r="I264" s="6"/>
      <c r="J264" s="6"/>
      <c r="K264" s="7"/>
      <c r="L264" s="49"/>
      <c r="M264" s="2"/>
      <c r="N264" s="8" t="str">
        <f t="shared" si="16"/>
        <v/>
      </c>
      <c r="O264" s="9" t="str">
        <f t="shared" si="17"/>
        <v/>
      </c>
      <c r="P264" s="10" t="str">
        <f t="shared" si="18"/>
        <v/>
      </c>
      <c r="Q264" s="10" t="str">
        <f t="shared" si="19"/>
        <v/>
      </c>
    </row>
    <row r="265" spans="1:17" x14ac:dyDescent="0.3">
      <c r="A265" s="2"/>
      <c r="B265" s="2"/>
      <c r="C265" s="2"/>
      <c r="D265" s="3"/>
      <c r="E265" s="4"/>
      <c r="F265" s="4"/>
      <c r="G265" s="5"/>
      <c r="H265" s="6"/>
      <c r="I265" s="6"/>
      <c r="J265" s="6"/>
      <c r="K265" s="7"/>
      <c r="L265" s="49"/>
      <c r="M265" s="2"/>
      <c r="N265" s="8" t="str">
        <f t="shared" si="16"/>
        <v/>
      </c>
      <c r="O265" s="9" t="str">
        <f t="shared" si="17"/>
        <v/>
      </c>
      <c r="P265" s="10" t="str">
        <f t="shared" si="18"/>
        <v/>
      </c>
      <c r="Q265" s="10" t="str">
        <f t="shared" si="19"/>
        <v/>
      </c>
    </row>
    <row r="266" spans="1:17" x14ac:dyDescent="0.3">
      <c r="A266" s="2"/>
      <c r="B266" s="2"/>
      <c r="C266" s="2"/>
      <c r="D266" s="3"/>
      <c r="E266" s="4"/>
      <c r="F266" s="4"/>
      <c r="G266" s="5"/>
      <c r="H266" s="6"/>
      <c r="I266" s="6"/>
      <c r="J266" s="6"/>
      <c r="K266" s="7"/>
      <c r="L266" s="49"/>
      <c r="M266" s="2"/>
      <c r="N266" s="8" t="str">
        <f t="shared" si="16"/>
        <v/>
      </c>
      <c r="O266" s="9" t="str">
        <f t="shared" si="17"/>
        <v/>
      </c>
      <c r="P266" s="10" t="str">
        <f t="shared" si="18"/>
        <v/>
      </c>
      <c r="Q266" s="10" t="str">
        <f t="shared" si="19"/>
        <v/>
      </c>
    </row>
    <row r="267" spans="1:17" x14ac:dyDescent="0.3">
      <c r="A267" s="2"/>
      <c r="B267" s="2"/>
      <c r="C267" s="2"/>
      <c r="D267" s="3"/>
      <c r="E267" s="4"/>
      <c r="F267" s="4"/>
      <c r="G267" s="5"/>
      <c r="H267" s="6"/>
      <c r="I267" s="6"/>
      <c r="J267" s="6"/>
      <c r="K267" s="7"/>
      <c r="L267" s="49"/>
      <c r="M267" s="2"/>
      <c r="N267" s="8" t="str">
        <f t="shared" si="16"/>
        <v/>
      </c>
      <c r="O267" s="9" t="str">
        <f t="shared" si="17"/>
        <v/>
      </c>
      <c r="P267" s="10" t="str">
        <f t="shared" si="18"/>
        <v/>
      </c>
      <c r="Q267" s="10" t="str">
        <f t="shared" si="19"/>
        <v/>
      </c>
    </row>
    <row r="268" spans="1:17" x14ac:dyDescent="0.3">
      <c r="A268" s="2"/>
      <c r="B268" s="2"/>
      <c r="C268" s="2"/>
      <c r="D268" s="3"/>
      <c r="E268" s="4"/>
      <c r="F268" s="4"/>
      <c r="G268" s="5"/>
      <c r="H268" s="6"/>
      <c r="I268" s="6"/>
      <c r="J268" s="6"/>
      <c r="K268" s="7"/>
      <c r="L268" s="49"/>
      <c r="M268" s="2"/>
      <c r="N268" s="8" t="str">
        <f t="shared" si="16"/>
        <v/>
      </c>
      <c r="O268" s="9" t="str">
        <f t="shared" si="17"/>
        <v/>
      </c>
      <c r="P268" s="10" t="str">
        <f t="shared" si="18"/>
        <v/>
      </c>
      <c r="Q268" s="10" t="str">
        <f t="shared" si="19"/>
        <v/>
      </c>
    </row>
    <row r="269" spans="1:17" x14ac:dyDescent="0.3">
      <c r="A269" s="2"/>
      <c r="B269" s="2"/>
      <c r="C269" s="2"/>
      <c r="D269" s="3"/>
      <c r="E269" s="4"/>
      <c r="F269" s="4"/>
      <c r="G269" s="5"/>
      <c r="H269" s="6"/>
      <c r="I269" s="6"/>
      <c r="J269" s="6"/>
      <c r="K269" s="7"/>
      <c r="L269" s="49"/>
      <c r="M269" s="2"/>
      <c r="N269" s="8" t="str">
        <f t="shared" si="16"/>
        <v/>
      </c>
      <c r="O269" s="9" t="str">
        <f t="shared" si="17"/>
        <v/>
      </c>
      <c r="P269" s="10" t="str">
        <f t="shared" si="18"/>
        <v/>
      </c>
      <c r="Q269" s="10" t="str">
        <f t="shared" si="19"/>
        <v/>
      </c>
    </row>
    <row r="270" spans="1:17" x14ac:dyDescent="0.3">
      <c r="A270" s="2"/>
      <c r="B270" s="2"/>
      <c r="C270" s="2"/>
      <c r="D270" s="3"/>
      <c r="E270" s="4"/>
      <c r="F270" s="4"/>
      <c r="G270" s="5"/>
      <c r="H270" s="6"/>
      <c r="I270" s="6"/>
      <c r="J270" s="6"/>
      <c r="K270" s="7"/>
      <c r="L270" s="49"/>
      <c r="M270" s="2"/>
      <c r="N270" s="8" t="str">
        <f t="shared" si="16"/>
        <v/>
      </c>
      <c r="O270" s="9" t="str">
        <f t="shared" si="17"/>
        <v/>
      </c>
      <c r="P270" s="10" t="str">
        <f t="shared" si="18"/>
        <v/>
      </c>
      <c r="Q270" s="10" t="str">
        <f t="shared" si="19"/>
        <v/>
      </c>
    </row>
    <row r="271" spans="1:17" x14ac:dyDescent="0.3">
      <c r="A271" s="2"/>
      <c r="B271" s="2"/>
      <c r="C271" s="2"/>
      <c r="D271" s="3"/>
      <c r="E271" s="4"/>
      <c r="F271" s="4"/>
      <c r="G271" s="5"/>
      <c r="H271" s="6"/>
      <c r="I271" s="6"/>
      <c r="J271" s="6"/>
      <c r="K271" s="7"/>
      <c r="L271" s="49"/>
      <c r="M271" s="2"/>
      <c r="N271" s="8" t="str">
        <f t="shared" si="16"/>
        <v/>
      </c>
      <c r="O271" s="9" t="str">
        <f t="shared" si="17"/>
        <v/>
      </c>
      <c r="P271" s="10" t="str">
        <f t="shared" si="18"/>
        <v/>
      </c>
      <c r="Q271" s="10" t="str">
        <f t="shared" si="19"/>
        <v/>
      </c>
    </row>
    <row r="272" spans="1:17" x14ac:dyDescent="0.3">
      <c r="A272" s="2"/>
      <c r="B272" s="2"/>
      <c r="C272" s="2"/>
      <c r="D272" s="3"/>
      <c r="E272" s="4"/>
      <c r="F272" s="4"/>
      <c r="G272" s="5"/>
      <c r="H272" s="6"/>
      <c r="I272" s="6"/>
      <c r="J272" s="6"/>
      <c r="K272" s="7"/>
      <c r="L272" s="49"/>
      <c r="M272" s="2"/>
      <c r="N272" s="8" t="str">
        <f t="shared" si="16"/>
        <v/>
      </c>
      <c r="O272" s="9" t="str">
        <f t="shared" si="17"/>
        <v/>
      </c>
      <c r="P272" s="10" t="str">
        <f t="shared" si="18"/>
        <v/>
      </c>
      <c r="Q272" s="10" t="str">
        <f t="shared" si="19"/>
        <v/>
      </c>
    </row>
    <row r="273" spans="1:17" x14ac:dyDescent="0.3">
      <c r="A273" s="2"/>
      <c r="B273" s="2"/>
      <c r="C273" s="2"/>
      <c r="D273" s="3"/>
      <c r="E273" s="4"/>
      <c r="F273" s="4"/>
      <c r="G273" s="5"/>
      <c r="H273" s="6"/>
      <c r="I273" s="6"/>
      <c r="J273" s="6"/>
      <c r="K273" s="7"/>
      <c r="L273" s="49"/>
      <c r="M273" s="2"/>
      <c r="N273" s="8" t="str">
        <f t="shared" si="16"/>
        <v/>
      </c>
      <c r="O273" s="9" t="str">
        <f t="shared" si="17"/>
        <v/>
      </c>
      <c r="P273" s="10" t="str">
        <f t="shared" si="18"/>
        <v/>
      </c>
      <c r="Q273" s="10" t="str">
        <f t="shared" si="19"/>
        <v/>
      </c>
    </row>
    <row r="274" spans="1:17" x14ac:dyDescent="0.3">
      <c r="A274" s="2"/>
      <c r="B274" s="2"/>
      <c r="C274" s="2"/>
      <c r="D274" s="3"/>
      <c r="E274" s="4"/>
      <c r="F274" s="4"/>
      <c r="G274" s="5"/>
      <c r="H274" s="6"/>
      <c r="I274" s="6"/>
      <c r="J274" s="6"/>
      <c r="K274" s="7"/>
      <c r="L274" s="49"/>
      <c r="M274" s="2"/>
      <c r="N274" s="8" t="str">
        <f t="shared" si="16"/>
        <v/>
      </c>
      <c r="O274" s="9" t="str">
        <f t="shared" si="17"/>
        <v/>
      </c>
      <c r="P274" s="10" t="str">
        <f t="shared" si="18"/>
        <v/>
      </c>
      <c r="Q274" s="10" t="str">
        <f t="shared" si="19"/>
        <v/>
      </c>
    </row>
    <row r="275" spans="1:17" x14ac:dyDescent="0.3">
      <c r="A275" s="2"/>
      <c r="B275" s="2"/>
      <c r="C275" s="2"/>
      <c r="D275" s="3"/>
      <c r="E275" s="4"/>
      <c r="F275" s="4"/>
      <c r="G275" s="5"/>
      <c r="H275" s="6"/>
      <c r="I275" s="6"/>
      <c r="J275" s="6"/>
      <c r="K275" s="7"/>
      <c r="L275" s="49"/>
      <c r="M275" s="2"/>
      <c r="N275" s="8" t="str">
        <f t="shared" si="16"/>
        <v/>
      </c>
      <c r="O275" s="9" t="str">
        <f t="shared" si="17"/>
        <v/>
      </c>
      <c r="P275" s="10" t="str">
        <f t="shared" si="18"/>
        <v/>
      </c>
      <c r="Q275" s="10" t="str">
        <f t="shared" si="19"/>
        <v/>
      </c>
    </row>
    <row r="276" spans="1:17" x14ac:dyDescent="0.3">
      <c r="A276" s="2"/>
      <c r="B276" s="2"/>
      <c r="C276" s="2"/>
      <c r="D276" s="3"/>
      <c r="E276" s="4"/>
      <c r="F276" s="4"/>
      <c r="G276" s="5"/>
      <c r="H276" s="6"/>
      <c r="I276" s="6"/>
      <c r="J276" s="6"/>
      <c r="K276" s="7"/>
      <c r="L276" s="49"/>
      <c r="M276" s="2"/>
      <c r="N276" s="8" t="str">
        <f t="shared" si="16"/>
        <v/>
      </c>
      <c r="O276" s="9" t="str">
        <f t="shared" si="17"/>
        <v/>
      </c>
      <c r="P276" s="10" t="str">
        <f t="shared" si="18"/>
        <v/>
      </c>
      <c r="Q276" s="10" t="str">
        <f t="shared" si="19"/>
        <v/>
      </c>
    </row>
    <row r="277" spans="1:17" x14ac:dyDescent="0.3">
      <c r="A277" s="2"/>
      <c r="B277" s="2"/>
      <c r="C277" s="2"/>
      <c r="D277" s="3"/>
      <c r="E277" s="4"/>
      <c r="F277" s="4"/>
      <c r="G277" s="5"/>
      <c r="H277" s="6"/>
      <c r="I277" s="6"/>
      <c r="J277" s="6"/>
      <c r="K277" s="7"/>
      <c r="L277" s="49"/>
      <c r="M277" s="2"/>
      <c r="N277" s="8" t="str">
        <f t="shared" si="16"/>
        <v/>
      </c>
      <c r="O277" s="9" t="str">
        <f t="shared" si="17"/>
        <v/>
      </c>
      <c r="P277" s="10" t="str">
        <f t="shared" si="18"/>
        <v/>
      </c>
      <c r="Q277" s="10" t="str">
        <f t="shared" si="19"/>
        <v/>
      </c>
    </row>
    <row r="278" spans="1:17" x14ac:dyDescent="0.3">
      <c r="A278" s="2"/>
      <c r="B278" s="2"/>
      <c r="C278" s="2"/>
      <c r="D278" s="3"/>
      <c r="E278" s="4"/>
      <c r="F278" s="4"/>
      <c r="G278" s="5"/>
      <c r="H278" s="6"/>
      <c r="I278" s="6"/>
      <c r="J278" s="6"/>
      <c r="K278" s="7"/>
      <c r="L278" s="49"/>
      <c r="M278" s="2"/>
      <c r="N278" s="8" t="str">
        <f t="shared" si="16"/>
        <v/>
      </c>
      <c r="O278" s="9" t="str">
        <f t="shared" si="17"/>
        <v/>
      </c>
      <c r="P278" s="10" t="str">
        <f t="shared" si="18"/>
        <v/>
      </c>
      <c r="Q278" s="10" t="str">
        <f t="shared" si="19"/>
        <v/>
      </c>
    </row>
    <row r="279" spans="1:17" x14ac:dyDescent="0.3">
      <c r="A279" s="2"/>
      <c r="B279" s="2"/>
      <c r="C279" s="2"/>
      <c r="D279" s="3"/>
      <c r="E279" s="4"/>
      <c r="F279" s="4"/>
      <c r="G279" s="5"/>
      <c r="H279" s="6"/>
      <c r="I279" s="6"/>
      <c r="J279" s="6"/>
      <c r="K279" s="7"/>
      <c r="L279" s="49"/>
      <c r="M279" s="2"/>
      <c r="N279" s="8" t="str">
        <f t="shared" si="16"/>
        <v/>
      </c>
      <c r="O279" s="9" t="str">
        <f t="shared" si="17"/>
        <v/>
      </c>
      <c r="P279" s="10" t="str">
        <f t="shared" si="18"/>
        <v/>
      </c>
      <c r="Q279" s="10" t="str">
        <f t="shared" si="19"/>
        <v/>
      </c>
    </row>
    <row r="280" spans="1:17" x14ac:dyDescent="0.3">
      <c r="A280" s="2"/>
      <c r="B280" s="2"/>
      <c r="C280" s="2"/>
      <c r="D280" s="3"/>
      <c r="E280" s="4"/>
      <c r="F280" s="4"/>
      <c r="G280" s="5"/>
      <c r="H280" s="6"/>
      <c r="I280" s="6"/>
      <c r="J280" s="6"/>
      <c r="K280" s="7"/>
      <c r="L280" s="49"/>
      <c r="M280" s="2"/>
      <c r="N280" s="8" t="str">
        <f t="shared" si="16"/>
        <v/>
      </c>
      <c r="O280" s="9" t="str">
        <f t="shared" si="17"/>
        <v/>
      </c>
      <c r="P280" s="10" t="str">
        <f t="shared" si="18"/>
        <v/>
      </c>
      <c r="Q280" s="10" t="str">
        <f t="shared" si="19"/>
        <v/>
      </c>
    </row>
    <row r="281" spans="1:17" x14ac:dyDescent="0.3">
      <c r="A281" s="2"/>
      <c r="B281" s="2"/>
      <c r="C281" s="2"/>
      <c r="D281" s="3"/>
      <c r="E281" s="4"/>
      <c r="F281" s="4"/>
      <c r="G281" s="5"/>
      <c r="H281" s="6"/>
      <c r="I281" s="6"/>
      <c r="J281" s="6"/>
      <c r="K281" s="7"/>
      <c r="L281" s="49"/>
      <c r="M281" s="2"/>
      <c r="N281" s="8" t="str">
        <f t="shared" si="16"/>
        <v/>
      </c>
      <c r="O281" s="9" t="str">
        <f t="shared" si="17"/>
        <v/>
      </c>
      <c r="P281" s="10" t="str">
        <f t="shared" si="18"/>
        <v/>
      </c>
      <c r="Q281" s="10" t="str">
        <f t="shared" si="19"/>
        <v/>
      </c>
    </row>
    <row r="282" spans="1:17" x14ac:dyDescent="0.3">
      <c r="A282" s="2"/>
      <c r="B282" s="2"/>
      <c r="C282" s="2"/>
      <c r="D282" s="3"/>
      <c r="E282" s="4"/>
      <c r="F282" s="4"/>
      <c r="G282" s="5"/>
      <c r="H282" s="6"/>
      <c r="I282" s="6"/>
      <c r="J282" s="6"/>
      <c r="K282" s="7"/>
      <c r="L282" s="49"/>
      <c r="M282" s="2"/>
      <c r="N282" s="8" t="str">
        <f t="shared" si="16"/>
        <v/>
      </c>
      <c r="O282" s="9" t="str">
        <f t="shared" si="17"/>
        <v/>
      </c>
      <c r="P282" s="10" t="str">
        <f t="shared" si="18"/>
        <v/>
      </c>
      <c r="Q282" s="10" t="str">
        <f t="shared" si="19"/>
        <v/>
      </c>
    </row>
    <row r="283" spans="1:17" x14ac:dyDescent="0.3">
      <c r="A283" s="2"/>
      <c r="B283" s="2"/>
      <c r="C283" s="2"/>
      <c r="D283" s="3"/>
      <c r="E283" s="4"/>
      <c r="F283" s="4"/>
      <c r="G283" s="5"/>
      <c r="H283" s="6"/>
      <c r="I283" s="6"/>
      <c r="J283" s="6"/>
      <c r="K283" s="7"/>
      <c r="L283" s="49"/>
      <c r="M283" s="2"/>
      <c r="N283" s="8" t="str">
        <f t="shared" si="16"/>
        <v/>
      </c>
      <c r="O283" s="9" t="str">
        <f t="shared" si="17"/>
        <v/>
      </c>
      <c r="P283" s="10" t="str">
        <f t="shared" si="18"/>
        <v/>
      </c>
      <c r="Q283" s="10" t="str">
        <f t="shared" si="19"/>
        <v/>
      </c>
    </row>
    <row r="284" spans="1:17" x14ac:dyDescent="0.3">
      <c r="A284" s="2"/>
      <c r="B284" s="2"/>
      <c r="C284" s="2"/>
      <c r="D284" s="3"/>
      <c r="E284" s="4"/>
      <c r="F284" s="4"/>
      <c r="G284" s="5"/>
      <c r="H284" s="6"/>
      <c r="I284" s="6"/>
      <c r="J284" s="6"/>
      <c r="K284" s="7"/>
      <c r="L284" s="49"/>
      <c r="M284" s="2"/>
      <c r="N284" s="8" t="str">
        <f t="shared" si="16"/>
        <v/>
      </c>
      <c r="O284" s="9" t="str">
        <f t="shared" si="17"/>
        <v/>
      </c>
      <c r="P284" s="10" t="str">
        <f t="shared" si="18"/>
        <v/>
      </c>
      <c r="Q284" s="10" t="str">
        <f t="shared" si="19"/>
        <v/>
      </c>
    </row>
    <row r="285" spans="1:17" x14ac:dyDescent="0.3">
      <c r="A285" s="2"/>
      <c r="B285" s="2"/>
      <c r="C285" s="2"/>
      <c r="D285" s="3"/>
      <c r="E285" s="4"/>
      <c r="F285" s="4"/>
      <c r="G285" s="5"/>
      <c r="H285" s="6"/>
      <c r="I285" s="6"/>
      <c r="J285" s="6"/>
      <c r="K285" s="7"/>
      <c r="L285" s="49"/>
      <c r="M285" s="2"/>
      <c r="N285" s="8" t="str">
        <f t="shared" si="16"/>
        <v/>
      </c>
      <c r="O285" s="9" t="str">
        <f t="shared" si="17"/>
        <v/>
      </c>
      <c r="P285" s="10" t="str">
        <f t="shared" si="18"/>
        <v/>
      </c>
      <c r="Q285" s="10" t="str">
        <f t="shared" si="19"/>
        <v/>
      </c>
    </row>
    <row r="286" spans="1:17" x14ac:dyDescent="0.3">
      <c r="A286" s="2"/>
      <c r="B286" s="2"/>
      <c r="C286" s="2"/>
      <c r="D286" s="3"/>
      <c r="E286" s="4"/>
      <c r="F286" s="4"/>
      <c r="G286" s="5"/>
      <c r="H286" s="6"/>
      <c r="I286" s="6"/>
      <c r="J286" s="6"/>
      <c r="K286" s="7"/>
      <c r="L286" s="49"/>
      <c r="M286" s="2"/>
      <c r="N286" s="8" t="str">
        <f t="shared" si="16"/>
        <v/>
      </c>
      <c r="O286" s="9" t="str">
        <f t="shared" si="17"/>
        <v/>
      </c>
      <c r="P286" s="10" t="str">
        <f t="shared" si="18"/>
        <v/>
      </c>
      <c r="Q286" s="10" t="str">
        <f t="shared" si="19"/>
        <v/>
      </c>
    </row>
    <row r="287" spans="1:17" x14ac:dyDescent="0.3">
      <c r="A287" s="2"/>
      <c r="B287" s="2"/>
      <c r="C287" s="2"/>
      <c r="D287" s="3"/>
      <c r="E287" s="4"/>
      <c r="F287" s="4"/>
      <c r="G287" s="5"/>
      <c r="H287" s="6"/>
      <c r="I287" s="6"/>
      <c r="J287" s="6"/>
      <c r="K287" s="7"/>
      <c r="L287" s="49"/>
      <c r="M287" s="2"/>
      <c r="N287" s="8" t="str">
        <f t="shared" si="16"/>
        <v/>
      </c>
      <c r="O287" s="9" t="str">
        <f t="shared" si="17"/>
        <v/>
      </c>
      <c r="P287" s="10" t="str">
        <f t="shared" si="18"/>
        <v/>
      </c>
      <c r="Q287" s="10" t="str">
        <f t="shared" si="19"/>
        <v/>
      </c>
    </row>
    <row r="288" spans="1:17" x14ac:dyDescent="0.3">
      <c r="A288" s="2"/>
      <c r="B288" s="2"/>
      <c r="C288" s="2"/>
      <c r="D288" s="3"/>
      <c r="E288" s="4"/>
      <c r="F288" s="4"/>
      <c r="G288" s="5"/>
      <c r="H288" s="6"/>
      <c r="I288" s="6"/>
      <c r="J288" s="6"/>
      <c r="K288" s="7"/>
      <c r="L288" s="49"/>
      <c r="M288" s="2"/>
      <c r="N288" s="8" t="str">
        <f t="shared" si="16"/>
        <v/>
      </c>
      <c r="O288" s="9" t="str">
        <f t="shared" si="17"/>
        <v/>
      </c>
      <c r="P288" s="10" t="str">
        <f t="shared" si="18"/>
        <v/>
      </c>
      <c r="Q288" s="10" t="str">
        <f t="shared" si="19"/>
        <v/>
      </c>
    </row>
    <row r="289" spans="1:17" x14ac:dyDescent="0.3">
      <c r="A289" s="2"/>
      <c r="B289" s="2"/>
      <c r="C289" s="2"/>
      <c r="D289" s="3"/>
      <c r="E289" s="4"/>
      <c r="F289" s="4"/>
      <c r="G289" s="5"/>
      <c r="H289" s="6"/>
      <c r="I289" s="6"/>
      <c r="J289" s="6"/>
      <c r="K289" s="7"/>
      <c r="L289" s="49"/>
      <c r="M289" s="2"/>
      <c r="N289" s="8" t="str">
        <f t="shared" si="16"/>
        <v/>
      </c>
      <c r="O289" s="9" t="str">
        <f t="shared" si="17"/>
        <v/>
      </c>
      <c r="P289" s="10" t="str">
        <f t="shared" si="18"/>
        <v/>
      </c>
      <c r="Q289" s="10" t="str">
        <f t="shared" si="19"/>
        <v/>
      </c>
    </row>
    <row r="290" spans="1:17" x14ac:dyDescent="0.3">
      <c r="A290" s="2"/>
      <c r="B290" s="2"/>
      <c r="C290" s="2"/>
      <c r="D290" s="3"/>
      <c r="E290" s="4"/>
      <c r="F290" s="4"/>
      <c r="G290" s="5"/>
      <c r="H290" s="6"/>
      <c r="I290" s="6"/>
      <c r="J290" s="6"/>
      <c r="K290" s="7"/>
      <c r="L290" s="49"/>
      <c r="M290" s="2"/>
      <c r="N290" s="8" t="str">
        <f t="shared" si="16"/>
        <v/>
      </c>
      <c r="O290" s="9" t="str">
        <f t="shared" si="17"/>
        <v/>
      </c>
      <c r="P290" s="10" t="str">
        <f t="shared" si="18"/>
        <v/>
      </c>
      <c r="Q290" s="10" t="str">
        <f t="shared" si="19"/>
        <v/>
      </c>
    </row>
    <row r="291" spans="1:17" x14ac:dyDescent="0.3">
      <c r="A291" s="2"/>
      <c r="B291" s="2"/>
      <c r="C291" s="2"/>
      <c r="D291" s="3"/>
      <c r="E291" s="4"/>
      <c r="F291" s="4"/>
      <c r="G291" s="5"/>
      <c r="H291" s="6"/>
      <c r="I291" s="6"/>
      <c r="J291" s="6"/>
      <c r="K291" s="7"/>
      <c r="L291" s="49"/>
      <c r="M291" s="2"/>
      <c r="N291" s="8" t="str">
        <f t="shared" si="16"/>
        <v/>
      </c>
      <c r="O291" s="9" t="str">
        <f t="shared" si="17"/>
        <v/>
      </c>
      <c r="P291" s="10" t="str">
        <f t="shared" si="18"/>
        <v/>
      </c>
      <c r="Q291" s="10" t="str">
        <f t="shared" si="19"/>
        <v/>
      </c>
    </row>
    <row r="292" spans="1:17" x14ac:dyDescent="0.3">
      <c r="A292" s="2"/>
      <c r="B292" s="2"/>
      <c r="C292" s="2"/>
      <c r="D292" s="3"/>
      <c r="E292" s="4"/>
      <c r="F292" s="4"/>
      <c r="G292" s="5"/>
      <c r="H292" s="6"/>
      <c r="I292" s="6"/>
      <c r="J292" s="6"/>
      <c r="K292" s="7"/>
      <c r="L292" s="49"/>
      <c r="M292" s="2"/>
      <c r="N292" s="8" t="str">
        <f t="shared" si="16"/>
        <v/>
      </c>
      <c r="O292" s="9" t="str">
        <f t="shared" si="17"/>
        <v/>
      </c>
      <c r="P292" s="10" t="str">
        <f t="shared" si="18"/>
        <v/>
      </c>
      <c r="Q292" s="10" t="str">
        <f t="shared" si="19"/>
        <v/>
      </c>
    </row>
    <row r="293" spans="1:17" x14ac:dyDescent="0.3">
      <c r="A293" s="2"/>
      <c r="B293" s="2"/>
      <c r="C293" s="2"/>
      <c r="D293" s="3"/>
      <c r="E293" s="4"/>
      <c r="F293" s="4"/>
      <c r="G293" s="5"/>
      <c r="H293" s="6"/>
      <c r="I293" s="6"/>
      <c r="J293" s="6"/>
      <c r="K293" s="7"/>
      <c r="L293" s="49"/>
      <c r="M293" s="2"/>
      <c r="N293" s="8" t="str">
        <f t="shared" si="16"/>
        <v/>
      </c>
      <c r="O293" s="9" t="str">
        <f t="shared" si="17"/>
        <v/>
      </c>
      <c r="P293" s="10" t="str">
        <f t="shared" si="18"/>
        <v/>
      </c>
      <c r="Q293" s="10" t="str">
        <f t="shared" si="19"/>
        <v/>
      </c>
    </row>
    <row r="294" spans="1:17" x14ac:dyDescent="0.3">
      <c r="A294" s="2"/>
      <c r="B294" s="2"/>
      <c r="C294" s="2"/>
      <c r="D294" s="3"/>
      <c r="E294" s="4"/>
      <c r="F294" s="4"/>
      <c r="G294" s="5"/>
      <c r="H294" s="6"/>
      <c r="I294" s="6"/>
      <c r="J294" s="6"/>
      <c r="K294" s="7"/>
      <c r="L294" s="49"/>
      <c r="M294" s="2"/>
      <c r="N294" s="8" t="str">
        <f t="shared" si="16"/>
        <v/>
      </c>
      <c r="O294" s="9" t="str">
        <f t="shared" si="17"/>
        <v/>
      </c>
      <c r="P294" s="10" t="str">
        <f t="shared" si="18"/>
        <v/>
      </c>
      <c r="Q294" s="10" t="str">
        <f t="shared" si="19"/>
        <v/>
      </c>
    </row>
    <row r="295" spans="1:17" x14ac:dyDescent="0.3">
      <c r="A295" s="2"/>
      <c r="B295" s="2"/>
      <c r="C295" s="2"/>
      <c r="D295" s="3"/>
      <c r="E295" s="4"/>
      <c r="F295" s="4"/>
      <c r="G295" s="5"/>
      <c r="H295" s="6"/>
      <c r="I295" s="6"/>
      <c r="J295" s="6"/>
      <c r="K295" s="7"/>
      <c r="L295" s="49"/>
      <c r="M295" s="2"/>
      <c r="N295" s="8" t="str">
        <f t="shared" si="16"/>
        <v/>
      </c>
      <c r="O295" s="9" t="str">
        <f t="shared" si="17"/>
        <v/>
      </c>
      <c r="P295" s="10" t="str">
        <f t="shared" si="18"/>
        <v/>
      </c>
      <c r="Q295" s="10" t="str">
        <f t="shared" si="19"/>
        <v/>
      </c>
    </row>
    <row r="296" spans="1:17" x14ac:dyDescent="0.3">
      <c r="A296" s="2"/>
      <c r="B296" s="2"/>
      <c r="C296" s="2"/>
      <c r="D296" s="3"/>
      <c r="E296" s="4"/>
      <c r="F296" s="4"/>
      <c r="G296" s="5"/>
      <c r="H296" s="6"/>
      <c r="I296" s="6"/>
      <c r="J296" s="6"/>
      <c r="K296" s="7"/>
      <c r="L296" s="49"/>
      <c r="M296" s="2"/>
      <c r="N296" s="8" t="str">
        <f t="shared" si="16"/>
        <v/>
      </c>
      <c r="O296" s="9" t="str">
        <f t="shared" si="17"/>
        <v/>
      </c>
      <c r="P296" s="10" t="str">
        <f t="shared" si="18"/>
        <v/>
      </c>
      <c r="Q296" s="10" t="str">
        <f t="shared" si="19"/>
        <v/>
      </c>
    </row>
    <row r="297" spans="1:17" x14ac:dyDescent="0.3">
      <c r="A297" s="2"/>
      <c r="B297" s="2"/>
      <c r="C297" s="2"/>
      <c r="D297" s="3"/>
      <c r="E297" s="4"/>
      <c r="F297" s="4"/>
      <c r="G297" s="5"/>
      <c r="H297" s="6"/>
      <c r="I297" s="6"/>
      <c r="J297" s="6"/>
      <c r="K297" s="7"/>
      <c r="L297" s="49"/>
      <c r="M297" s="2"/>
      <c r="N297" s="8" t="str">
        <f t="shared" si="16"/>
        <v/>
      </c>
      <c r="O297" s="9" t="str">
        <f t="shared" si="17"/>
        <v/>
      </c>
      <c r="P297" s="10" t="str">
        <f t="shared" si="18"/>
        <v/>
      </c>
      <c r="Q297" s="10" t="str">
        <f t="shared" si="19"/>
        <v/>
      </c>
    </row>
    <row r="298" spans="1:17" x14ac:dyDescent="0.3">
      <c r="A298" s="2"/>
      <c r="B298" s="2"/>
      <c r="C298" s="2"/>
      <c r="D298" s="3"/>
      <c r="E298" s="4"/>
      <c r="F298" s="4"/>
      <c r="G298" s="5"/>
      <c r="H298" s="6"/>
      <c r="I298" s="6"/>
      <c r="J298" s="6"/>
      <c r="K298" s="7"/>
      <c r="L298" s="49"/>
      <c r="M298" s="2"/>
      <c r="N298" s="8" t="str">
        <f t="shared" si="16"/>
        <v/>
      </c>
      <c r="O298" s="9" t="str">
        <f t="shared" si="17"/>
        <v/>
      </c>
      <c r="P298" s="10" t="str">
        <f t="shared" si="18"/>
        <v/>
      </c>
      <c r="Q298" s="10" t="str">
        <f t="shared" si="19"/>
        <v/>
      </c>
    </row>
    <row r="299" spans="1:17" x14ac:dyDescent="0.3">
      <c r="A299" s="2"/>
      <c r="B299" s="2"/>
      <c r="C299" s="2"/>
      <c r="D299" s="3"/>
      <c r="E299" s="4"/>
      <c r="F299" s="4"/>
      <c r="G299" s="5"/>
      <c r="H299" s="6"/>
      <c r="I299" s="6"/>
      <c r="J299" s="6"/>
      <c r="K299" s="7"/>
      <c r="L299" s="49"/>
      <c r="M299" s="2"/>
      <c r="N299" s="8" t="str">
        <f t="shared" si="16"/>
        <v/>
      </c>
      <c r="O299" s="9" t="str">
        <f t="shared" si="17"/>
        <v/>
      </c>
      <c r="P299" s="10" t="str">
        <f t="shared" si="18"/>
        <v/>
      </c>
      <c r="Q299" s="10" t="str">
        <f t="shared" si="19"/>
        <v/>
      </c>
    </row>
    <row r="300" spans="1:17" x14ac:dyDescent="0.3">
      <c r="A300" s="2"/>
      <c r="B300" s="2"/>
      <c r="C300" s="2"/>
      <c r="D300" s="3"/>
      <c r="E300" s="4"/>
      <c r="F300" s="4"/>
      <c r="G300" s="5"/>
      <c r="H300" s="6"/>
      <c r="I300" s="6"/>
      <c r="J300" s="6"/>
      <c r="K300" s="7"/>
      <c r="L300" s="49"/>
      <c r="M300" s="2"/>
      <c r="N300" s="8" t="str">
        <f t="shared" si="16"/>
        <v/>
      </c>
      <c r="O300" s="9" t="str">
        <f t="shared" si="17"/>
        <v/>
      </c>
      <c r="P300" s="10" t="str">
        <f t="shared" si="18"/>
        <v/>
      </c>
      <c r="Q300" s="10" t="str">
        <f t="shared" si="19"/>
        <v/>
      </c>
    </row>
    <row r="301" spans="1:17" x14ac:dyDescent="0.3">
      <c r="A301" s="2"/>
      <c r="B301" s="2"/>
      <c r="C301" s="2"/>
      <c r="D301" s="3"/>
      <c r="E301" s="4"/>
      <c r="F301" s="4"/>
      <c r="G301" s="5"/>
      <c r="H301" s="6"/>
      <c r="I301" s="6"/>
      <c r="J301" s="6"/>
      <c r="K301" s="7"/>
      <c r="L301" s="49"/>
      <c r="M301" s="2"/>
      <c r="N301" s="8" t="str">
        <f t="shared" si="16"/>
        <v/>
      </c>
      <c r="O301" s="9" t="str">
        <f t="shared" si="17"/>
        <v/>
      </c>
      <c r="P301" s="10" t="str">
        <f t="shared" si="18"/>
        <v/>
      </c>
      <c r="Q301" s="10" t="str">
        <f t="shared" si="19"/>
        <v/>
      </c>
    </row>
    <row r="302" spans="1:17" x14ac:dyDescent="0.3">
      <c r="A302" s="2"/>
      <c r="B302" s="2"/>
      <c r="C302" s="2"/>
      <c r="D302" s="3"/>
      <c r="E302" s="4"/>
      <c r="F302" s="4"/>
      <c r="G302" s="5"/>
      <c r="H302" s="6"/>
      <c r="I302" s="6"/>
      <c r="J302" s="6"/>
      <c r="K302" s="7"/>
      <c r="L302" s="49"/>
      <c r="M302" s="2"/>
      <c r="N302" s="8" t="str">
        <f t="shared" si="16"/>
        <v/>
      </c>
      <c r="O302" s="9" t="str">
        <f t="shared" si="17"/>
        <v/>
      </c>
      <c r="P302" s="10" t="str">
        <f t="shared" si="18"/>
        <v/>
      </c>
      <c r="Q302" s="10" t="str">
        <f t="shared" si="19"/>
        <v/>
      </c>
    </row>
    <row r="303" spans="1:17" x14ac:dyDescent="0.3">
      <c r="A303" s="2"/>
      <c r="B303" s="2"/>
      <c r="C303" s="2"/>
      <c r="D303" s="3"/>
      <c r="E303" s="4"/>
      <c r="F303" s="4"/>
      <c r="G303" s="5"/>
      <c r="H303" s="6"/>
      <c r="I303" s="6"/>
      <c r="J303" s="6"/>
      <c r="K303" s="7"/>
      <c r="L303" s="49"/>
      <c r="M303" s="2"/>
      <c r="N303" s="8" t="str">
        <f t="shared" si="16"/>
        <v/>
      </c>
      <c r="O303" s="9" t="str">
        <f t="shared" si="17"/>
        <v/>
      </c>
      <c r="P303" s="10" t="str">
        <f t="shared" si="18"/>
        <v/>
      </c>
      <c r="Q303" s="10" t="str">
        <f t="shared" si="19"/>
        <v/>
      </c>
    </row>
    <row r="304" spans="1:17" x14ac:dyDescent="0.3">
      <c r="A304" s="2"/>
      <c r="B304" s="2"/>
      <c r="C304" s="2"/>
      <c r="D304" s="3"/>
      <c r="E304" s="4"/>
      <c r="F304" s="4"/>
      <c r="G304" s="5"/>
      <c r="H304" s="6"/>
      <c r="I304" s="6"/>
      <c r="J304" s="6"/>
      <c r="K304" s="7"/>
      <c r="L304" s="49"/>
      <c r="M304" s="2"/>
      <c r="N304" s="8" t="str">
        <f t="shared" si="16"/>
        <v/>
      </c>
      <c r="O304" s="9" t="str">
        <f t="shared" si="17"/>
        <v/>
      </c>
      <c r="P304" s="10" t="str">
        <f t="shared" si="18"/>
        <v/>
      </c>
      <c r="Q304" s="10" t="str">
        <f t="shared" si="19"/>
        <v/>
      </c>
    </row>
    <row r="305" spans="1:17" x14ac:dyDescent="0.3">
      <c r="A305" s="2"/>
      <c r="B305" s="2"/>
      <c r="C305" s="2"/>
      <c r="D305" s="3"/>
      <c r="E305" s="4"/>
      <c r="F305" s="4"/>
      <c r="G305" s="5"/>
      <c r="H305" s="6"/>
      <c r="I305" s="6"/>
      <c r="J305" s="6"/>
      <c r="K305" s="7"/>
      <c r="L305" s="49"/>
      <c r="M305" s="2"/>
      <c r="N305" s="8" t="str">
        <f t="shared" si="16"/>
        <v/>
      </c>
      <c r="O305" s="9" t="str">
        <f t="shared" si="17"/>
        <v/>
      </c>
      <c r="P305" s="10" t="str">
        <f t="shared" si="18"/>
        <v/>
      </c>
      <c r="Q305" s="10" t="str">
        <f t="shared" si="19"/>
        <v/>
      </c>
    </row>
    <row r="306" spans="1:17" x14ac:dyDescent="0.3">
      <c r="A306" s="2"/>
      <c r="B306" s="2"/>
      <c r="C306" s="2"/>
      <c r="D306" s="3"/>
      <c r="E306" s="4"/>
      <c r="F306" s="4"/>
      <c r="G306" s="5"/>
      <c r="H306" s="6"/>
      <c r="I306" s="6"/>
      <c r="J306" s="6"/>
      <c r="K306" s="7"/>
      <c r="L306" s="49"/>
      <c r="M306" s="2"/>
      <c r="N306" s="8" t="str">
        <f t="shared" si="16"/>
        <v/>
      </c>
      <c r="O306" s="9" t="str">
        <f t="shared" si="17"/>
        <v/>
      </c>
      <c r="P306" s="10" t="str">
        <f t="shared" si="18"/>
        <v/>
      </c>
      <c r="Q306" s="10" t="str">
        <f t="shared" si="19"/>
        <v/>
      </c>
    </row>
    <row r="307" spans="1:17" x14ac:dyDescent="0.3">
      <c r="A307" s="2"/>
      <c r="B307" s="2"/>
      <c r="C307" s="2"/>
      <c r="D307" s="3"/>
      <c r="E307" s="4"/>
      <c r="F307" s="4"/>
      <c r="G307" s="5"/>
      <c r="H307" s="6"/>
      <c r="I307" s="6"/>
      <c r="J307" s="6"/>
      <c r="K307" s="7"/>
      <c r="L307" s="49"/>
      <c r="M307" s="2"/>
      <c r="N307" s="8" t="str">
        <f t="shared" si="16"/>
        <v/>
      </c>
      <c r="O307" s="9" t="str">
        <f t="shared" si="17"/>
        <v/>
      </c>
      <c r="P307" s="10" t="str">
        <f t="shared" si="18"/>
        <v/>
      </c>
      <c r="Q307" s="10" t="str">
        <f t="shared" si="19"/>
        <v/>
      </c>
    </row>
    <row r="308" spans="1:17" x14ac:dyDescent="0.3">
      <c r="A308" s="2"/>
      <c r="B308" s="2"/>
      <c r="C308" s="2"/>
      <c r="D308" s="3"/>
      <c r="E308" s="4"/>
      <c r="F308" s="4"/>
      <c r="G308" s="5"/>
      <c r="H308" s="6"/>
      <c r="I308" s="6"/>
      <c r="J308" s="6"/>
      <c r="K308" s="7"/>
      <c r="L308" s="49"/>
      <c r="M308" s="2"/>
      <c r="N308" s="8" t="str">
        <f t="shared" si="16"/>
        <v/>
      </c>
      <c r="O308" s="9" t="str">
        <f t="shared" si="17"/>
        <v/>
      </c>
      <c r="P308" s="10" t="str">
        <f t="shared" si="18"/>
        <v/>
      </c>
      <c r="Q308" s="10" t="str">
        <f t="shared" si="19"/>
        <v/>
      </c>
    </row>
    <row r="309" spans="1:17" x14ac:dyDescent="0.3">
      <c r="A309" s="2"/>
      <c r="B309" s="2"/>
      <c r="C309" s="2"/>
      <c r="D309" s="3"/>
      <c r="E309" s="4"/>
      <c r="F309" s="4"/>
      <c r="G309" s="5"/>
      <c r="H309" s="6"/>
      <c r="I309" s="6"/>
      <c r="J309" s="6"/>
      <c r="K309" s="7"/>
      <c r="L309" s="49"/>
      <c r="M309" s="2"/>
      <c r="N309" s="8" t="str">
        <f t="shared" si="16"/>
        <v/>
      </c>
      <c r="O309" s="9" t="str">
        <f t="shared" si="17"/>
        <v/>
      </c>
      <c r="P309" s="10" t="str">
        <f t="shared" si="18"/>
        <v/>
      </c>
      <c r="Q309" s="10" t="str">
        <f t="shared" si="19"/>
        <v/>
      </c>
    </row>
    <row r="310" spans="1:17" x14ac:dyDescent="0.3">
      <c r="A310" s="2"/>
      <c r="B310" s="2"/>
      <c r="C310" s="2"/>
      <c r="D310" s="3"/>
      <c r="E310" s="4"/>
      <c r="F310" s="4"/>
      <c r="G310" s="5"/>
      <c r="H310" s="6"/>
      <c r="I310" s="6"/>
      <c r="J310" s="6"/>
      <c r="K310" s="7"/>
      <c r="L310" s="49"/>
      <c r="M310" s="2"/>
      <c r="N310" s="8" t="str">
        <f t="shared" si="16"/>
        <v/>
      </c>
      <c r="O310" s="9" t="str">
        <f t="shared" si="17"/>
        <v/>
      </c>
      <c r="P310" s="10" t="str">
        <f t="shared" si="18"/>
        <v/>
      </c>
      <c r="Q310" s="10" t="str">
        <f t="shared" si="19"/>
        <v/>
      </c>
    </row>
    <row r="311" spans="1:17" x14ac:dyDescent="0.3">
      <c r="A311" s="2"/>
      <c r="B311" s="2"/>
      <c r="C311" s="2"/>
      <c r="D311" s="3"/>
      <c r="E311" s="4"/>
      <c r="F311" s="4"/>
      <c r="G311" s="5"/>
      <c r="H311" s="6"/>
      <c r="I311" s="6"/>
      <c r="J311" s="6"/>
      <c r="K311" s="7"/>
      <c r="L311" s="49"/>
      <c r="M311" s="2"/>
      <c r="N311" s="8" t="str">
        <f t="shared" si="16"/>
        <v/>
      </c>
      <c r="O311" s="9" t="str">
        <f t="shared" si="17"/>
        <v/>
      </c>
      <c r="P311" s="10" t="str">
        <f t="shared" si="18"/>
        <v/>
      </c>
      <c r="Q311" s="10" t="str">
        <f t="shared" si="19"/>
        <v/>
      </c>
    </row>
    <row r="312" spans="1:17" x14ac:dyDescent="0.3">
      <c r="A312" s="2"/>
      <c r="B312" s="2"/>
      <c r="C312" s="2"/>
      <c r="D312" s="3"/>
      <c r="E312" s="4"/>
      <c r="F312" s="4"/>
      <c r="G312" s="5"/>
      <c r="H312" s="6"/>
      <c r="I312" s="6"/>
      <c r="J312" s="6"/>
      <c r="K312" s="7"/>
      <c r="L312" s="49"/>
      <c r="M312" s="2"/>
      <c r="N312" s="8" t="str">
        <f t="shared" si="16"/>
        <v/>
      </c>
      <c r="O312" s="9" t="str">
        <f t="shared" si="17"/>
        <v/>
      </c>
      <c r="P312" s="10" t="str">
        <f t="shared" si="18"/>
        <v/>
      </c>
      <c r="Q312" s="10" t="str">
        <f t="shared" si="19"/>
        <v/>
      </c>
    </row>
    <row r="313" spans="1:17" x14ac:dyDescent="0.3">
      <c r="A313" s="2"/>
      <c r="B313" s="2"/>
      <c r="C313" s="2"/>
      <c r="D313" s="3"/>
      <c r="E313" s="4"/>
      <c r="F313" s="4"/>
      <c r="G313" s="5"/>
      <c r="H313" s="6"/>
      <c r="I313" s="6"/>
      <c r="J313" s="6"/>
      <c r="K313" s="7"/>
      <c r="L313" s="49"/>
      <c r="M313" s="2"/>
      <c r="N313" s="8" t="str">
        <f t="shared" si="16"/>
        <v/>
      </c>
      <c r="O313" s="9" t="str">
        <f t="shared" si="17"/>
        <v/>
      </c>
      <c r="P313" s="10" t="str">
        <f t="shared" si="18"/>
        <v/>
      </c>
      <c r="Q313" s="10" t="str">
        <f t="shared" si="19"/>
        <v/>
      </c>
    </row>
    <row r="314" spans="1:17" x14ac:dyDescent="0.3">
      <c r="A314" s="2"/>
      <c r="B314" s="2"/>
      <c r="C314" s="2"/>
      <c r="D314" s="3"/>
      <c r="E314" s="4"/>
      <c r="F314" s="4"/>
      <c r="G314" s="5"/>
      <c r="H314" s="6"/>
      <c r="I314" s="6"/>
      <c r="J314" s="6"/>
      <c r="K314" s="7"/>
      <c r="L314" s="49"/>
      <c r="M314" s="2"/>
      <c r="N314" s="8" t="str">
        <f t="shared" si="16"/>
        <v/>
      </c>
      <c r="O314" s="9" t="str">
        <f t="shared" si="17"/>
        <v/>
      </c>
      <c r="P314" s="10" t="str">
        <f t="shared" si="18"/>
        <v/>
      </c>
      <c r="Q314" s="10" t="str">
        <f t="shared" si="19"/>
        <v/>
      </c>
    </row>
    <row r="315" spans="1:17" x14ac:dyDescent="0.3">
      <c r="A315" s="2"/>
      <c r="B315" s="2"/>
      <c r="C315" s="2"/>
      <c r="D315" s="3"/>
      <c r="E315" s="4"/>
      <c r="F315" s="4"/>
      <c r="G315" s="5"/>
      <c r="H315" s="6"/>
      <c r="I315" s="6"/>
      <c r="J315" s="6"/>
      <c r="K315" s="7"/>
      <c r="L315" s="49"/>
      <c r="M315" s="2"/>
      <c r="N315" s="8" t="str">
        <f t="shared" si="16"/>
        <v/>
      </c>
      <c r="O315" s="9" t="str">
        <f t="shared" si="17"/>
        <v/>
      </c>
      <c r="P315" s="10" t="str">
        <f t="shared" si="18"/>
        <v/>
      </c>
      <c r="Q315" s="10" t="str">
        <f t="shared" si="19"/>
        <v/>
      </c>
    </row>
    <row r="316" spans="1:17" x14ac:dyDescent="0.3">
      <c r="A316" s="2"/>
      <c r="B316" s="2"/>
      <c r="C316" s="2"/>
      <c r="D316" s="3"/>
      <c r="E316" s="4"/>
      <c r="F316" s="4"/>
      <c r="G316" s="5"/>
      <c r="H316" s="6"/>
      <c r="I316" s="6"/>
      <c r="J316" s="6"/>
      <c r="K316" s="7"/>
      <c r="L316" s="49"/>
      <c r="M316" s="2"/>
      <c r="N316" s="8" t="str">
        <f t="shared" si="16"/>
        <v/>
      </c>
      <c r="O316" s="9" t="str">
        <f t="shared" si="17"/>
        <v/>
      </c>
      <c r="P316" s="10" t="str">
        <f t="shared" si="18"/>
        <v/>
      </c>
      <c r="Q316" s="10" t="str">
        <f t="shared" si="19"/>
        <v/>
      </c>
    </row>
    <row r="317" spans="1:17" x14ac:dyDescent="0.3">
      <c r="A317" s="2"/>
      <c r="B317" s="2"/>
      <c r="C317" s="2"/>
      <c r="D317" s="3"/>
      <c r="E317" s="4"/>
      <c r="F317" s="4"/>
      <c r="G317" s="5"/>
      <c r="H317" s="6"/>
      <c r="I317" s="6"/>
      <c r="J317" s="6"/>
      <c r="K317" s="7"/>
      <c r="L317" s="49"/>
      <c r="M317" s="2"/>
      <c r="N317" s="8" t="str">
        <f t="shared" si="16"/>
        <v/>
      </c>
      <c r="O317" s="9" t="str">
        <f t="shared" si="17"/>
        <v/>
      </c>
      <c r="P317" s="10" t="str">
        <f t="shared" si="18"/>
        <v/>
      </c>
      <c r="Q317" s="10" t="str">
        <f t="shared" si="19"/>
        <v/>
      </c>
    </row>
    <row r="318" spans="1:17" x14ac:dyDescent="0.3">
      <c r="A318" s="2"/>
      <c r="B318" s="2"/>
      <c r="C318" s="2"/>
      <c r="D318" s="3"/>
      <c r="E318" s="4"/>
      <c r="F318" s="4"/>
      <c r="G318" s="5"/>
      <c r="H318" s="6"/>
      <c r="I318" s="6"/>
      <c r="J318" s="6"/>
      <c r="K318" s="7"/>
      <c r="L318" s="49"/>
      <c r="M318" s="2"/>
      <c r="N318" s="8" t="str">
        <f t="shared" si="16"/>
        <v/>
      </c>
      <c r="O318" s="9" t="str">
        <f t="shared" si="17"/>
        <v/>
      </c>
      <c r="P318" s="10" t="str">
        <f t="shared" si="18"/>
        <v/>
      </c>
      <c r="Q318" s="10" t="str">
        <f t="shared" si="19"/>
        <v/>
      </c>
    </row>
    <row r="319" spans="1:17" x14ac:dyDescent="0.3">
      <c r="A319" s="2"/>
      <c r="B319" s="2"/>
      <c r="C319" s="2"/>
      <c r="D319" s="3"/>
      <c r="E319" s="4"/>
      <c r="F319" s="4"/>
      <c r="G319" s="5"/>
      <c r="H319" s="6"/>
      <c r="I319" s="6"/>
      <c r="J319" s="6"/>
      <c r="K319" s="7"/>
      <c r="L319" s="49"/>
      <c r="M319" s="2"/>
      <c r="N319" s="8" t="str">
        <f t="shared" si="16"/>
        <v/>
      </c>
      <c r="O319" s="9" t="str">
        <f t="shared" si="17"/>
        <v/>
      </c>
      <c r="P319" s="10" t="str">
        <f t="shared" si="18"/>
        <v/>
      </c>
      <c r="Q319" s="10" t="str">
        <f t="shared" si="19"/>
        <v/>
      </c>
    </row>
    <row r="320" spans="1:17" x14ac:dyDescent="0.3">
      <c r="A320" s="2"/>
      <c r="B320" s="2"/>
      <c r="C320" s="2"/>
      <c r="D320" s="3"/>
      <c r="E320" s="4"/>
      <c r="F320" s="4"/>
      <c r="G320" s="5"/>
      <c r="H320" s="6"/>
      <c r="I320" s="6"/>
      <c r="J320" s="6"/>
      <c r="K320" s="7"/>
      <c r="L320" s="49"/>
      <c r="M320" s="2"/>
      <c r="N320" s="8" t="str">
        <f t="shared" si="16"/>
        <v/>
      </c>
      <c r="O320" s="9" t="str">
        <f t="shared" si="17"/>
        <v/>
      </c>
      <c r="P320" s="10" t="str">
        <f t="shared" si="18"/>
        <v/>
      </c>
      <c r="Q320" s="10" t="str">
        <f t="shared" si="19"/>
        <v/>
      </c>
    </row>
    <row r="321" spans="1:17" x14ac:dyDescent="0.3">
      <c r="A321" s="2"/>
      <c r="B321" s="2"/>
      <c r="C321" s="2"/>
      <c r="D321" s="3"/>
      <c r="E321" s="4"/>
      <c r="F321" s="4"/>
      <c r="G321" s="5"/>
      <c r="H321" s="6"/>
      <c r="I321" s="6"/>
      <c r="J321" s="6"/>
      <c r="K321" s="7"/>
      <c r="L321" s="49"/>
      <c r="M321" s="2"/>
      <c r="N321" s="8" t="str">
        <f t="shared" si="16"/>
        <v/>
      </c>
      <c r="O321" s="9" t="str">
        <f t="shared" si="17"/>
        <v/>
      </c>
      <c r="P321" s="10" t="str">
        <f t="shared" si="18"/>
        <v/>
      </c>
      <c r="Q321" s="10" t="str">
        <f t="shared" si="19"/>
        <v/>
      </c>
    </row>
    <row r="322" spans="1:17" x14ac:dyDescent="0.3">
      <c r="A322" s="2"/>
      <c r="B322" s="2"/>
      <c r="C322" s="2"/>
      <c r="D322" s="3"/>
      <c r="E322" s="4"/>
      <c r="F322" s="4"/>
      <c r="G322" s="5"/>
      <c r="H322" s="6"/>
      <c r="I322" s="6"/>
      <c r="J322" s="6"/>
      <c r="K322" s="7"/>
      <c r="L322" s="49"/>
      <c r="M322" s="2"/>
      <c r="N322" s="8" t="str">
        <f t="shared" si="16"/>
        <v/>
      </c>
      <c r="O322" s="9" t="str">
        <f t="shared" si="17"/>
        <v/>
      </c>
      <c r="P322" s="10" t="str">
        <f t="shared" si="18"/>
        <v/>
      </c>
      <c r="Q322" s="10" t="str">
        <f t="shared" si="19"/>
        <v/>
      </c>
    </row>
    <row r="323" spans="1:17" x14ac:dyDescent="0.3">
      <c r="A323" s="2"/>
      <c r="B323" s="2"/>
      <c r="C323" s="2"/>
      <c r="D323" s="3"/>
      <c r="E323" s="4"/>
      <c r="F323" s="4"/>
      <c r="G323" s="5"/>
      <c r="H323" s="6"/>
      <c r="I323" s="6"/>
      <c r="J323" s="6"/>
      <c r="K323" s="7"/>
      <c r="L323" s="49"/>
      <c r="M323" s="2"/>
      <c r="N323" s="8" t="str">
        <f t="shared" si="16"/>
        <v/>
      </c>
      <c r="O323" s="9" t="str">
        <f t="shared" si="17"/>
        <v/>
      </c>
      <c r="P323" s="10" t="str">
        <f t="shared" si="18"/>
        <v/>
      </c>
      <c r="Q323" s="10" t="str">
        <f t="shared" si="19"/>
        <v/>
      </c>
    </row>
    <row r="324" spans="1:17" x14ac:dyDescent="0.3">
      <c r="A324" s="2"/>
      <c r="B324" s="2"/>
      <c r="C324" s="2"/>
      <c r="D324" s="3"/>
      <c r="E324" s="4"/>
      <c r="F324" s="4"/>
      <c r="G324" s="5"/>
      <c r="H324" s="6"/>
      <c r="I324" s="6"/>
      <c r="J324" s="6"/>
      <c r="K324" s="7"/>
      <c r="L324" s="49"/>
      <c r="M324" s="2"/>
      <c r="N324" s="8" t="str">
        <f t="shared" si="16"/>
        <v/>
      </c>
      <c r="O324" s="9" t="str">
        <f t="shared" si="17"/>
        <v/>
      </c>
      <c r="P324" s="10" t="str">
        <f t="shared" si="18"/>
        <v/>
      </c>
      <c r="Q324" s="10" t="str">
        <f t="shared" si="19"/>
        <v/>
      </c>
    </row>
    <row r="325" spans="1:17" x14ac:dyDescent="0.3">
      <c r="A325" s="2"/>
      <c r="B325" s="2"/>
      <c r="C325" s="2"/>
      <c r="D325" s="3"/>
      <c r="E325" s="4"/>
      <c r="F325" s="4"/>
      <c r="G325" s="5"/>
      <c r="H325" s="6"/>
      <c r="I325" s="6"/>
      <c r="J325" s="6"/>
      <c r="K325" s="7"/>
      <c r="L325" s="49"/>
      <c r="M325" s="2"/>
      <c r="N325" s="8" t="str">
        <f t="shared" si="16"/>
        <v/>
      </c>
      <c r="O325" s="9" t="str">
        <f t="shared" si="17"/>
        <v/>
      </c>
      <c r="P325" s="10" t="str">
        <f t="shared" si="18"/>
        <v/>
      </c>
      <c r="Q325" s="10" t="str">
        <f t="shared" si="19"/>
        <v/>
      </c>
    </row>
    <row r="326" spans="1:17" x14ac:dyDescent="0.3">
      <c r="A326" s="2"/>
      <c r="B326" s="2"/>
      <c r="C326" s="2"/>
      <c r="D326" s="3"/>
      <c r="E326" s="4"/>
      <c r="F326" s="4"/>
      <c r="G326" s="5"/>
      <c r="H326" s="6"/>
      <c r="I326" s="6"/>
      <c r="J326" s="6"/>
      <c r="K326" s="7"/>
      <c r="L326" s="49"/>
      <c r="M326" s="2"/>
      <c r="N326" s="8" t="str">
        <f t="shared" si="16"/>
        <v/>
      </c>
      <c r="O326" s="9" t="str">
        <f t="shared" si="17"/>
        <v/>
      </c>
      <c r="P326" s="10" t="str">
        <f t="shared" si="18"/>
        <v/>
      </c>
      <c r="Q326" s="10" t="str">
        <f t="shared" si="19"/>
        <v/>
      </c>
    </row>
    <row r="327" spans="1:17" x14ac:dyDescent="0.3">
      <c r="A327" s="2"/>
      <c r="B327" s="2"/>
      <c r="C327" s="2"/>
      <c r="D327" s="3"/>
      <c r="E327" s="4"/>
      <c r="F327" s="4"/>
      <c r="G327" s="5"/>
      <c r="H327" s="6"/>
      <c r="I327" s="6"/>
      <c r="J327" s="6"/>
      <c r="K327" s="7"/>
      <c r="L327" s="49"/>
      <c r="M327" s="2"/>
      <c r="N327" s="8" t="str">
        <f t="shared" ref="N327:N390" si="20">IF($D327="","",$D327*N($E327))</f>
        <v/>
      </c>
      <c r="O327" s="9" t="str">
        <f t="shared" ref="O327:O390" si="21">IF($D327="","",$D327*N($F327))</f>
        <v/>
      </c>
      <c r="P327" s="10" t="str">
        <f t="shared" ref="P327:P390" si="22">IF($D327="","",IF(N($K327)&gt;0,$K327,IF(AND(N($G327)&gt;0,N($H327)&gt;0,N($I327)&gt;0,N($J327)&gt;0),$H327*$I327*$J327/1000000/$G327,0)))</f>
        <v/>
      </c>
      <c r="Q327" s="10" t="str">
        <f t="shared" ref="Q327:Q390" si="23">IF($D327="","",$D327*$P327)</f>
        <v/>
      </c>
    </row>
    <row r="328" spans="1:17" x14ac:dyDescent="0.3">
      <c r="A328" s="2"/>
      <c r="B328" s="2"/>
      <c r="C328" s="2"/>
      <c r="D328" s="3"/>
      <c r="E328" s="4"/>
      <c r="F328" s="4"/>
      <c r="G328" s="5"/>
      <c r="H328" s="6"/>
      <c r="I328" s="6"/>
      <c r="J328" s="6"/>
      <c r="K328" s="7"/>
      <c r="L328" s="49"/>
      <c r="M328" s="2"/>
      <c r="N328" s="8" t="str">
        <f t="shared" si="20"/>
        <v/>
      </c>
      <c r="O328" s="9" t="str">
        <f t="shared" si="21"/>
        <v/>
      </c>
      <c r="P328" s="10" t="str">
        <f t="shared" si="22"/>
        <v/>
      </c>
      <c r="Q328" s="10" t="str">
        <f t="shared" si="23"/>
        <v/>
      </c>
    </row>
    <row r="329" spans="1:17" x14ac:dyDescent="0.3">
      <c r="A329" s="2"/>
      <c r="B329" s="2"/>
      <c r="C329" s="2"/>
      <c r="D329" s="3"/>
      <c r="E329" s="4"/>
      <c r="F329" s="4"/>
      <c r="G329" s="5"/>
      <c r="H329" s="6"/>
      <c r="I329" s="6"/>
      <c r="J329" s="6"/>
      <c r="K329" s="7"/>
      <c r="L329" s="49"/>
      <c r="M329" s="2"/>
      <c r="N329" s="8" t="str">
        <f t="shared" si="20"/>
        <v/>
      </c>
      <c r="O329" s="9" t="str">
        <f t="shared" si="21"/>
        <v/>
      </c>
      <c r="P329" s="10" t="str">
        <f t="shared" si="22"/>
        <v/>
      </c>
      <c r="Q329" s="10" t="str">
        <f t="shared" si="23"/>
        <v/>
      </c>
    </row>
    <row r="330" spans="1:17" x14ac:dyDescent="0.3">
      <c r="A330" s="2"/>
      <c r="B330" s="2"/>
      <c r="C330" s="2"/>
      <c r="D330" s="3"/>
      <c r="E330" s="4"/>
      <c r="F330" s="4"/>
      <c r="G330" s="5"/>
      <c r="H330" s="6"/>
      <c r="I330" s="6"/>
      <c r="J330" s="6"/>
      <c r="K330" s="7"/>
      <c r="L330" s="49"/>
      <c r="M330" s="2"/>
      <c r="N330" s="8" t="str">
        <f t="shared" si="20"/>
        <v/>
      </c>
      <c r="O330" s="9" t="str">
        <f t="shared" si="21"/>
        <v/>
      </c>
      <c r="P330" s="10" t="str">
        <f t="shared" si="22"/>
        <v/>
      </c>
      <c r="Q330" s="10" t="str">
        <f t="shared" si="23"/>
        <v/>
      </c>
    </row>
    <row r="331" spans="1:17" x14ac:dyDescent="0.3">
      <c r="A331" s="2"/>
      <c r="B331" s="2"/>
      <c r="C331" s="2"/>
      <c r="D331" s="3"/>
      <c r="E331" s="4"/>
      <c r="F331" s="4"/>
      <c r="G331" s="5"/>
      <c r="H331" s="6"/>
      <c r="I331" s="6"/>
      <c r="J331" s="6"/>
      <c r="K331" s="7"/>
      <c r="L331" s="49"/>
      <c r="M331" s="2"/>
      <c r="N331" s="8" t="str">
        <f t="shared" si="20"/>
        <v/>
      </c>
      <c r="O331" s="9" t="str">
        <f t="shared" si="21"/>
        <v/>
      </c>
      <c r="P331" s="10" t="str">
        <f t="shared" si="22"/>
        <v/>
      </c>
      <c r="Q331" s="10" t="str">
        <f t="shared" si="23"/>
        <v/>
      </c>
    </row>
    <row r="332" spans="1:17" x14ac:dyDescent="0.3">
      <c r="A332" s="2"/>
      <c r="B332" s="2"/>
      <c r="C332" s="2"/>
      <c r="D332" s="3"/>
      <c r="E332" s="4"/>
      <c r="F332" s="4"/>
      <c r="G332" s="5"/>
      <c r="H332" s="6"/>
      <c r="I332" s="6"/>
      <c r="J332" s="6"/>
      <c r="K332" s="7"/>
      <c r="L332" s="49"/>
      <c r="M332" s="2"/>
      <c r="N332" s="8" t="str">
        <f t="shared" si="20"/>
        <v/>
      </c>
      <c r="O332" s="9" t="str">
        <f t="shared" si="21"/>
        <v/>
      </c>
      <c r="P332" s="10" t="str">
        <f t="shared" si="22"/>
        <v/>
      </c>
      <c r="Q332" s="10" t="str">
        <f t="shared" si="23"/>
        <v/>
      </c>
    </row>
    <row r="333" spans="1:17" x14ac:dyDescent="0.3">
      <c r="A333" s="2"/>
      <c r="B333" s="2"/>
      <c r="C333" s="2"/>
      <c r="D333" s="3"/>
      <c r="E333" s="4"/>
      <c r="F333" s="4"/>
      <c r="G333" s="5"/>
      <c r="H333" s="6"/>
      <c r="I333" s="6"/>
      <c r="J333" s="6"/>
      <c r="K333" s="7"/>
      <c r="L333" s="49"/>
      <c r="M333" s="2"/>
      <c r="N333" s="8" t="str">
        <f t="shared" si="20"/>
        <v/>
      </c>
      <c r="O333" s="9" t="str">
        <f t="shared" si="21"/>
        <v/>
      </c>
      <c r="P333" s="10" t="str">
        <f t="shared" si="22"/>
        <v/>
      </c>
      <c r="Q333" s="10" t="str">
        <f t="shared" si="23"/>
        <v/>
      </c>
    </row>
    <row r="334" spans="1:17" x14ac:dyDescent="0.3">
      <c r="A334" s="2"/>
      <c r="B334" s="2"/>
      <c r="C334" s="2"/>
      <c r="D334" s="3"/>
      <c r="E334" s="4"/>
      <c r="F334" s="4"/>
      <c r="G334" s="5"/>
      <c r="H334" s="6"/>
      <c r="I334" s="6"/>
      <c r="J334" s="6"/>
      <c r="K334" s="7"/>
      <c r="L334" s="49"/>
      <c r="M334" s="2"/>
      <c r="N334" s="8" t="str">
        <f t="shared" si="20"/>
        <v/>
      </c>
      <c r="O334" s="9" t="str">
        <f t="shared" si="21"/>
        <v/>
      </c>
      <c r="P334" s="10" t="str">
        <f t="shared" si="22"/>
        <v/>
      </c>
      <c r="Q334" s="10" t="str">
        <f t="shared" si="23"/>
        <v/>
      </c>
    </row>
    <row r="335" spans="1:17" x14ac:dyDescent="0.3">
      <c r="A335" s="2"/>
      <c r="B335" s="2"/>
      <c r="C335" s="2"/>
      <c r="D335" s="3"/>
      <c r="E335" s="4"/>
      <c r="F335" s="4"/>
      <c r="G335" s="5"/>
      <c r="H335" s="6"/>
      <c r="I335" s="6"/>
      <c r="J335" s="6"/>
      <c r="K335" s="7"/>
      <c r="L335" s="49"/>
      <c r="M335" s="2"/>
      <c r="N335" s="8" t="str">
        <f t="shared" si="20"/>
        <v/>
      </c>
      <c r="O335" s="9" t="str">
        <f t="shared" si="21"/>
        <v/>
      </c>
      <c r="P335" s="10" t="str">
        <f t="shared" si="22"/>
        <v/>
      </c>
      <c r="Q335" s="10" t="str">
        <f t="shared" si="23"/>
        <v/>
      </c>
    </row>
    <row r="336" spans="1:17" x14ac:dyDescent="0.3">
      <c r="A336" s="2"/>
      <c r="B336" s="2"/>
      <c r="C336" s="2"/>
      <c r="D336" s="3"/>
      <c r="E336" s="4"/>
      <c r="F336" s="4"/>
      <c r="G336" s="5"/>
      <c r="H336" s="6"/>
      <c r="I336" s="6"/>
      <c r="J336" s="6"/>
      <c r="K336" s="7"/>
      <c r="L336" s="49"/>
      <c r="M336" s="2"/>
      <c r="N336" s="8" t="str">
        <f t="shared" si="20"/>
        <v/>
      </c>
      <c r="O336" s="9" t="str">
        <f t="shared" si="21"/>
        <v/>
      </c>
      <c r="P336" s="10" t="str">
        <f t="shared" si="22"/>
        <v/>
      </c>
      <c r="Q336" s="10" t="str">
        <f t="shared" si="23"/>
        <v/>
      </c>
    </row>
    <row r="337" spans="1:17" x14ac:dyDescent="0.3">
      <c r="A337" s="2"/>
      <c r="B337" s="2"/>
      <c r="C337" s="2"/>
      <c r="D337" s="3"/>
      <c r="E337" s="4"/>
      <c r="F337" s="4"/>
      <c r="G337" s="5"/>
      <c r="H337" s="6"/>
      <c r="I337" s="6"/>
      <c r="J337" s="6"/>
      <c r="K337" s="7"/>
      <c r="L337" s="49"/>
      <c r="M337" s="2"/>
      <c r="N337" s="8" t="str">
        <f t="shared" si="20"/>
        <v/>
      </c>
      <c r="O337" s="9" t="str">
        <f t="shared" si="21"/>
        <v/>
      </c>
      <c r="P337" s="10" t="str">
        <f t="shared" si="22"/>
        <v/>
      </c>
      <c r="Q337" s="10" t="str">
        <f t="shared" si="23"/>
        <v/>
      </c>
    </row>
    <row r="338" spans="1:17" x14ac:dyDescent="0.3">
      <c r="A338" s="2"/>
      <c r="B338" s="2"/>
      <c r="C338" s="2"/>
      <c r="D338" s="3"/>
      <c r="E338" s="4"/>
      <c r="F338" s="4"/>
      <c r="G338" s="5"/>
      <c r="H338" s="6"/>
      <c r="I338" s="6"/>
      <c r="J338" s="6"/>
      <c r="K338" s="7"/>
      <c r="L338" s="49"/>
      <c r="M338" s="2"/>
      <c r="N338" s="8" t="str">
        <f t="shared" si="20"/>
        <v/>
      </c>
      <c r="O338" s="9" t="str">
        <f t="shared" si="21"/>
        <v/>
      </c>
      <c r="P338" s="10" t="str">
        <f t="shared" si="22"/>
        <v/>
      </c>
      <c r="Q338" s="10" t="str">
        <f t="shared" si="23"/>
        <v/>
      </c>
    </row>
    <row r="339" spans="1:17" x14ac:dyDescent="0.3">
      <c r="A339" s="2"/>
      <c r="B339" s="2"/>
      <c r="C339" s="2"/>
      <c r="D339" s="3"/>
      <c r="E339" s="4"/>
      <c r="F339" s="4"/>
      <c r="G339" s="5"/>
      <c r="H339" s="6"/>
      <c r="I339" s="6"/>
      <c r="J339" s="6"/>
      <c r="K339" s="7"/>
      <c r="L339" s="49"/>
      <c r="M339" s="2"/>
      <c r="N339" s="8" t="str">
        <f t="shared" si="20"/>
        <v/>
      </c>
      <c r="O339" s="9" t="str">
        <f t="shared" si="21"/>
        <v/>
      </c>
      <c r="P339" s="10" t="str">
        <f t="shared" si="22"/>
        <v/>
      </c>
      <c r="Q339" s="10" t="str">
        <f t="shared" si="23"/>
        <v/>
      </c>
    </row>
    <row r="340" spans="1:17" x14ac:dyDescent="0.3">
      <c r="A340" s="2"/>
      <c r="B340" s="2"/>
      <c r="C340" s="2"/>
      <c r="D340" s="3"/>
      <c r="E340" s="4"/>
      <c r="F340" s="4"/>
      <c r="G340" s="5"/>
      <c r="H340" s="6"/>
      <c r="I340" s="6"/>
      <c r="J340" s="6"/>
      <c r="K340" s="7"/>
      <c r="L340" s="49"/>
      <c r="M340" s="2"/>
      <c r="N340" s="8" t="str">
        <f t="shared" si="20"/>
        <v/>
      </c>
      <c r="O340" s="9" t="str">
        <f t="shared" si="21"/>
        <v/>
      </c>
      <c r="P340" s="10" t="str">
        <f t="shared" si="22"/>
        <v/>
      </c>
      <c r="Q340" s="10" t="str">
        <f t="shared" si="23"/>
        <v/>
      </c>
    </row>
    <row r="341" spans="1:17" x14ac:dyDescent="0.3">
      <c r="A341" s="2"/>
      <c r="B341" s="2"/>
      <c r="C341" s="2"/>
      <c r="D341" s="3"/>
      <c r="E341" s="4"/>
      <c r="F341" s="4"/>
      <c r="G341" s="5"/>
      <c r="H341" s="6"/>
      <c r="I341" s="6"/>
      <c r="J341" s="6"/>
      <c r="K341" s="7"/>
      <c r="L341" s="49"/>
      <c r="M341" s="2"/>
      <c r="N341" s="8" t="str">
        <f t="shared" si="20"/>
        <v/>
      </c>
      <c r="O341" s="9" t="str">
        <f t="shared" si="21"/>
        <v/>
      </c>
      <c r="P341" s="10" t="str">
        <f t="shared" si="22"/>
        <v/>
      </c>
      <c r="Q341" s="10" t="str">
        <f t="shared" si="23"/>
        <v/>
      </c>
    </row>
    <row r="342" spans="1:17" x14ac:dyDescent="0.3">
      <c r="A342" s="2"/>
      <c r="B342" s="2"/>
      <c r="C342" s="2"/>
      <c r="D342" s="3"/>
      <c r="E342" s="4"/>
      <c r="F342" s="4"/>
      <c r="G342" s="5"/>
      <c r="H342" s="6"/>
      <c r="I342" s="6"/>
      <c r="J342" s="6"/>
      <c r="K342" s="7"/>
      <c r="L342" s="49"/>
      <c r="M342" s="2"/>
      <c r="N342" s="8" t="str">
        <f t="shared" si="20"/>
        <v/>
      </c>
      <c r="O342" s="9" t="str">
        <f t="shared" si="21"/>
        <v/>
      </c>
      <c r="P342" s="10" t="str">
        <f t="shared" si="22"/>
        <v/>
      </c>
      <c r="Q342" s="10" t="str">
        <f t="shared" si="23"/>
        <v/>
      </c>
    </row>
    <row r="343" spans="1:17" x14ac:dyDescent="0.3">
      <c r="A343" s="2"/>
      <c r="B343" s="2"/>
      <c r="C343" s="2"/>
      <c r="D343" s="3"/>
      <c r="E343" s="4"/>
      <c r="F343" s="4"/>
      <c r="G343" s="5"/>
      <c r="H343" s="6"/>
      <c r="I343" s="6"/>
      <c r="J343" s="6"/>
      <c r="K343" s="7"/>
      <c r="L343" s="49"/>
      <c r="M343" s="2"/>
      <c r="N343" s="8" t="str">
        <f t="shared" si="20"/>
        <v/>
      </c>
      <c r="O343" s="9" t="str">
        <f t="shared" si="21"/>
        <v/>
      </c>
      <c r="P343" s="10" t="str">
        <f t="shared" si="22"/>
        <v/>
      </c>
      <c r="Q343" s="10" t="str">
        <f t="shared" si="23"/>
        <v/>
      </c>
    </row>
    <row r="344" spans="1:17" x14ac:dyDescent="0.3">
      <c r="A344" s="2"/>
      <c r="B344" s="2"/>
      <c r="C344" s="2"/>
      <c r="D344" s="3"/>
      <c r="E344" s="4"/>
      <c r="F344" s="4"/>
      <c r="G344" s="5"/>
      <c r="H344" s="6"/>
      <c r="I344" s="6"/>
      <c r="J344" s="6"/>
      <c r="K344" s="7"/>
      <c r="L344" s="49"/>
      <c r="M344" s="2"/>
      <c r="N344" s="8" t="str">
        <f t="shared" si="20"/>
        <v/>
      </c>
      <c r="O344" s="9" t="str">
        <f t="shared" si="21"/>
        <v/>
      </c>
      <c r="P344" s="10" t="str">
        <f t="shared" si="22"/>
        <v/>
      </c>
      <c r="Q344" s="10" t="str">
        <f t="shared" si="23"/>
        <v/>
      </c>
    </row>
    <row r="345" spans="1:17" x14ac:dyDescent="0.3">
      <c r="A345" s="2"/>
      <c r="B345" s="2"/>
      <c r="C345" s="2"/>
      <c r="D345" s="3"/>
      <c r="E345" s="4"/>
      <c r="F345" s="4"/>
      <c r="G345" s="5"/>
      <c r="H345" s="6"/>
      <c r="I345" s="6"/>
      <c r="J345" s="6"/>
      <c r="K345" s="7"/>
      <c r="L345" s="49"/>
      <c r="M345" s="2"/>
      <c r="N345" s="8" t="str">
        <f t="shared" si="20"/>
        <v/>
      </c>
      <c r="O345" s="9" t="str">
        <f t="shared" si="21"/>
        <v/>
      </c>
      <c r="P345" s="10" t="str">
        <f t="shared" si="22"/>
        <v/>
      </c>
      <c r="Q345" s="10" t="str">
        <f t="shared" si="23"/>
        <v/>
      </c>
    </row>
    <row r="346" spans="1:17" x14ac:dyDescent="0.3">
      <c r="A346" s="2"/>
      <c r="B346" s="2"/>
      <c r="C346" s="2"/>
      <c r="D346" s="3"/>
      <c r="E346" s="4"/>
      <c r="F346" s="4"/>
      <c r="G346" s="5"/>
      <c r="H346" s="6"/>
      <c r="I346" s="6"/>
      <c r="J346" s="6"/>
      <c r="K346" s="7"/>
      <c r="L346" s="49"/>
      <c r="M346" s="2"/>
      <c r="N346" s="8" t="str">
        <f t="shared" si="20"/>
        <v/>
      </c>
      <c r="O346" s="9" t="str">
        <f t="shared" si="21"/>
        <v/>
      </c>
      <c r="P346" s="10" t="str">
        <f t="shared" si="22"/>
        <v/>
      </c>
      <c r="Q346" s="10" t="str">
        <f t="shared" si="23"/>
        <v/>
      </c>
    </row>
    <row r="347" spans="1:17" x14ac:dyDescent="0.3">
      <c r="A347" s="2"/>
      <c r="B347" s="2"/>
      <c r="C347" s="2"/>
      <c r="D347" s="3"/>
      <c r="E347" s="4"/>
      <c r="F347" s="4"/>
      <c r="G347" s="5"/>
      <c r="H347" s="6"/>
      <c r="I347" s="6"/>
      <c r="J347" s="6"/>
      <c r="K347" s="7"/>
      <c r="L347" s="49"/>
      <c r="M347" s="2"/>
      <c r="N347" s="8" t="str">
        <f t="shared" si="20"/>
        <v/>
      </c>
      <c r="O347" s="9" t="str">
        <f t="shared" si="21"/>
        <v/>
      </c>
      <c r="P347" s="10" t="str">
        <f t="shared" si="22"/>
        <v/>
      </c>
      <c r="Q347" s="10" t="str">
        <f t="shared" si="23"/>
        <v/>
      </c>
    </row>
    <row r="348" spans="1:17" x14ac:dyDescent="0.3">
      <c r="A348" s="2"/>
      <c r="B348" s="2"/>
      <c r="C348" s="2"/>
      <c r="D348" s="3"/>
      <c r="E348" s="4"/>
      <c r="F348" s="4"/>
      <c r="G348" s="5"/>
      <c r="H348" s="6"/>
      <c r="I348" s="6"/>
      <c r="J348" s="6"/>
      <c r="K348" s="7"/>
      <c r="L348" s="49"/>
      <c r="M348" s="2"/>
      <c r="N348" s="8" t="str">
        <f t="shared" si="20"/>
        <v/>
      </c>
      <c r="O348" s="9" t="str">
        <f t="shared" si="21"/>
        <v/>
      </c>
      <c r="P348" s="10" t="str">
        <f t="shared" si="22"/>
        <v/>
      </c>
      <c r="Q348" s="10" t="str">
        <f t="shared" si="23"/>
        <v/>
      </c>
    </row>
    <row r="349" spans="1:17" x14ac:dyDescent="0.3">
      <c r="A349" s="2"/>
      <c r="B349" s="2"/>
      <c r="C349" s="2"/>
      <c r="D349" s="3"/>
      <c r="E349" s="4"/>
      <c r="F349" s="4"/>
      <c r="G349" s="5"/>
      <c r="H349" s="6"/>
      <c r="I349" s="6"/>
      <c r="J349" s="6"/>
      <c r="K349" s="7"/>
      <c r="L349" s="49"/>
      <c r="M349" s="2"/>
      <c r="N349" s="8" t="str">
        <f t="shared" si="20"/>
        <v/>
      </c>
      <c r="O349" s="9" t="str">
        <f t="shared" si="21"/>
        <v/>
      </c>
      <c r="P349" s="10" t="str">
        <f t="shared" si="22"/>
        <v/>
      </c>
      <c r="Q349" s="10" t="str">
        <f t="shared" si="23"/>
        <v/>
      </c>
    </row>
    <row r="350" spans="1:17" x14ac:dyDescent="0.3">
      <c r="A350" s="2"/>
      <c r="B350" s="2"/>
      <c r="C350" s="2"/>
      <c r="D350" s="3"/>
      <c r="E350" s="4"/>
      <c r="F350" s="4"/>
      <c r="G350" s="5"/>
      <c r="H350" s="6"/>
      <c r="I350" s="6"/>
      <c r="J350" s="6"/>
      <c r="K350" s="7"/>
      <c r="L350" s="49"/>
      <c r="M350" s="2"/>
      <c r="N350" s="8" t="str">
        <f t="shared" si="20"/>
        <v/>
      </c>
      <c r="O350" s="9" t="str">
        <f t="shared" si="21"/>
        <v/>
      </c>
      <c r="P350" s="10" t="str">
        <f t="shared" si="22"/>
        <v/>
      </c>
      <c r="Q350" s="10" t="str">
        <f t="shared" si="23"/>
        <v/>
      </c>
    </row>
    <row r="351" spans="1:17" x14ac:dyDescent="0.3">
      <c r="A351" s="2"/>
      <c r="B351" s="2"/>
      <c r="C351" s="2"/>
      <c r="D351" s="3"/>
      <c r="E351" s="4"/>
      <c r="F351" s="4"/>
      <c r="G351" s="5"/>
      <c r="H351" s="6"/>
      <c r="I351" s="6"/>
      <c r="J351" s="6"/>
      <c r="K351" s="7"/>
      <c r="L351" s="49"/>
      <c r="M351" s="2"/>
      <c r="N351" s="8" t="str">
        <f t="shared" si="20"/>
        <v/>
      </c>
      <c r="O351" s="9" t="str">
        <f t="shared" si="21"/>
        <v/>
      </c>
      <c r="P351" s="10" t="str">
        <f t="shared" si="22"/>
        <v/>
      </c>
      <c r="Q351" s="10" t="str">
        <f t="shared" si="23"/>
        <v/>
      </c>
    </row>
    <row r="352" spans="1:17" x14ac:dyDescent="0.3">
      <c r="A352" s="2"/>
      <c r="B352" s="2"/>
      <c r="C352" s="2"/>
      <c r="D352" s="3"/>
      <c r="E352" s="4"/>
      <c r="F352" s="4"/>
      <c r="G352" s="5"/>
      <c r="H352" s="6"/>
      <c r="I352" s="6"/>
      <c r="J352" s="6"/>
      <c r="K352" s="7"/>
      <c r="L352" s="49"/>
      <c r="M352" s="2"/>
      <c r="N352" s="8" t="str">
        <f t="shared" si="20"/>
        <v/>
      </c>
      <c r="O352" s="9" t="str">
        <f t="shared" si="21"/>
        <v/>
      </c>
      <c r="P352" s="10" t="str">
        <f t="shared" si="22"/>
        <v/>
      </c>
      <c r="Q352" s="10" t="str">
        <f t="shared" si="23"/>
        <v/>
      </c>
    </row>
    <row r="353" spans="1:17" x14ac:dyDescent="0.3">
      <c r="A353" s="2"/>
      <c r="B353" s="2"/>
      <c r="C353" s="2"/>
      <c r="D353" s="3"/>
      <c r="E353" s="4"/>
      <c r="F353" s="4"/>
      <c r="G353" s="5"/>
      <c r="H353" s="6"/>
      <c r="I353" s="6"/>
      <c r="J353" s="6"/>
      <c r="K353" s="7"/>
      <c r="L353" s="49"/>
      <c r="M353" s="2"/>
      <c r="N353" s="8" t="str">
        <f t="shared" si="20"/>
        <v/>
      </c>
      <c r="O353" s="9" t="str">
        <f t="shared" si="21"/>
        <v/>
      </c>
      <c r="P353" s="10" t="str">
        <f t="shared" si="22"/>
        <v/>
      </c>
      <c r="Q353" s="10" t="str">
        <f t="shared" si="23"/>
        <v/>
      </c>
    </row>
    <row r="354" spans="1:17" x14ac:dyDescent="0.3">
      <c r="A354" s="2"/>
      <c r="B354" s="2"/>
      <c r="C354" s="2"/>
      <c r="D354" s="3"/>
      <c r="E354" s="4"/>
      <c r="F354" s="4"/>
      <c r="G354" s="5"/>
      <c r="H354" s="6"/>
      <c r="I354" s="6"/>
      <c r="J354" s="6"/>
      <c r="K354" s="7"/>
      <c r="L354" s="49"/>
      <c r="M354" s="2"/>
      <c r="N354" s="8" t="str">
        <f t="shared" si="20"/>
        <v/>
      </c>
      <c r="O354" s="9" t="str">
        <f t="shared" si="21"/>
        <v/>
      </c>
      <c r="P354" s="10" t="str">
        <f t="shared" si="22"/>
        <v/>
      </c>
      <c r="Q354" s="10" t="str">
        <f t="shared" si="23"/>
        <v/>
      </c>
    </row>
    <row r="355" spans="1:17" x14ac:dyDescent="0.3">
      <c r="A355" s="2"/>
      <c r="B355" s="2"/>
      <c r="C355" s="2"/>
      <c r="D355" s="3"/>
      <c r="E355" s="4"/>
      <c r="F355" s="4"/>
      <c r="G355" s="5"/>
      <c r="H355" s="6"/>
      <c r="I355" s="6"/>
      <c r="J355" s="6"/>
      <c r="K355" s="7"/>
      <c r="L355" s="49"/>
      <c r="M355" s="2"/>
      <c r="N355" s="8" t="str">
        <f t="shared" si="20"/>
        <v/>
      </c>
      <c r="O355" s="9" t="str">
        <f t="shared" si="21"/>
        <v/>
      </c>
      <c r="P355" s="10" t="str">
        <f t="shared" si="22"/>
        <v/>
      </c>
      <c r="Q355" s="10" t="str">
        <f t="shared" si="23"/>
        <v/>
      </c>
    </row>
    <row r="356" spans="1:17" x14ac:dyDescent="0.3">
      <c r="A356" s="2"/>
      <c r="B356" s="2"/>
      <c r="C356" s="2"/>
      <c r="D356" s="3"/>
      <c r="E356" s="4"/>
      <c r="F356" s="4"/>
      <c r="G356" s="5"/>
      <c r="H356" s="6"/>
      <c r="I356" s="6"/>
      <c r="J356" s="6"/>
      <c r="K356" s="7"/>
      <c r="L356" s="49"/>
      <c r="M356" s="2"/>
      <c r="N356" s="8" t="str">
        <f t="shared" si="20"/>
        <v/>
      </c>
      <c r="O356" s="9" t="str">
        <f t="shared" si="21"/>
        <v/>
      </c>
      <c r="P356" s="10" t="str">
        <f t="shared" si="22"/>
        <v/>
      </c>
      <c r="Q356" s="10" t="str">
        <f t="shared" si="23"/>
        <v/>
      </c>
    </row>
    <row r="357" spans="1:17" x14ac:dyDescent="0.3">
      <c r="A357" s="2"/>
      <c r="B357" s="2"/>
      <c r="C357" s="2"/>
      <c r="D357" s="3"/>
      <c r="E357" s="4"/>
      <c r="F357" s="4"/>
      <c r="G357" s="5"/>
      <c r="H357" s="6"/>
      <c r="I357" s="6"/>
      <c r="J357" s="6"/>
      <c r="K357" s="7"/>
      <c r="L357" s="49"/>
      <c r="M357" s="2"/>
      <c r="N357" s="8" t="str">
        <f t="shared" si="20"/>
        <v/>
      </c>
      <c r="O357" s="9" t="str">
        <f t="shared" si="21"/>
        <v/>
      </c>
      <c r="P357" s="10" t="str">
        <f t="shared" si="22"/>
        <v/>
      </c>
      <c r="Q357" s="10" t="str">
        <f t="shared" si="23"/>
        <v/>
      </c>
    </row>
    <row r="358" spans="1:17" x14ac:dyDescent="0.3">
      <c r="A358" s="2"/>
      <c r="B358" s="2"/>
      <c r="C358" s="2"/>
      <c r="D358" s="3"/>
      <c r="E358" s="4"/>
      <c r="F358" s="4"/>
      <c r="G358" s="5"/>
      <c r="H358" s="6"/>
      <c r="I358" s="6"/>
      <c r="J358" s="6"/>
      <c r="K358" s="7"/>
      <c r="L358" s="49"/>
      <c r="M358" s="2"/>
      <c r="N358" s="8" t="str">
        <f t="shared" si="20"/>
        <v/>
      </c>
      <c r="O358" s="9" t="str">
        <f t="shared" si="21"/>
        <v/>
      </c>
      <c r="P358" s="10" t="str">
        <f t="shared" si="22"/>
        <v/>
      </c>
      <c r="Q358" s="10" t="str">
        <f t="shared" si="23"/>
        <v/>
      </c>
    </row>
    <row r="359" spans="1:17" x14ac:dyDescent="0.3">
      <c r="A359" s="2"/>
      <c r="B359" s="2"/>
      <c r="C359" s="2"/>
      <c r="D359" s="3"/>
      <c r="E359" s="4"/>
      <c r="F359" s="4"/>
      <c r="G359" s="5"/>
      <c r="H359" s="6"/>
      <c r="I359" s="6"/>
      <c r="J359" s="6"/>
      <c r="K359" s="7"/>
      <c r="L359" s="49"/>
      <c r="M359" s="2"/>
      <c r="N359" s="8" t="str">
        <f t="shared" si="20"/>
        <v/>
      </c>
      <c r="O359" s="9" t="str">
        <f t="shared" si="21"/>
        <v/>
      </c>
      <c r="P359" s="10" t="str">
        <f t="shared" si="22"/>
        <v/>
      </c>
      <c r="Q359" s="10" t="str">
        <f t="shared" si="23"/>
        <v/>
      </c>
    </row>
    <row r="360" spans="1:17" x14ac:dyDescent="0.3">
      <c r="A360" s="2"/>
      <c r="B360" s="2"/>
      <c r="C360" s="2"/>
      <c r="D360" s="3"/>
      <c r="E360" s="4"/>
      <c r="F360" s="4"/>
      <c r="G360" s="5"/>
      <c r="H360" s="6"/>
      <c r="I360" s="6"/>
      <c r="J360" s="6"/>
      <c r="K360" s="7"/>
      <c r="L360" s="49"/>
      <c r="M360" s="2"/>
      <c r="N360" s="8" t="str">
        <f t="shared" si="20"/>
        <v/>
      </c>
      <c r="O360" s="9" t="str">
        <f t="shared" si="21"/>
        <v/>
      </c>
      <c r="P360" s="10" t="str">
        <f t="shared" si="22"/>
        <v/>
      </c>
      <c r="Q360" s="10" t="str">
        <f t="shared" si="23"/>
        <v/>
      </c>
    </row>
    <row r="361" spans="1:17" x14ac:dyDescent="0.3">
      <c r="A361" s="2"/>
      <c r="B361" s="2"/>
      <c r="C361" s="2"/>
      <c r="D361" s="3"/>
      <c r="E361" s="4"/>
      <c r="F361" s="4"/>
      <c r="G361" s="5"/>
      <c r="H361" s="6"/>
      <c r="I361" s="6"/>
      <c r="J361" s="6"/>
      <c r="K361" s="7"/>
      <c r="L361" s="49"/>
      <c r="M361" s="2"/>
      <c r="N361" s="8" t="str">
        <f t="shared" si="20"/>
        <v/>
      </c>
      <c r="O361" s="9" t="str">
        <f t="shared" si="21"/>
        <v/>
      </c>
      <c r="P361" s="10" t="str">
        <f t="shared" si="22"/>
        <v/>
      </c>
      <c r="Q361" s="10" t="str">
        <f t="shared" si="23"/>
        <v/>
      </c>
    </row>
    <row r="362" spans="1:17" x14ac:dyDescent="0.3">
      <c r="A362" s="2"/>
      <c r="B362" s="2"/>
      <c r="C362" s="2"/>
      <c r="D362" s="3"/>
      <c r="E362" s="4"/>
      <c r="F362" s="4"/>
      <c r="G362" s="5"/>
      <c r="H362" s="6"/>
      <c r="I362" s="6"/>
      <c r="J362" s="6"/>
      <c r="K362" s="7"/>
      <c r="L362" s="49"/>
      <c r="M362" s="2"/>
      <c r="N362" s="8" t="str">
        <f t="shared" si="20"/>
        <v/>
      </c>
      <c r="O362" s="9" t="str">
        <f t="shared" si="21"/>
        <v/>
      </c>
      <c r="P362" s="10" t="str">
        <f t="shared" si="22"/>
        <v/>
      </c>
      <c r="Q362" s="10" t="str">
        <f t="shared" si="23"/>
        <v/>
      </c>
    </row>
    <row r="363" spans="1:17" x14ac:dyDescent="0.3">
      <c r="A363" s="2"/>
      <c r="B363" s="2"/>
      <c r="C363" s="2"/>
      <c r="D363" s="3"/>
      <c r="E363" s="4"/>
      <c r="F363" s="4"/>
      <c r="G363" s="5"/>
      <c r="H363" s="6"/>
      <c r="I363" s="6"/>
      <c r="J363" s="6"/>
      <c r="K363" s="7"/>
      <c r="L363" s="49"/>
      <c r="M363" s="2"/>
      <c r="N363" s="8" t="str">
        <f t="shared" si="20"/>
        <v/>
      </c>
      <c r="O363" s="9" t="str">
        <f t="shared" si="21"/>
        <v/>
      </c>
      <c r="P363" s="10" t="str">
        <f t="shared" si="22"/>
        <v/>
      </c>
      <c r="Q363" s="10" t="str">
        <f t="shared" si="23"/>
        <v/>
      </c>
    </row>
    <row r="364" spans="1:17" x14ac:dyDescent="0.3">
      <c r="A364" s="2"/>
      <c r="B364" s="2"/>
      <c r="C364" s="2"/>
      <c r="D364" s="3"/>
      <c r="E364" s="4"/>
      <c r="F364" s="4"/>
      <c r="G364" s="5"/>
      <c r="H364" s="6"/>
      <c r="I364" s="6"/>
      <c r="J364" s="6"/>
      <c r="K364" s="7"/>
      <c r="L364" s="49"/>
      <c r="M364" s="2"/>
      <c r="N364" s="8" t="str">
        <f t="shared" si="20"/>
        <v/>
      </c>
      <c r="O364" s="9" t="str">
        <f t="shared" si="21"/>
        <v/>
      </c>
      <c r="P364" s="10" t="str">
        <f t="shared" si="22"/>
        <v/>
      </c>
      <c r="Q364" s="10" t="str">
        <f t="shared" si="23"/>
        <v/>
      </c>
    </row>
    <row r="365" spans="1:17" x14ac:dyDescent="0.3">
      <c r="A365" s="2"/>
      <c r="B365" s="2"/>
      <c r="C365" s="2"/>
      <c r="D365" s="3"/>
      <c r="E365" s="4"/>
      <c r="F365" s="4"/>
      <c r="G365" s="5"/>
      <c r="H365" s="6"/>
      <c r="I365" s="6"/>
      <c r="J365" s="6"/>
      <c r="K365" s="7"/>
      <c r="L365" s="49"/>
      <c r="M365" s="2"/>
      <c r="N365" s="8" t="str">
        <f t="shared" si="20"/>
        <v/>
      </c>
      <c r="O365" s="9" t="str">
        <f t="shared" si="21"/>
        <v/>
      </c>
      <c r="P365" s="10" t="str">
        <f t="shared" si="22"/>
        <v/>
      </c>
      <c r="Q365" s="10" t="str">
        <f t="shared" si="23"/>
        <v/>
      </c>
    </row>
    <row r="366" spans="1:17" x14ac:dyDescent="0.3">
      <c r="A366" s="2"/>
      <c r="B366" s="2"/>
      <c r="C366" s="2"/>
      <c r="D366" s="3"/>
      <c r="E366" s="4"/>
      <c r="F366" s="4"/>
      <c r="G366" s="5"/>
      <c r="H366" s="6"/>
      <c r="I366" s="6"/>
      <c r="J366" s="6"/>
      <c r="K366" s="7"/>
      <c r="L366" s="49"/>
      <c r="M366" s="2"/>
      <c r="N366" s="8" t="str">
        <f t="shared" si="20"/>
        <v/>
      </c>
      <c r="O366" s="9" t="str">
        <f t="shared" si="21"/>
        <v/>
      </c>
      <c r="P366" s="10" t="str">
        <f t="shared" si="22"/>
        <v/>
      </c>
      <c r="Q366" s="10" t="str">
        <f t="shared" si="23"/>
        <v/>
      </c>
    </row>
    <row r="367" spans="1:17" x14ac:dyDescent="0.3">
      <c r="A367" s="2"/>
      <c r="B367" s="2"/>
      <c r="C367" s="2"/>
      <c r="D367" s="3"/>
      <c r="E367" s="4"/>
      <c r="F367" s="4"/>
      <c r="G367" s="5"/>
      <c r="H367" s="6"/>
      <c r="I367" s="6"/>
      <c r="J367" s="6"/>
      <c r="K367" s="7"/>
      <c r="L367" s="49"/>
      <c r="M367" s="2"/>
      <c r="N367" s="8" t="str">
        <f t="shared" si="20"/>
        <v/>
      </c>
      <c r="O367" s="9" t="str">
        <f t="shared" si="21"/>
        <v/>
      </c>
      <c r="P367" s="10" t="str">
        <f t="shared" si="22"/>
        <v/>
      </c>
      <c r="Q367" s="10" t="str">
        <f t="shared" si="23"/>
        <v/>
      </c>
    </row>
    <row r="368" spans="1:17" x14ac:dyDescent="0.3">
      <c r="A368" s="2"/>
      <c r="B368" s="2"/>
      <c r="C368" s="2"/>
      <c r="D368" s="3"/>
      <c r="E368" s="4"/>
      <c r="F368" s="4"/>
      <c r="G368" s="5"/>
      <c r="H368" s="6"/>
      <c r="I368" s="6"/>
      <c r="J368" s="6"/>
      <c r="K368" s="7"/>
      <c r="L368" s="49"/>
      <c r="M368" s="2"/>
      <c r="N368" s="8" t="str">
        <f t="shared" si="20"/>
        <v/>
      </c>
      <c r="O368" s="9" t="str">
        <f t="shared" si="21"/>
        <v/>
      </c>
      <c r="P368" s="10" t="str">
        <f t="shared" si="22"/>
        <v/>
      </c>
      <c r="Q368" s="10" t="str">
        <f t="shared" si="23"/>
        <v/>
      </c>
    </row>
    <row r="369" spans="1:17" x14ac:dyDescent="0.3">
      <c r="A369" s="2"/>
      <c r="B369" s="2"/>
      <c r="C369" s="2"/>
      <c r="D369" s="3"/>
      <c r="E369" s="4"/>
      <c r="F369" s="4"/>
      <c r="G369" s="5"/>
      <c r="H369" s="6"/>
      <c r="I369" s="6"/>
      <c r="J369" s="6"/>
      <c r="K369" s="7"/>
      <c r="L369" s="49"/>
      <c r="M369" s="2"/>
      <c r="N369" s="8" t="str">
        <f t="shared" si="20"/>
        <v/>
      </c>
      <c r="O369" s="9" t="str">
        <f t="shared" si="21"/>
        <v/>
      </c>
      <c r="P369" s="10" t="str">
        <f t="shared" si="22"/>
        <v/>
      </c>
      <c r="Q369" s="10" t="str">
        <f t="shared" si="23"/>
        <v/>
      </c>
    </row>
    <row r="370" spans="1:17" x14ac:dyDescent="0.3">
      <c r="A370" s="2"/>
      <c r="B370" s="2"/>
      <c r="C370" s="2"/>
      <c r="D370" s="3"/>
      <c r="E370" s="4"/>
      <c r="F370" s="4"/>
      <c r="G370" s="5"/>
      <c r="H370" s="6"/>
      <c r="I370" s="6"/>
      <c r="J370" s="6"/>
      <c r="K370" s="7"/>
      <c r="L370" s="49"/>
      <c r="M370" s="2"/>
      <c r="N370" s="8" t="str">
        <f t="shared" si="20"/>
        <v/>
      </c>
      <c r="O370" s="9" t="str">
        <f t="shared" si="21"/>
        <v/>
      </c>
      <c r="P370" s="10" t="str">
        <f t="shared" si="22"/>
        <v/>
      </c>
      <c r="Q370" s="10" t="str">
        <f t="shared" si="23"/>
        <v/>
      </c>
    </row>
    <row r="371" spans="1:17" x14ac:dyDescent="0.3">
      <c r="A371" s="2"/>
      <c r="B371" s="2"/>
      <c r="C371" s="2"/>
      <c r="D371" s="3"/>
      <c r="E371" s="4"/>
      <c r="F371" s="4"/>
      <c r="G371" s="5"/>
      <c r="H371" s="6"/>
      <c r="I371" s="6"/>
      <c r="J371" s="6"/>
      <c r="K371" s="7"/>
      <c r="L371" s="49"/>
      <c r="M371" s="2"/>
      <c r="N371" s="8" t="str">
        <f t="shared" si="20"/>
        <v/>
      </c>
      <c r="O371" s="9" t="str">
        <f t="shared" si="21"/>
        <v/>
      </c>
      <c r="P371" s="10" t="str">
        <f t="shared" si="22"/>
        <v/>
      </c>
      <c r="Q371" s="10" t="str">
        <f t="shared" si="23"/>
        <v/>
      </c>
    </row>
    <row r="372" spans="1:17" x14ac:dyDescent="0.3">
      <c r="A372" s="2"/>
      <c r="B372" s="2"/>
      <c r="C372" s="2"/>
      <c r="D372" s="3"/>
      <c r="E372" s="4"/>
      <c r="F372" s="4"/>
      <c r="G372" s="5"/>
      <c r="H372" s="6"/>
      <c r="I372" s="6"/>
      <c r="J372" s="6"/>
      <c r="K372" s="7"/>
      <c r="L372" s="49"/>
      <c r="M372" s="2"/>
      <c r="N372" s="8" t="str">
        <f t="shared" si="20"/>
        <v/>
      </c>
      <c r="O372" s="9" t="str">
        <f t="shared" si="21"/>
        <v/>
      </c>
      <c r="P372" s="10" t="str">
        <f t="shared" si="22"/>
        <v/>
      </c>
      <c r="Q372" s="10" t="str">
        <f t="shared" si="23"/>
        <v/>
      </c>
    </row>
    <row r="373" spans="1:17" x14ac:dyDescent="0.3">
      <c r="A373" s="2"/>
      <c r="B373" s="2"/>
      <c r="C373" s="2"/>
      <c r="D373" s="3"/>
      <c r="E373" s="4"/>
      <c r="F373" s="4"/>
      <c r="G373" s="5"/>
      <c r="H373" s="6"/>
      <c r="I373" s="6"/>
      <c r="J373" s="6"/>
      <c r="K373" s="7"/>
      <c r="L373" s="49"/>
      <c r="M373" s="2"/>
      <c r="N373" s="8" t="str">
        <f t="shared" si="20"/>
        <v/>
      </c>
      <c r="O373" s="9" t="str">
        <f t="shared" si="21"/>
        <v/>
      </c>
      <c r="P373" s="10" t="str">
        <f t="shared" si="22"/>
        <v/>
      </c>
      <c r="Q373" s="10" t="str">
        <f t="shared" si="23"/>
        <v/>
      </c>
    </row>
    <row r="374" spans="1:17" x14ac:dyDescent="0.3">
      <c r="A374" s="2"/>
      <c r="B374" s="2"/>
      <c r="C374" s="2"/>
      <c r="D374" s="3"/>
      <c r="E374" s="4"/>
      <c r="F374" s="4"/>
      <c r="G374" s="5"/>
      <c r="H374" s="6"/>
      <c r="I374" s="6"/>
      <c r="J374" s="6"/>
      <c r="K374" s="7"/>
      <c r="L374" s="49"/>
      <c r="M374" s="2"/>
      <c r="N374" s="8" t="str">
        <f t="shared" si="20"/>
        <v/>
      </c>
      <c r="O374" s="9" t="str">
        <f t="shared" si="21"/>
        <v/>
      </c>
      <c r="P374" s="10" t="str">
        <f t="shared" si="22"/>
        <v/>
      </c>
      <c r="Q374" s="10" t="str">
        <f t="shared" si="23"/>
        <v/>
      </c>
    </row>
    <row r="375" spans="1:17" x14ac:dyDescent="0.3">
      <c r="A375" s="2"/>
      <c r="B375" s="2"/>
      <c r="C375" s="2"/>
      <c r="D375" s="3"/>
      <c r="E375" s="4"/>
      <c r="F375" s="4"/>
      <c r="G375" s="5"/>
      <c r="H375" s="6"/>
      <c r="I375" s="6"/>
      <c r="J375" s="6"/>
      <c r="K375" s="7"/>
      <c r="L375" s="49"/>
      <c r="M375" s="2"/>
      <c r="N375" s="8" t="str">
        <f t="shared" si="20"/>
        <v/>
      </c>
      <c r="O375" s="9" t="str">
        <f t="shared" si="21"/>
        <v/>
      </c>
      <c r="P375" s="10" t="str">
        <f t="shared" si="22"/>
        <v/>
      </c>
      <c r="Q375" s="10" t="str">
        <f t="shared" si="23"/>
        <v/>
      </c>
    </row>
    <row r="376" spans="1:17" x14ac:dyDescent="0.3">
      <c r="A376" s="2"/>
      <c r="B376" s="2"/>
      <c r="C376" s="2"/>
      <c r="D376" s="3"/>
      <c r="E376" s="4"/>
      <c r="F376" s="4"/>
      <c r="G376" s="5"/>
      <c r="H376" s="6"/>
      <c r="I376" s="6"/>
      <c r="J376" s="6"/>
      <c r="K376" s="7"/>
      <c r="L376" s="49"/>
      <c r="M376" s="2"/>
      <c r="N376" s="8" t="str">
        <f t="shared" si="20"/>
        <v/>
      </c>
      <c r="O376" s="9" t="str">
        <f t="shared" si="21"/>
        <v/>
      </c>
      <c r="P376" s="10" t="str">
        <f t="shared" si="22"/>
        <v/>
      </c>
      <c r="Q376" s="10" t="str">
        <f t="shared" si="23"/>
        <v/>
      </c>
    </row>
    <row r="377" spans="1:17" x14ac:dyDescent="0.3">
      <c r="A377" s="2"/>
      <c r="B377" s="2"/>
      <c r="C377" s="2"/>
      <c r="D377" s="3"/>
      <c r="E377" s="4"/>
      <c r="F377" s="4"/>
      <c r="G377" s="5"/>
      <c r="H377" s="6"/>
      <c r="I377" s="6"/>
      <c r="J377" s="6"/>
      <c r="K377" s="7"/>
      <c r="L377" s="49"/>
      <c r="M377" s="2"/>
      <c r="N377" s="8" t="str">
        <f t="shared" si="20"/>
        <v/>
      </c>
      <c r="O377" s="9" t="str">
        <f t="shared" si="21"/>
        <v/>
      </c>
      <c r="P377" s="10" t="str">
        <f t="shared" si="22"/>
        <v/>
      </c>
      <c r="Q377" s="10" t="str">
        <f t="shared" si="23"/>
        <v/>
      </c>
    </row>
    <row r="378" spans="1:17" x14ac:dyDescent="0.3">
      <c r="A378" s="2"/>
      <c r="B378" s="2"/>
      <c r="C378" s="2"/>
      <c r="D378" s="3"/>
      <c r="E378" s="4"/>
      <c r="F378" s="4"/>
      <c r="G378" s="5"/>
      <c r="H378" s="6"/>
      <c r="I378" s="6"/>
      <c r="J378" s="6"/>
      <c r="K378" s="7"/>
      <c r="L378" s="49"/>
      <c r="M378" s="2"/>
      <c r="N378" s="8" t="str">
        <f t="shared" si="20"/>
        <v/>
      </c>
      <c r="O378" s="9" t="str">
        <f t="shared" si="21"/>
        <v/>
      </c>
      <c r="P378" s="10" t="str">
        <f t="shared" si="22"/>
        <v/>
      </c>
      <c r="Q378" s="10" t="str">
        <f t="shared" si="23"/>
        <v/>
      </c>
    </row>
    <row r="379" spans="1:17" x14ac:dyDescent="0.3">
      <c r="A379" s="2"/>
      <c r="B379" s="2"/>
      <c r="C379" s="2"/>
      <c r="D379" s="3"/>
      <c r="E379" s="4"/>
      <c r="F379" s="4"/>
      <c r="G379" s="5"/>
      <c r="H379" s="6"/>
      <c r="I379" s="6"/>
      <c r="J379" s="6"/>
      <c r="K379" s="7"/>
      <c r="L379" s="49"/>
      <c r="M379" s="2"/>
      <c r="N379" s="8" t="str">
        <f t="shared" si="20"/>
        <v/>
      </c>
      <c r="O379" s="9" t="str">
        <f t="shared" si="21"/>
        <v/>
      </c>
      <c r="P379" s="10" t="str">
        <f t="shared" si="22"/>
        <v/>
      </c>
      <c r="Q379" s="10" t="str">
        <f t="shared" si="23"/>
        <v/>
      </c>
    </row>
    <row r="380" spans="1:17" x14ac:dyDescent="0.3">
      <c r="A380" s="2"/>
      <c r="B380" s="2"/>
      <c r="C380" s="2"/>
      <c r="D380" s="3"/>
      <c r="E380" s="4"/>
      <c r="F380" s="4"/>
      <c r="G380" s="5"/>
      <c r="H380" s="6"/>
      <c r="I380" s="6"/>
      <c r="J380" s="6"/>
      <c r="K380" s="7"/>
      <c r="L380" s="49"/>
      <c r="M380" s="2"/>
      <c r="N380" s="8" t="str">
        <f t="shared" si="20"/>
        <v/>
      </c>
      <c r="O380" s="9" t="str">
        <f t="shared" si="21"/>
        <v/>
      </c>
      <c r="P380" s="10" t="str">
        <f t="shared" si="22"/>
        <v/>
      </c>
      <c r="Q380" s="10" t="str">
        <f t="shared" si="23"/>
        <v/>
      </c>
    </row>
    <row r="381" spans="1:17" x14ac:dyDescent="0.3">
      <c r="A381" s="2"/>
      <c r="B381" s="2"/>
      <c r="C381" s="2"/>
      <c r="D381" s="3"/>
      <c r="E381" s="4"/>
      <c r="F381" s="4"/>
      <c r="G381" s="5"/>
      <c r="H381" s="6"/>
      <c r="I381" s="6"/>
      <c r="J381" s="6"/>
      <c r="K381" s="7"/>
      <c r="L381" s="49"/>
      <c r="M381" s="2"/>
      <c r="N381" s="8" t="str">
        <f t="shared" si="20"/>
        <v/>
      </c>
      <c r="O381" s="9" t="str">
        <f t="shared" si="21"/>
        <v/>
      </c>
      <c r="P381" s="10" t="str">
        <f t="shared" si="22"/>
        <v/>
      </c>
      <c r="Q381" s="10" t="str">
        <f t="shared" si="23"/>
        <v/>
      </c>
    </row>
    <row r="382" spans="1:17" x14ac:dyDescent="0.3">
      <c r="A382" s="2"/>
      <c r="B382" s="2"/>
      <c r="C382" s="2"/>
      <c r="D382" s="3"/>
      <c r="E382" s="4"/>
      <c r="F382" s="4"/>
      <c r="G382" s="5"/>
      <c r="H382" s="6"/>
      <c r="I382" s="6"/>
      <c r="J382" s="6"/>
      <c r="K382" s="7"/>
      <c r="L382" s="49"/>
      <c r="M382" s="2"/>
      <c r="N382" s="8" t="str">
        <f t="shared" si="20"/>
        <v/>
      </c>
      <c r="O382" s="9" t="str">
        <f t="shared" si="21"/>
        <v/>
      </c>
      <c r="P382" s="10" t="str">
        <f t="shared" si="22"/>
        <v/>
      </c>
      <c r="Q382" s="10" t="str">
        <f t="shared" si="23"/>
        <v/>
      </c>
    </row>
    <row r="383" spans="1:17" x14ac:dyDescent="0.3">
      <c r="A383" s="2"/>
      <c r="B383" s="2"/>
      <c r="C383" s="2"/>
      <c r="D383" s="3"/>
      <c r="E383" s="4"/>
      <c r="F383" s="4"/>
      <c r="G383" s="5"/>
      <c r="H383" s="6"/>
      <c r="I383" s="6"/>
      <c r="J383" s="6"/>
      <c r="K383" s="7"/>
      <c r="L383" s="49"/>
      <c r="M383" s="2"/>
      <c r="N383" s="8" t="str">
        <f t="shared" si="20"/>
        <v/>
      </c>
      <c r="O383" s="9" t="str">
        <f t="shared" si="21"/>
        <v/>
      </c>
      <c r="P383" s="10" t="str">
        <f t="shared" si="22"/>
        <v/>
      </c>
      <c r="Q383" s="10" t="str">
        <f t="shared" si="23"/>
        <v/>
      </c>
    </row>
    <row r="384" spans="1:17" x14ac:dyDescent="0.3">
      <c r="A384" s="2"/>
      <c r="B384" s="2"/>
      <c r="C384" s="2"/>
      <c r="D384" s="3"/>
      <c r="E384" s="4"/>
      <c r="F384" s="4"/>
      <c r="G384" s="5"/>
      <c r="H384" s="6"/>
      <c r="I384" s="6"/>
      <c r="J384" s="6"/>
      <c r="K384" s="7"/>
      <c r="L384" s="49"/>
      <c r="M384" s="2"/>
      <c r="N384" s="8" t="str">
        <f t="shared" si="20"/>
        <v/>
      </c>
      <c r="O384" s="9" t="str">
        <f t="shared" si="21"/>
        <v/>
      </c>
      <c r="P384" s="10" t="str">
        <f t="shared" si="22"/>
        <v/>
      </c>
      <c r="Q384" s="10" t="str">
        <f t="shared" si="23"/>
        <v/>
      </c>
    </row>
    <row r="385" spans="1:17" x14ac:dyDescent="0.3">
      <c r="A385" s="2"/>
      <c r="B385" s="2"/>
      <c r="C385" s="2"/>
      <c r="D385" s="3"/>
      <c r="E385" s="4"/>
      <c r="F385" s="4"/>
      <c r="G385" s="5"/>
      <c r="H385" s="6"/>
      <c r="I385" s="6"/>
      <c r="J385" s="6"/>
      <c r="K385" s="7"/>
      <c r="L385" s="49"/>
      <c r="M385" s="2"/>
      <c r="N385" s="8" t="str">
        <f t="shared" si="20"/>
        <v/>
      </c>
      <c r="O385" s="9" t="str">
        <f t="shared" si="21"/>
        <v/>
      </c>
      <c r="P385" s="10" t="str">
        <f t="shared" si="22"/>
        <v/>
      </c>
      <c r="Q385" s="10" t="str">
        <f t="shared" si="23"/>
        <v/>
      </c>
    </row>
    <row r="386" spans="1:17" x14ac:dyDescent="0.3">
      <c r="A386" s="2"/>
      <c r="B386" s="2"/>
      <c r="C386" s="2"/>
      <c r="D386" s="3"/>
      <c r="E386" s="4"/>
      <c r="F386" s="4"/>
      <c r="G386" s="5"/>
      <c r="H386" s="6"/>
      <c r="I386" s="6"/>
      <c r="J386" s="6"/>
      <c r="K386" s="7"/>
      <c r="L386" s="49"/>
      <c r="M386" s="2"/>
      <c r="N386" s="8" t="str">
        <f t="shared" si="20"/>
        <v/>
      </c>
      <c r="O386" s="9" t="str">
        <f t="shared" si="21"/>
        <v/>
      </c>
      <c r="P386" s="10" t="str">
        <f t="shared" si="22"/>
        <v/>
      </c>
      <c r="Q386" s="10" t="str">
        <f t="shared" si="23"/>
        <v/>
      </c>
    </row>
    <row r="387" spans="1:17" x14ac:dyDescent="0.3">
      <c r="A387" s="2"/>
      <c r="B387" s="2"/>
      <c r="C387" s="2"/>
      <c r="D387" s="3"/>
      <c r="E387" s="4"/>
      <c r="F387" s="4"/>
      <c r="G387" s="5"/>
      <c r="H387" s="6"/>
      <c r="I387" s="6"/>
      <c r="J387" s="6"/>
      <c r="K387" s="7"/>
      <c r="L387" s="49"/>
      <c r="M387" s="2"/>
      <c r="N387" s="8" t="str">
        <f t="shared" si="20"/>
        <v/>
      </c>
      <c r="O387" s="9" t="str">
        <f t="shared" si="21"/>
        <v/>
      </c>
      <c r="P387" s="10" t="str">
        <f t="shared" si="22"/>
        <v/>
      </c>
      <c r="Q387" s="10" t="str">
        <f t="shared" si="23"/>
        <v/>
      </c>
    </row>
    <row r="388" spans="1:17" x14ac:dyDescent="0.3">
      <c r="A388" s="2"/>
      <c r="B388" s="2"/>
      <c r="C388" s="2"/>
      <c r="D388" s="3"/>
      <c r="E388" s="4"/>
      <c r="F388" s="4"/>
      <c r="G388" s="5"/>
      <c r="H388" s="6"/>
      <c r="I388" s="6"/>
      <c r="J388" s="6"/>
      <c r="K388" s="7"/>
      <c r="L388" s="49"/>
      <c r="M388" s="2"/>
      <c r="N388" s="8" t="str">
        <f t="shared" si="20"/>
        <v/>
      </c>
      <c r="O388" s="9" t="str">
        <f t="shared" si="21"/>
        <v/>
      </c>
      <c r="P388" s="10" t="str">
        <f t="shared" si="22"/>
        <v/>
      </c>
      <c r="Q388" s="10" t="str">
        <f t="shared" si="23"/>
        <v/>
      </c>
    </row>
    <row r="389" spans="1:17" x14ac:dyDescent="0.3">
      <c r="A389" s="2"/>
      <c r="B389" s="2"/>
      <c r="C389" s="2"/>
      <c r="D389" s="3"/>
      <c r="E389" s="4"/>
      <c r="F389" s="4"/>
      <c r="G389" s="5"/>
      <c r="H389" s="6"/>
      <c r="I389" s="6"/>
      <c r="J389" s="6"/>
      <c r="K389" s="7"/>
      <c r="L389" s="49"/>
      <c r="M389" s="2"/>
      <c r="N389" s="8" t="str">
        <f t="shared" si="20"/>
        <v/>
      </c>
      <c r="O389" s="9" t="str">
        <f t="shared" si="21"/>
        <v/>
      </c>
      <c r="P389" s="10" t="str">
        <f t="shared" si="22"/>
        <v/>
      </c>
      <c r="Q389" s="10" t="str">
        <f t="shared" si="23"/>
        <v/>
      </c>
    </row>
    <row r="390" spans="1:17" x14ac:dyDescent="0.3">
      <c r="A390" s="2"/>
      <c r="B390" s="2"/>
      <c r="C390" s="2"/>
      <c r="D390" s="3"/>
      <c r="E390" s="4"/>
      <c r="F390" s="4"/>
      <c r="G390" s="5"/>
      <c r="H390" s="6"/>
      <c r="I390" s="6"/>
      <c r="J390" s="6"/>
      <c r="K390" s="7"/>
      <c r="L390" s="49"/>
      <c r="M390" s="2"/>
      <c r="N390" s="8" t="str">
        <f t="shared" si="20"/>
        <v/>
      </c>
      <c r="O390" s="9" t="str">
        <f t="shared" si="21"/>
        <v/>
      </c>
      <c r="P390" s="10" t="str">
        <f t="shared" si="22"/>
        <v/>
      </c>
      <c r="Q390" s="10" t="str">
        <f t="shared" si="23"/>
        <v/>
      </c>
    </row>
    <row r="391" spans="1:17" x14ac:dyDescent="0.3">
      <c r="A391" s="2"/>
      <c r="B391" s="2"/>
      <c r="C391" s="2"/>
      <c r="D391" s="3"/>
      <c r="E391" s="4"/>
      <c r="F391" s="4"/>
      <c r="G391" s="5"/>
      <c r="H391" s="6"/>
      <c r="I391" s="6"/>
      <c r="J391" s="6"/>
      <c r="K391" s="7"/>
      <c r="L391" s="49"/>
      <c r="M391" s="2"/>
      <c r="N391" s="8" t="str">
        <f t="shared" ref="N391:N454" si="24">IF($D391="","",$D391*N($E391))</f>
        <v/>
      </c>
      <c r="O391" s="9" t="str">
        <f t="shared" ref="O391:O454" si="25">IF($D391="","",$D391*N($F391))</f>
        <v/>
      </c>
      <c r="P391" s="10" t="str">
        <f t="shared" ref="P391:P454" si="26">IF($D391="","",IF(N($K391)&gt;0,$K391,IF(AND(N($G391)&gt;0,N($H391)&gt;0,N($I391)&gt;0,N($J391)&gt;0),$H391*$I391*$J391/1000000/$G391,0)))</f>
        <v/>
      </c>
      <c r="Q391" s="10" t="str">
        <f t="shared" ref="Q391:Q454" si="27">IF($D391="","",$D391*$P391)</f>
        <v/>
      </c>
    </row>
    <row r="392" spans="1:17" x14ac:dyDescent="0.3">
      <c r="A392" s="2"/>
      <c r="B392" s="2"/>
      <c r="C392" s="2"/>
      <c r="D392" s="3"/>
      <c r="E392" s="4"/>
      <c r="F392" s="4"/>
      <c r="G392" s="5"/>
      <c r="H392" s="6"/>
      <c r="I392" s="6"/>
      <c r="J392" s="6"/>
      <c r="K392" s="7"/>
      <c r="L392" s="49"/>
      <c r="M392" s="2"/>
      <c r="N392" s="8" t="str">
        <f t="shared" si="24"/>
        <v/>
      </c>
      <c r="O392" s="9" t="str">
        <f t="shared" si="25"/>
        <v/>
      </c>
      <c r="P392" s="10" t="str">
        <f t="shared" si="26"/>
        <v/>
      </c>
      <c r="Q392" s="10" t="str">
        <f t="shared" si="27"/>
        <v/>
      </c>
    </row>
    <row r="393" spans="1:17" x14ac:dyDescent="0.3">
      <c r="A393" s="2"/>
      <c r="B393" s="2"/>
      <c r="C393" s="2"/>
      <c r="D393" s="3"/>
      <c r="E393" s="4"/>
      <c r="F393" s="4"/>
      <c r="G393" s="5"/>
      <c r="H393" s="6"/>
      <c r="I393" s="6"/>
      <c r="J393" s="6"/>
      <c r="K393" s="7"/>
      <c r="L393" s="49"/>
      <c r="M393" s="2"/>
      <c r="N393" s="8" t="str">
        <f t="shared" si="24"/>
        <v/>
      </c>
      <c r="O393" s="9" t="str">
        <f t="shared" si="25"/>
        <v/>
      </c>
      <c r="P393" s="10" t="str">
        <f t="shared" si="26"/>
        <v/>
      </c>
      <c r="Q393" s="10" t="str">
        <f t="shared" si="27"/>
        <v/>
      </c>
    </row>
    <row r="394" spans="1:17" x14ac:dyDescent="0.3">
      <c r="A394" s="2"/>
      <c r="B394" s="2"/>
      <c r="C394" s="2"/>
      <c r="D394" s="3"/>
      <c r="E394" s="4"/>
      <c r="F394" s="4"/>
      <c r="G394" s="5"/>
      <c r="H394" s="6"/>
      <c r="I394" s="6"/>
      <c r="J394" s="6"/>
      <c r="K394" s="7"/>
      <c r="L394" s="49"/>
      <c r="M394" s="2"/>
      <c r="N394" s="8" t="str">
        <f t="shared" si="24"/>
        <v/>
      </c>
      <c r="O394" s="9" t="str">
        <f t="shared" si="25"/>
        <v/>
      </c>
      <c r="P394" s="10" t="str">
        <f t="shared" si="26"/>
        <v/>
      </c>
      <c r="Q394" s="10" t="str">
        <f t="shared" si="27"/>
        <v/>
      </c>
    </row>
    <row r="395" spans="1:17" x14ac:dyDescent="0.3">
      <c r="A395" s="2"/>
      <c r="B395" s="2"/>
      <c r="C395" s="2"/>
      <c r="D395" s="3"/>
      <c r="E395" s="4"/>
      <c r="F395" s="4"/>
      <c r="G395" s="5"/>
      <c r="H395" s="6"/>
      <c r="I395" s="6"/>
      <c r="J395" s="6"/>
      <c r="K395" s="7"/>
      <c r="L395" s="49"/>
      <c r="M395" s="2"/>
      <c r="N395" s="8" t="str">
        <f t="shared" si="24"/>
        <v/>
      </c>
      <c r="O395" s="9" t="str">
        <f t="shared" si="25"/>
        <v/>
      </c>
      <c r="P395" s="10" t="str">
        <f t="shared" si="26"/>
        <v/>
      </c>
      <c r="Q395" s="10" t="str">
        <f t="shared" si="27"/>
        <v/>
      </c>
    </row>
    <row r="396" spans="1:17" x14ac:dyDescent="0.3">
      <c r="A396" s="2"/>
      <c r="B396" s="2"/>
      <c r="C396" s="2"/>
      <c r="D396" s="3"/>
      <c r="E396" s="4"/>
      <c r="F396" s="4"/>
      <c r="G396" s="5"/>
      <c r="H396" s="6"/>
      <c r="I396" s="6"/>
      <c r="J396" s="6"/>
      <c r="K396" s="7"/>
      <c r="L396" s="49"/>
      <c r="M396" s="2"/>
      <c r="N396" s="8" t="str">
        <f t="shared" si="24"/>
        <v/>
      </c>
      <c r="O396" s="9" t="str">
        <f t="shared" si="25"/>
        <v/>
      </c>
      <c r="P396" s="10" t="str">
        <f t="shared" si="26"/>
        <v/>
      </c>
      <c r="Q396" s="10" t="str">
        <f t="shared" si="27"/>
        <v/>
      </c>
    </row>
    <row r="397" spans="1:17" x14ac:dyDescent="0.3">
      <c r="A397" s="2"/>
      <c r="B397" s="2"/>
      <c r="C397" s="2"/>
      <c r="D397" s="3"/>
      <c r="E397" s="4"/>
      <c r="F397" s="4"/>
      <c r="G397" s="5"/>
      <c r="H397" s="6"/>
      <c r="I397" s="6"/>
      <c r="J397" s="6"/>
      <c r="K397" s="7"/>
      <c r="L397" s="49"/>
      <c r="M397" s="2"/>
      <c r="N397" s="8" t="str">
        <f t="shared" si="24"/>
        <v/>
      </c>
      <c r="O397" s="9" t="str">
        <f t="shared" si="25"/>
        <v/>
      </c>
      <c r="P397" s="10" t="str">
        <f t="shared" si="26"/>
        <v/>
      </c>
      <c r="Q397" s="10" t="str">
        <f t="shared" si="27"/>
        <v/>
      </c>
    </row>
    <row r="398" spans="1:17" x14ac:dyDescent="0.3">
      <c r="A398" s="2"/>
      <c r="B398" s="2"/>
      <c r="C398" s="2"/>
      <c r="D398" s="3"/>
      <c r="E398" s="4"/>
      <c r="F398" s="4"/>
      <c r="G398" s="5"/>
      <c r="H398" s="6"/>
      <c r="I398" s="6"/>
      <c r="J398" s="6"/>
      <c r="K398" s="7"/>
      <c r="L398" s="49"/>
      <c r="M398" s="2"/>
      <c r="N398" s="8" t="str">
        <f t="shared" si="24"/>
        <v/>
      </c>
      <c r="O398" s="9" t="str">
        <f t="shared" si="25"/>
        <v/>
      </c>
      <c r="P398" s="10" t="str">
        <f t="shared" si="26"/>
        <v/>
      </c>
      <c r="Q398" s="10" t="str">
        <f t="shared" si="27"/>
        <v/>
      </c>
    </row>
    <row r="399" spans="1:17" x14ac:dyDescent="0.3">
      <c r="A399" s="2"/>
      <c r="B399" s="2"/>
      <c r="C399" s="2"/>
      <c r="D399" s="3"/>
      <c r="E399" s="4"/>
      <c r="F399" s="4"/>
      <c r="G399" s="5"/>
      <c r="H399" s="6"/>
      <c r="I399" s="6"/>
      <c r="J399" s="6"/>
      <c r="K399" s="7"/>
      <c r="L399" s="49"/>
      <c r="M399" s="2"/>
      <c r="N399" s="8" t="str">
        <f t="shared" si="24"/>
        <v/>
      </c>
      <c r="O399" s="9" t="str">
        <f t="shared" si="25"/>
        <v/>
      </c>
      <c r="P399" s="10" t="str">
        <f t="shared" si="26"/>
        <v/>
      </c>
      <c r="Q399" s="10" t="str">
        <f t="shared" si="27"/>
        <v/>
      </c>
    </row>
    <row r="400" spans="1:17" x14ac:dyDescent="0.3">
      <c r="A400" s="2"/>
      <c r="B400" s="2"/>
      <c r="C400" s="2"/>
      <c r="D400" s="3"/>
      <c r="E400" s="4"/>
      <c r="F400" s="4"/>
      <c r="G400" s="5"/>
      <c r="H400" s="6"/>
      <c r="I400" s="6"/>
      <c r="J400" s="6"/>
      <c r="K400" s="7"/>
      <c r="L400" s="49"/>
      <c r="M400" s="2"/>
      <c r="N400" s="8" t="str">
        <f t="shared" si="24"/>
        <v/>
      </c>
      <c r="O400" s="9" t="str">
        <f t="shared" si="25"/>
        <v/>
      </c>
      <c r="P400" s="10" t="str">
        <f t="shared" si="26"/>
        <v/>
      </c>
      <c r="Q400" s="10" t="str">
        <f t="shared" si="27"/>
        <v/>
      </c>
    </row>
    <row r="401" spans="1:17" x14ac:dyDescent="0.3">
      <c r="A401" s="2"/>
      <c r="B401" s="2"/>
      <c r="C401" s="2"/>
      <c r="D401" s="3"/>
      <c r="E401" s="4"/>
      <c r="F401" s="4"/>
      <c r="G401" s="5"/>
      <c r="H401" s="6"/>
      <c r="I401" s="6"/>
      <c r="J401" s="6"/>
      <c r="K401" s="7"/>
      <c r="L401" s="49"/>
      <c r="M401" s="2"/>
      <c r="N401" s="8" t="str">
        <f t="shared" si="24"/>
        <v/>
      </c>
      <c r="O401" s="9" t="str">
        <f t="shared" si="25"/>
        <v/>
      </c>
      <c r="P401" s="10" t="str">
        <f t="shared" si="26"/>
        <v/>
      </c>
      <c r="Q401" s="10" t="str">
        <f t="shared" si="27"/>
        <v/>
      </c>
    </row>
    <row r="402" spans="1:17" x14ac:dyDescent="0.3">
      <c r="A402" s="2"/>
      <c r="B402" s="2"/>
      <c r="C402" s="2"/>
      <c r="D402" s="3"/>
      <c r="E402" s="4"/>
      <c r="F402" s="4"/>
      <c r="G402" s="5"/>
      <c r="H402" s="6"/>
      <c r="I402" s="6"/>
      <c r="J402" s="6"/>
      <c r="K402" s="7"/>
      <c r="L402" s="49"/>
      <c r="M402" s="2"/>
      <c r="N402" s="8" t="str">
        <f t="shared" si="24"/>
        <v/>
      </c>
      <c r="O402" s="9" t="str">
        <f t="shared" si="25"/>
        <v/>
      </c>
      <c r="P402" s="10" t="str">
        <f t="shared" si="26"/>
        <v/>
      </c>
      <c r="Q402" s="10" t="str">
        <f t="shared" si="27"/>
        <v/>
      </c>
    </row>
    <row r="403" spans="1:17" x14ac:dyDescent="0.3">
      <c r="A403" s="2"/>
      <c r="B403" s="2"/>
      <c r="C403" s="2"/>
      <c r="D403" s="3"/>
      <c r="E403" s="4"/>
      <c r="F403" s="4"/>
      <c r="G403" s="5"/>
      <c r="H403" s="6"/>
      <c r="I403" s="6"/>
      <c r="J403" s="6"/>
      <c r="K403" s="7"/>
      <c r="L403" s="49"/>
      <c r="M403" s="2"/>
      <c r="N403" s="8" t="str">
        <f t="shared" si="24"/>
        <v/>
      </c>
      <c r="O403" s="9" t="str">
        <f t="shared" si="25"/>
        <v/>
      </c>
      <c r="P403" s="10" t="str">
        <f t="shared" si="26"/>
        <v/>
      </c>
      <c r="Q403" s="10" t="str">
        <f t="shared" si="27"/>
        <v/>
      </c>
    </row>
    <row r="404" spans="1:17" x14ac:dyDescent="0.3">
      <c r="A404" s="2"/>
      <c r="B404" s="2"/>
      <c r="C404" s="2"/>
      <c r="D404" s="3"/>
      <c r="E404" s="4"/>
      <c r="F404" s="4"/>
      <c r="G404" s="5"/>
      <c r="H404" s="6"/>
      <c r="I404" s="6"/>
      <c r="J404" s="6"/>
      <c r="K404" s="7"/>
      <c r="L404" s="49"/>
      <c r="M404" s="2"/>
      <c r="N404" s="8" t="str">
        <f t="shared" si="24"/>
        <v/>
      </c>
      <c r="O404" s="9" t="str">
        <f t="shared" si="25"/>
        <v/>
      </c>
      <c r="P404" s="10" t="str">
        <f t="shared" si="26"/>
        <v/>
      </c>
      <c r="Q404" s="10" t="str">
        <f t="shared" si="27"/>
        <v/>
      </c>
    </row>
    <row r="405" spans="1:17" x14ac:dyDescent="0.3">
      <c r="A405" s="2"/>
      <c r="B405" s="2"/>
      <c r="C405" s="2"/>
      <c r="D405" s="3"/>
      <c r="E405" s="4"/>
      <c r="F405" s="4"/>
      <c r="G405" s="5"/>
      <c r="H405" s="6"/>
      <c r="I405" s="6"/>
      <c r="J405" s="6"/>
      <c r="K405" s="7"/>
      <c r="L405" s="49"/>
      <c r="M405" s="2"/>
      <c r="N405" s="8" t="str">
        <f t="shared" si="24"/>
        <v/>
      </c>
      <c r="O405" s="9" t="str">
        <f t="shared" si="25"/>
        <v/>
      </c>
      <c r="P405" s="10" t="str">
        <f t="shared" si="26"/>
        <v/>
      </c>
      <c r="Q405" s="10" t="str">
        <f t="shared" si="27"/>
        <v/>
      </c>
    </row>
    <row r="406" spans="1:17" x14ac:dyDescent="0.3">
      <c r="A406" s="2"/>
      <c r="B406" s="2"/>
      <c r="C406" s="2"/>
      <c r="D406" s="3"/>
      <c r="E406" s="4"/>
      <c r="F406" s="4"/>
      <c r="G406" s="5"/>
      <c r="H406" s="6"/>
      <c r="I406" s="6"/>
      <c r="J406" s="6"/>
      <c r="K406" s="7"/>
      <c r="L406" s="49"/>
      <c r="M406" s="2"/>
      <c r="N406" s="8" t="str">
        <f t="shared" si="24"/>
        <v/>
      </c>
      <c r="O406" s="9" t="str">
        <f t="shared" si="25"/>
        <v/>
      </c>
      <c r="P406" s="10" t="str">
        <f t="shared" si="26"/>
        <v/>
      </c>
      <c r="Q406" s="10" t="str">
        <f t="shared" si="27"/>
        <v/>
      </c>
    </row>
    <row r="407" spans="1:17" x14ac:dyDescent="0.3">
      <c r="A407" s="2"/>
      <c r="B407" s="2"/>
      <c r="C407" s="2"/>
      <c r="D407" s="3"/>
      <c r="E407" s="4"/>
      <c r="F407" s="4"/>
      <c r="G407" s="5"/>
      <c r="H407" s="6"/>
      <c r="I407" s="6"/>
      <c r="J407" s="6"/>
      <c r="K407" s="7"/>
      <c r="L407" s="49"/>
      <c r="M407" s="2"/>
      <c r="N407" s="8" t="str">
        <f t="shared" si="24"/>
        <v/>
      </c>
      <c r="O407" s="9" t="str">
        <f t="shared" si="25"/>
        <v/>
      </c>
      <c r="P407" s="10" t="str">
        <f t="shared" si="26"/>
        <v/>
      </c>
      <c r="Q407" s="10" t="str">
        <f t="shared" si="27"/>
        <v/>
      </c>
    </row>
    <row r="408" spans="1:17" x14ac:dyDescent="0.3">
      <c r="A408" s="2"/>
      <c r="B408" s="2"/>
      <c r="C408" s="2"/>
      <c r="D408" s="3"/>
      <c r="E408" s="4"/>
      <c r="F408" s="4"/>
      <c r="G408" s="5"/>
      <c r="H408" s="6"/>
      <c r="I408" s="6"/>
      <c r="J408" s="6"/>
      <c r="K408" s="7"/>
      <c r="L408" s="49"/>
      <c r="M408" s="2"/>
      <c r="N408" s="8" t="str">
        <f t="shared" si="24"/>
        <v/>
      </c>
      <c r="O408" s="9" t="str">
        <f t="shared" si="25"/>
        <v/>
      </c>
      <c r="P408" s="10" t="str">
        <f t="shared" si="26"/>
        <v/>
      </c>
      <c r="Q408" s="10" t="str">
        <f t="shared" si="27"/>
        <v/>
      </c>
    </row>
    <row r="409" spans="1:17" x14ac:dyDescent="0.3">
      <c r="A409" s="2"/>
      <c r="B409" s="2"/>
      <c r="C409" s="2"/>
      <c r="D409" s="3"/>
      <c r="E409" s="4"/>
      <c r="F409" s="4"/>
      <c r="G409" s="5"/>
      <c r="H409" s="6"/>
      <c r="I409" s="6"/>
      <c r="J409" s="6"/>
      <c r="K409" s="7"/>
      <c r="L409" s="49"/>
      <c r="M409" s="2"/>
      <c r="N409" s="8" t="str">
        <f t="shared" si="24"/>
        <v/>
      </c>
      <c r="O409" s="9" t="str">
        <f t="shared" si="25"/>
        <v/>
      </c>
      <c r="P409" s="10" t="str">
        <f t="shared" si="26"/>
        <v/>
      </c>
      <c r="Q409" s="10" t="str">
        <f t="shared" si="27"/>
        <v/>
      </c>
    </row>
    <row r="410" spans="1:17" x14ac:dyDescent="0.3">
      <c r="A410" s="2"/>
      <c r="B410" s="2"/>
      <c r="C410" s="2"/>
      <c r="D410" s="3"/>
      <c r="E410" s="4"/>
      <c r="F410" s="4"/>
      <c r="G410" s="5"/>
      <c r="H410" s="6"/>
      <c r="I410" s="6"/>
      <c r="J410" s="6"/>
      <c r="K410" s="7"/>
      <c r="L410" s="49"/>
      <c r="M410" s="2"/>
      <c r="N410" s="8" t="str">
        <f t="shared" si="24"/>
        <v/>
      </c>
      <c r="O410" s="9" t="str">
        <f t="shared" si="25"/>
        <v/>
      </c>
      <c r="P410" s="10" t="str">
        <f t="shared" si="26"/>
        <v/>
      </c>
      <c r="Q410" s="10" t="str">
        <f t="shared" si="27"/>
        <v/>
      </c>
    </row>
    <row r="411" spans="1:17" x14ac:dyDescent="0.3">
      <c r="A411" s="2"/>
      <c r="B411" s="2"/>
      <c r="C411" s="2"/>
      <c r="D411" s="3"/>
      <c r="E411" s="4"/>
      <c r="F411" s="4"/>
      <c r="G411" s="5"/>
      <c r="H411" s="6"/>
      <c r="I411" s="6"/>
      <c r="J411" s="6"/>
      <c r="K411" s="7"/>
      <c r="L411" s="49"/>
      <c r="M411" s="2"/>
      <c r="N411" s="8" t="str">
        <f t="shared" si="24"/>
        <v/>
      </c>
      <c r="O411" s="9" t="str">
        <f t="shared" si="25"/>
        <v/>
      </c>
      <c r="P411" s="10" t="str">
        <f t="shared" si="26"/>
        <v/>
      </c>
      <c r="Q411" s="10" t="str">
        <f t="shared" si="27"/>
        <v/>
      </c>
    </row>
    <row r="412" spans="1:17" x14ac:dyDescent="0.3">
      <c r="A412" s="2"/>
      <c r="B412" s="2"/>
      <c r="C412" s="2"/>
      <c r="D412" s="3"/>
      <c r="E412" s="4"/>
      <c r="F412" s="4"/>
      <c r="G412" s="5"/>
      <c r="H412" s="6"/>
      <c r="I412" s="6"/>
      <c r="J412" s="6"/>
      <c r="K412" s="7"/>
      <c r="L412" s="49"/>
      <c r="M412" s="2"/>
      <c r="N412" s="8" t="str">
        <f t="shared" si="24"/>
        <v/>
      </c>
      <c r="O412" s="9" t="str">
        <f t="shared" si="25"/>
        <v/>
      </c>
      <c r="P412" s="10" t="str">
        <f t="shared" si="26"/>
        <v/>
      </c>
      <c r="Q412" s="10" t="str">
        <f t="shared" si="27"/>
        <v/>
      </c>
    </row>
    <row r="413" spans="1:17" x14ac:dyDescent="0.3">
      <c r="A413" s="2"/>
      <c r="B413" s="2"/>
      <c r="C413" s="2"/>
      <c r="D413" s="3"/>
      <c r="E413" s="4"/>
      <c r="F413" s="4"/>
      <c r="G413" s="5"/>
      <c r="H413" s="6"/>
      <c r="I413" s="6"/>
      <c r="J413" s="6"/>
      <c r="K413" s="7"/>
      <c r="L413" s="49"/>
      <c r="M413" s="2"/>
      <c r="N413" s="8" t="str">
        <f t="shared" si="24"/>
        <v/>
      </c>
      <c r="O413" s="9" t="str">
        <f t="shared" si="25"/>
        <v/>
      </c>
      <c r="P413" s="10" t="str">
        <f t="shared" si="26"/>
        <v/>
      </c>
      <c r="Q413" s="10" t="str">
        <f t="shared" si="27"/>
        <v/>
      </c>
    </row>
    <row r="414" spans="1:17" x14ac:dyDescent="0.3">
      <c r="A414" s="2"/>
      <c r="B414" s="2"/>
      <c r="C414" s="2"/>
      <c r="D414" s="3"/>
      <c r="E414" s="4"/>
      <c r="F414" s="4"/>
      <c r="G414" s="5"/>
      <c r="H414" s="6"/>
      <c r="I414" s="6"/>
      <c r="J414" s="6"/>
      <c r="K414" s="7"/>
      <c r="L414" s="49"/>
      <c r="M414" s="2"/>
      <c r="N414" s="8" t="str">
        <f t="shared" si="24"/>
        <v/>
      </c>
      <c r="O414" s="9" t="str">
        <f t="shared" si="25"/>
        <v/>
      </c>
      <c r="P414" s="10" t="str">
        <f t="shared" si="26"/>
        <v/>
      </c>
      <c r="Q414" s="10" t="str">
        <f t="shared" si="27"/>
        <v/>
      </c>
    </row>
    <row r="415" spans="1:17" x14ac:dyDescent="0.3">
      <c r="A415" s="2"/>
      <c r="B415" s="2"/>
      <c r="C415" s="2"/>
      <c r="D415" s="3"/>
      <c r="E415" s="4"/>
      <c r="F415" s="4"/>
      <c r="G415" s="5"/>
      <c r="H415" s="6"/>
      <c r="I415" s="6"/>
      <c r="J415" s="6"/>
      <c r="K415" s="7"/>
      <c r="L415" s="49"/>
      <c r="M415" s="2"/>
      <c r="N415" s="8" t="str">
        <f t="shared" si="24"/>
        <v/>
      </c>
      <c r="O415" s="9" t="str">
        <f t="shared" si="25"/>
        <v/>
      </c>
      <c r="P415" s="10" t="str">
        <f t="shared" si="26"/>
        <v/>
      </c>
      <c r="Q415" s="10" t="str">
        <f t="shared" si="27"/>
        <v/>
      </c>
    </row>
    <row r="416" spans="1:17" x14ac:dyDescent="0.3">
      <c r="A416" s="2"/>
      <c r="B416" s="2"/>
      <c r="C416" s="2"/>
      <c r="D416" s="3"/>
      <c r="E416" s="4"/>
      <c r="F416" s="4"/>
      <c r="G416" s="5"/>
      <c r="H416" s="6"/>
      <c r="I416" s="6"/>
      <c r="J416" s="6"/>
      <c r="K416" s="7"/>
      <c r="L416" s="49"/>
      <c r="M416" s="2"/>
      <c r="N416" s="8" t="str">
        <f t="shared" si="24"/>
        <v/>
      </c>
      <c r="O416" s="9" t="str">
        <f t="shared" si="25"/>
        <v/>
      </c>
      <c r="P416" s="10" t="str">
        <f t="shared" si="26"/>
        <v/>
      </c>
      <c r="Q416" s="10" t="str">
        <f t="shared" si="27"/>
        <v/>
      </c>
    </row>
    <row r="417" spans="1:17" x14ac:dyDescent="0.3">
      <c r="A417" s="2"/>
      <c r="B417" s="2"/>
      <c r="C417" s="2"/>
      <c r="D417" s="3"/>
      <c r="E417" s="4"/>
      <c r="F417" s="4"/>
      <c r="G417" s="5"/>
      <c r="H417" s="6"/>
      <c r="I417" s="6"/>
      <c r="J417" s="6"/>
      <c r="K417" s="7"/>
      <c r="L417" s="49"/>
      <c r="M417" s="2"/>
      <c r="N417" s="8" t="str">
        <f t="shared" si="24"/>
        <v/>
      </c>
      <c r="O417" s="9" t="str">
        <f t="shared" si="25"/>
        <v/>
      </c>
      <c r="P417" s="10" t="str">
        <f t="shared" si="26"/>
        <v/>
      </c>
      <c r="Q417" s="10" t="str">
        <f t="shared" si="27"/>
        <v/>
      </c>
    </row>
    <row r="418" spans="1:17" x14ac:dyDescent="0.3">
      <c r="A418" s="2"/>
      <c r="B418" s="2"/>
      <c r="C418" s="2"/>
      <c r="D418" s="3"/>
      <c r="E418" s="4"/>
      <c r="F418" s="4"/>
      <c r="G418" s="5"/>
      <c r="H418" s="6"/>
      <c r="I418" s="6"/>
      <c r="J418" s="6"/>
      <c r="K418" s="7"/>
      <c r="L418" s="49"/>
      <c r="M418" s="2"/>
      <c r="N418" s="8" t="str">
        <f t="shared" si="24"/>
        <v/>
      </c>
      <c r="O418" s="9" t="str">
        <f t="shared" si="25"/>
        <v/>
      </c>
      <c r="P418" s="10" t="str">
        <f t="shared" si="26"/>
        <v/>
      </c>
      <c r="Q418" s="10" t="str">
        <f t="shared" si="27"/>
        <v/>
      </c>
    </row>
    <row r="419" spans="1:17" x14ac:dyDescent="0.3">
      <c r="A419" s="2"/>
      <c r="B419" s="2"/>
      <c r="C419" s="2"/>
      <c r="D419" s="3"/>
      <c r="E419" s="4"/>
      <c r="F419" s="4"/>
      <c r="G419" s="5"/>
      <c r="H419" s="6"/>
      <c r="I419" s="6"/>
      <c r="J419" s="6"/>
      <c r="K419" s="7"/>
      <c r="L419" s="49"/>
      <c r="M419" s="2"/>
      <c r="N419" s="8" t="str">
        <f t="shared" si="24"/>
        <v/>
      </c>
      <c r="O419" s="9" t="str">
        <f t="shared" si="25"/>
        <v/>
      </c>
      <c r="P419" s="10" t="str">
        <f t="shared" si="26"/>
        <v/>
      </c>
      <c r="Q419" s="10" t="str">
        <f t="shared" si="27"/>
        <v/>
      </c>
    </row>
    <row r="420" spans="1:17" x14ac:dyDescent="0.3">
      <c r="A420" s="2"/>
      <c r="B420" s="2"/>
      <c r="C420" s="2"/>
      <c r="D420" s="3"/>
      <c r="E420" s="4"/>
      <c r="F420" s="4"/>
      <c r="G420" s="5"/>
      <c r="H420" s="6"/>
      <c r="I420" s="6"/>
      <c r="J420" s="6"/>
      <c r="K420" s="7"/>
      <c r="L420" s="49"/>
      <c r="M420" s="2"/>
      <c r="N420" s="8" t="str">
        <f t="shared" si="24"/>
        <v/>
      </c>
      <c r="O420" s="9" t="str">
        <f t="shared" si="25"/>
        <v/>
      </c>
      <c r="P420" s="10" t="str">
        <f t="shared" si="26"/>
        <v/>
      </c>
      <c r="Q420" s="10" t="str">
        <f t="shared" si="27"/>
        <v/>
      </c>
    </row>
    <row r="421" spans="1:17" x14ac:dyDescent="0.3">
      <c r="A421" s="2"/>
      <c r="B421" s="2"/>
      <c r="C421" s="2"/>
      <c r="D421" s="3"/>
      <c r="E421" s="4"/>
      <c r="F421" s="4"/>
      <c r="G421" s="5"/>
      <c r="H421" s="6"/>
      <c r="I421" s="6"/>
      <c r="J421" s="6"/>
      <c r="K421" s="7"/>
      <c r="L421" s="49"/>
      <c r="M421" s="2"/>
      <c r="N421" s="8" t="str">
        <f t="shared" si="24"/>
        <v/>
      </c>
      <c r="O421" s="9" t="str">
        <f t="shared" si="25"/>
        <v/>
      </c>
      <c r="P421" s="10" t="str">
        <f t="shared" si="26"/>
        <v/>
      </c>
      <c r="Q421" s="10" t="str">
        <f t="shared" si="27"/>
        <v/>
      </c>
    </row>
    <row r="422" spans="1:17" x14ac:dyDescent="0.3">
      <c r="A422" s="2"/>
      <c r="B422" s="2"/>
      <c r="C422" s="2"/>
      <c r="D422" s="3"/>
      <c r="E422" s="4"/>
      <c r="F422" s="4"/>
      <c r="G422" s="5"/>
      <c r="H422" s="6"/>
      <c r="I422" s="6"/>
      <c r="J422" s="6"/>
      <c r="K422" s="7"/>
      <c r="L422" s="49"/>
      <c r="M422" s="2"/>
      <c r="N422" s="8" t="str">
        <f t="shared" si="24"/>
        <v/>
      </c>
      <c r="O422" s="9" t="str">
        <f t="shared" si="25"/>
        <v/>
      </c>
      <c r="P422" s="10" t="str">
        <f t="shared" si="26"/>
        <v/>
      </c>
      <c r="Q422" s="10" t="str">
        <f t="shared" si="27"/>
        <v/>
      </c>
    </row>
    <row r="423" spans="1:17" x14ac:dyDescent="0.3">
      <c r="A423" s="2"/>
      <c r="B423" s="2"/>
      <c r="C423" s="2"/>
      <c r="D423" s="3"/>
      <c r="E423" s="4"/>
      <c r="F423" s="4"/>
      <c r="G423" s="5"/>
      <c r="H423" s="6"/>
      <c r="I423" s="6"/>
      <c r="J423" s="6"/>
      <c r="K423" s="7"/>
      <c r="L423" s="49"/>
      <c r="M423" s="2"/>
      <c r="N423" s="8" t="str">
        <f t="shared" si="24"/>
        <v/>
      </c>
      <c r="O423" s="9" t="str">
        <f t="shared" si="25"/>
        <v/>
      </c>
      <c r="P423" s="10" t="str">
        <f t="shared" si="26"/>
        <v/>
      </c>
      <c r="Q423" s="10" t="str">
        <f t="shared" si="27"/>
        <v/>
      </c>
    </row>
    <row r="424" spans="1:17" x14ac:dyDescent="0.3">
      <c r="A424" s="2"/>
      <c r="B424" s="2"/>
      <c r="C424" s="2"/>
      <c r="D424" s="3"/>
      <c r="E424" s="4"/>
      <c r="F424" s="4"/>
      <c r="G424" s="5"/>
      <c r="H424" s="6"/>
      <c r="I424" s="6"/>
      <c r="J424" s="6"/>
      <c r="K424" s="7"/>
      <c r="L424" s="49"/>
      <c r="M424" s="2"/>
      <c r="N424" s="8" t="str">
        <f t="shared" si="24"/>
        <v/>
      </c>
      <c r="O424" s="9" t="str">
        <f t="shared" si="25"/>
        <v/>
      </c>
      <c r="P424" s="10" t="str">
        <f t="shared" si="26"/>
        <v/>
      </c>
      <c r="Q424" s="10" t="str">
        <f t="shared" si="27"/>
        <v/>
      </c>
    </row>
    <row r="425" spans="1:17" x14ac:dyDescent="0.3">
      <c r="A425" s="2"/>
      <c r="B425" s="2"/>
      <c r="C425" s="2"/>
      <c r="D425" s="3"/>
      <c r="E425" s="4"/>
      <c r="F425" s="4"/>
      <c r="G425" s="5"/>
      <c r="H425" s="6"/>
      <c r="I425" s="6"/>
      <c r="J425" s="6"/>
      <c r="K425" s="7"/>
      <c r="L425" s="49"/>
      <c r="M425" s="2"/>
      <c r="N425" s="8" t="str">
        <f t="shared" si="24"/>
        <v/>
      </c>
      <c r="O425" s="9" t="str">
        <f t="shared" si="25"/>
        <v/>
      </c>
      <c r="P425" s="10" t="str">
        <f t="shared" si="26"/>
        <v/>
      </c>
      <c r="Q425" s="10" t="str">
        <f t="shared" si="27"/>
        <v/>
      </c>
    </row>
    <row r="426" spans="1:17" x14ac:dyDescent="0.3">
      <c r="A426" s="2"/>
      <c r="B426" s="2"/>
      <c r="C426" s="2"/>
      <c r="D426" s="3"/>
      <c r="E426" s="4"/>
      <c r="F426" s="4"/>
      <c r="G426" s="5"/>
      <c r="H426" s="6"/>
      <c r="I426" s="6"/>
      <c r="J426" s="6"/>
      <c r="K426" s="7"/>
      <c r="L426" s="49"/>
      <c r="M426" s="2"/>
      <c r="N426" s="8" t="str">
        <f t="shared" si="24"/>
        <v/>
      </c>
      <c r="O426" s="9" t="str">
        <f t="shared" si="25"/>
        <v/>
      </c>
      <c r="P426" s="10" t="str">
        <f t="shared" si="26"/>
        <v/>
      </c>
      <c r="Q426" s="10" t="str">
        <f t="shared" si="27"/>
        <v/>
      </c>
    </row>
    <row r="427" spans="1:17" x14ac:dyDescent="0.3">
      <c r="A427" s="2"/>
      <c r="B427" s="2"/>
      <c r="C427" s="2"/>
      <c r="D427" s="3"/>
      <c r="E427" s="4"/>
      <c r="F427" s="4"/>
      <c r="G427" s="5"/>
      <c r="H427" s="6"/>
      <c r="I427" s="6"/>
      <c r="J427" s="6"/>
      <c r="K427" s="7"/>
      <c r="L427" s="49"/>
      <c r="M427" s="2"/>
      <c r="N427" s="8" t="str">
        <f t="shared" si="24"/>
        <v/>
      </c>
      <c r="O427" s="9" t="str">
        <f t="shared" si="25"/>
        <v/>
      </c>
      <c r="P427" s="10" t="str">
        <f t="shared" si="26"/>
        <v/>
      </c>
      <c r="Q427" s="10" t="str">
        <f t="shared" si="27"/>
        <v/>
      </c>
    </row>
    <row r="428" spans="1:17" x14ac:dyDescent="0.3">
      <c r="A428" s="2"/>
      <c r="B428" s="2"/>
      <c r="C428" s="2"/>
      <c r="D428" s="3"/>
      <c r="E428" s="4"/>
      <c r="F428" s="4"/>
      <c r="G428" s="5"/>
      <c r="H428" s="6"/>
      <c r="I428" s="6"/>
      <c r="J428" s="6"/>
      <c r="K428" s="7"/>
      <c r="L428" s="49"/>
      <c r="M428" s="2"/>
      <c r="N428" s="8" t="str">
        <f t="shared" si="24"/>
        <v/>
      </c>
      <c r="O428" s="9" t="str">
        <f t="shared" si="25"/>
        <v/>
      </c>
      <c r="P428" s="10" t="str">
        <f t="shared" si="26"/>
        <v/>
      </c>
      <c r="Q428" s="10" t="str">
        <f t="shared" si="27"/>
        <v/>
      </c>
    </row>
    <row r="429" spans="1:17" x14ac:dyDescent="0.3">
      <c r="A429" s="2"/>
      <c r="B429" s="2"/>
      <c r="C429" s="2"/>
      <c r="D429" s="3"/>
      <c r="E429" s="4"/>
      <c r="F429" s="4"/>
      <c r="G429" s="5"/>
      <c r="H429" s="6"/>
      <c r="I429" s="6"/>
      <c r="J429" s="6"/>
      <c r="K429" s="7"/>
      <c r="L429" s="49"/>
      <c r="M429" s="2"/>
      <c r="N429" s="8" t="str">
        <f t="shared" si="24"/>
        <v/>
      </c>
      <c r="O429" s="9" t="str">
        <f t="shared" si="25"/>
        <v/>
      </c>
      <c r="P429" s="10" t="str">
        <f t="shared" si="26"/>
        <v/>
      </c>
      <c r="Q429" s="10" t="str">
        <f t="shared" si="27"/>
        <v/>
      </c>
    </row>
    <row r="430" spans="1:17" x14ac:dyDescent="0.3">
      <c r="A430" s="2"/>
      <c r="B430" s="2"/>
      <c r="C430" s="2"/>
      <c r="D430" s="3"/>
      <c r="E430" s="4"/>
      <c r="F430" s="4"/>
      <c r="G430" s="5"/>
      <c r="H430" s="6"/>
      <c r="I430" s="6"/>
      <c r="J430" s="6"/>
      <c r="K430" s="7"/>
      <c r="L430" s="49"/>
      <c r="M430" s="2"/>
      <c r="N430" s="8" t="str">
        <f t="shared" si="24"/>
        <v/>
      </c>
      <c r="O430" s="9" t="str">
        <f t="shared" si="25"/>
        <v/>
      </c>
      <c r="P430" s="10" t="str">
        <f t="shared" si="26"/>
        <v/>
      </c>
      <c r="Q430" s="10" t="str">
        <f t="shared" si="27"/>
        <v/>
      </c>
    </row>
    <row r="431" spans="1:17" x14ac:dyDescent="0.3">
      <c r="A431" s="2"/>
      <c r="B431" s="2"/>
      <c r="C431" s="2"/>
      <c r="D431" s="3"/>
      <c r="E431" s="4"/>
      <c r="F431" s="4"/>
      <c r="G431" s="5"/>
      <c r="H431" s="6"/>
      <c r="I431" s="6"/>
      <c r="J431" s="6"/>
      <c r="K431" s="7"/>
      <c r="L431" s="49"/>
      <c r="M431" s="2"/>
      <c r="N431" s="8" t="str">
        <f t="shared" si="24"/>
        <v/>
      </c>
      <c r="O431" s="9" t="str">
        <f t="shared" si="25"/>
        <v/>
      </c>
      <c r="P431" s="10" t="str">
        <f t="shared" si="26"/>
        <v/>
      </c>
      <c r="Q431" s="10" t="str">
        <f t="shared" si="27"/>
        <v/>
      </c>
    </row>
    <row r="432" spans="1:17" x14ac:dyDescent="0.3">
      <c r="A432" s="2"/>
      <c r="B432" s="2"/>
      <c r="C432" s="2"/>
      <c r="D432" s="3"/>
      <c r="E432" s="4"/>
      <c r="F432" s="4"/>
      <c r="G432" s="5"/>
      <c r="H432" s="6"/>
      <c r="I432" s="6"/>
      <c r="J432" s="6"/>
      <c r="K432" s="7"/>
      <c r="L432" s="49"/>
      <c r="M432" s="2"/>
      <c r="N432" s="8" t="str">
        <f t="shared" si="24"/>
        <v/>
      </c>
      <c r="O432" s="9" t="str">
        <f t="shared" si="25"/>
        <v/>
      </c>
      <c r="P432" s="10" t="str">
        <f t="shared" si="26"/>
        <v/>
      </c>
      <c r="Q432" s="10" t="str">
        <f t="shared" si="27"/>
        <v/>
      </c>
    </row>
    <row r="433" spans="1:17" x14ac:dyDescent="0.3">
      <c r="A433" s="2"/>
      <c r="B433" s="2"/>
      <c r="C433" s="2"/>
      <c r="D433" s="3"/>
      <c r="E433" s="4"/>
      <c r="F433" s="4"/>
      <c r="G433" s="5"/>
      <c r="H433" s="6"/>
      <c r="I433" s="6"/>
      <c r="J433" s="6"/>
      <c r="K433" s="7"/>
      <c r="L433" s="49"/>
      <c r="M433" s="2"/>
      <c r="N433" s="8" t="str">
        <f t="shared" si="24"/>
        <v/>
      </c>
      <c r="O433" s="9" t="str">
        <f t="shared" si="25"/>
        <v/>
      </c>
      <c r="P433" s="10" t="str">
        <f t="shared" si="26"/>
        <v/>
      </c>
      <c r="Q433" s="10" t="str">
        <f t="shared" si="27"/>
        <v/>
      </c>
    </row>
    <row r="434" spans="1:17" x14ac:dyDescent="0.3">
      <c r="A434" s="2"/>
      <c r="B434" s="2"/>
      <c r="C434" s="2"/>
      <c r="D434" s="3"/>
      <c r="E434" s="4"/>
      <c r="F434" s="4"/>
      <c r="G434" s="5"/>
      <c r="H434" s="6"/>
      <c r="I434" s="6"/>
      <c r="J434" s="6"/>
      <c r="K434" s="7"/>
      <c r="L434" s="49"/>
      <c r="M434" s="2"/>
      <c r="N434" s="8" t="str">
        <f t="shared" si="24"/>
        <v/>
      </c>
      <c r="O434" s="9" t="str">
        <f t="shared" si="25"/>
        <v/>
      </c>
      <c r="P434" s="10" t="str">
        <f t="shared" si="26"/>
        <v/>
      </c>
      <c r="Q434" s="10" t="str">
        <f t="shared" si="27"/>
        <v/>
      </c>
    </row>
    <row r="435" spans="1:17" x14ac:dyDescent="0.3">
      <c r="A435" s="2"/>
      <c r="B435" s="2"/>
      <c r="C435" s="2"/>
      <c r="D435" s="3"/>
      <c r="E435" s="4"/>
      <c r="F435" s="4"/>
      <c r="G435" s="5"/>
      <c r="H435" s="6"/>
      <c r="I435" s="6"/>
      <c r="J435" s="6"/>
      <c r="K435" s="7"/>
      <c r="L435" s="49"/>
      <c r="M435" s="2"/>
      <c r="N435" s="8" t="str">
        <f t="shared" si="24"/>
        <v/>
      </c>
      <c r="O435" s="9" t="str">
        <f t="shared" si="25"/>
        <v/>
      </c>
      <c r="P435" s="10" t="str">
        <f t="shared" si="26"/>
        <v/>
      </c>
      <c r="Q435" s="10" t="str">
        <f t="shared" si="27"/>
        <v/>
      </c>
    </row>
    <row r="436" spans="1:17" x14ac:dyDescent="0.3">
      <c r="A436" s="2"/>
      <c r="B436" s="2"/>
      <c r="C436" s="2"/>
      <c r="D436" s="3"/>
      <c r="E436" s="4"/>
      <c r="F436" s="4"/>
      <c r="G436" s="5"/>
      <c r="H436" s="6"/>
      <c r="I436" s="6"/>
      <c r="J436" s="6"/>
      <c r="K436" s="7"/>
      <c r="L436" s="49"/>
      <c r="M436" s="2"/>
      <c r="N436" s="8" t="str">
        <f t="shared" si="24"/>
        <v/>
      </c>
      <c r="O436" s="9" t="str">
        <f t="shared" si="25"/>
        <v/>
      </c>
      <c r="P436" s="10" t="str">
        <f t="shared" si="26"/>
        <v/>
      </c>
      <c r="Q436" s="10" t="str">
        <f t="shared" si="27"/>
        <v/>
      </c>
    </row>
    <row r="437" spans="1:17" x14ac:dyDescent="0.3">
      <c r="A437" s="2"/>
      <c r="B437" s="2"/>
      <c r="C437" s="2"/>
      <c r="D437" s="3"/>
      <c r="E437" s="4"/>
      <c r="F437" s="4"/>
      <c r="G437" s="5"/>
      <c r="H437" s="6"/>
      <c r="I437" s="6"/>
      <c r="J437" s="6"/>
      <c r="K437" s="7"/>
      <c r="L437" s="49"/>
      <c r="M437" s="2"/>
      <c r="N437" s="8" t="str">
        <f t="shared" si="24"/>
        <v/>
      </c>
      <c r="O437" s="9" t="str">
        <f t="shared" si="25"/>
        <v/>
      </c>
      <c r="P437" s="10" t="str">
        <f t="shared" si="26"/>
        <v/>
      </c>
      <c r="Q437" s="10" t="str">
        <f t="shared" si="27"/>
        <v/>
      </c>
    </row>
    <row r="438" spans="1:17" x14ac:dyDescent="0.3">
      <c r="A438" s="2"/>
      <c r="B438" s="2"/>
      <c r="C438" s="2"/>
      <c r="D438" s="3"/>
      <c r="E438" s="4"/>
      <c r="F438" s="4"/>
      <c r="G438" s="5"/>
      <c r="H438" s="6"/>
      <c r="I438" s="6"/>
      <c r="J438" s="6"/>
      <c r="K438" s="7"/>
      <c r="L438" s="49"/>
      <c r="M438" s="2"/>
      <c r="N438" s="8" t="str">
        <f t="shared" si="24"/>
        <v/>
      </c>
      <c r="O438" s="9" t="str">
        <f t="shared" si="25"/>
        <v/>
      </c>
      <c r="P438" s="10" t="str">
        <f t="shared" si="26"/>
        <v/>
      </c>
      <c r="Q438" s="10" t="str">
        <f t="shared" si="27"/>
        <v/>
      </c>
    </row>
    <row r="439" spans="1:17" x14ac:dyDescent="0.3">
      <c r="A439" s="2"/>
      <c r="B439" s="2"/>
      <c r="C439" s="2"/>
      <c r="D439" s="3"/>
      <c r="E439" s="4"/>
      <c r="F439" s="4"/>
      <c r="G439" s="5"/>
      <c r="H439" s="6"/>
      <c r="I439" s="6"/>
      <c r="J439" s="6"/>
      <c r="K439" s="7"/>
      <c r="L439" s="49"/>
      <c r="M439" s="2"/>
      <c r="N439" s="8" t="str">
        <f t="shared" si="24"/>
        <v/>
      </c>
      <c r="O439" s="9" t="str">
        <f t="shared" si="25"/>
        <v/>
      </c>
      <c r="P439" s="10" t="str">
        <f t="shared" si="26"/>
        <v/>
      </c>
      <c r="Q439" s="10" t="str">
        <f t="shared" si="27"/>
        <v/>
      </c>
    </row>
    <row r="440" spans="1:17" x14ac:dyDescent="0.3">
      <c r="A440" s="2"/>
      <c r="B440" s="2"/>
      <c r="C440" s="2"/>
      <c r="D440" s="3"/>
      <c r="E440" s="4"/>
      <c r="F440" s="4"/>
      <c r="G440" s="5"/>
      <c r="H440" s="6"/>
      <c r="I440" s="6"/>
      <c r="J440" s="6"/>
      <c r="K440" s="7"/>
      <c r="L440" s="49"/>
      <c r="M440" s="2"/>
      <c r="N440" s="8" t="str">
        <f t="shared" si="24"/>
        <v/>
      </c>
      <c r="O440" s="9" t="str">
        <f t="shared" si="25"/>
        <v/>
      </c>
      <c r="P440" s="10" t="str">
        <f t="shared" si="26"/>
        <v/>
      </c>
      <c r="Q440" s="10" t="str">
        <f t="shared" si="27"/>
        <v/>
      </c>
    </row>
    <row r="441" spans="1:17" x14ac:dyDescent="0.3">
      <c r="A441" s="2"/>
      <c r="B441" s="2"/>
      <c r="C441" s="2"/>
      <c r="D441" s="3"/>
      <c r="E441" s="4"/>
      <c r="F441" s="4"/>
      <c r="G441" s="5"/>
      <c r="H441" s="6"/>
      <c r="I441" s="6"/>
      <c r="J441" s="6"/>
      <c r="K441" s="7"/>
      <c r="L441" s="49"/>
      <c r="M441" s="2"/>
      <c r="N441" s="8" t="str">
        <f t="shared" si="24"/>
        <v/>
      </c>
      <c r="O441" s="9" t="str">
        <f t="shared" si="25"/>
        <v/>
      </c>
      <c r="P441" s="10" t="str">
        <f t="shared" si="26"/>
        <v/>
      </c>
      <c r="Q441" s="10" t="str">
        <f t="shared" si="27"/>
        <v/>
      </c>
    </row>
    <row r="442" spans="1:17" x14ac:dyDescent="0.3">
      <c r="A442" s="2"/>
      <c r="B442" s="2"/>
      <c r="C442" s="2"/>
      <c r="D442" s="3"/>
      <c r="E442" s="4"/>
      <c r="F442" s="4"/>
      <c r="G442" s="5"/>
      <c r="H442" s="6"/>
      <c r="I442" s="6"/>
      <c r="J442" s="6"/>
      <c r="K442" s="7"/>
      <c r="L442" s="49"/>
      <c r="M442" s="2"/>
      <c r="N442" s="8" t="str">
        <f t="shared" si="24"/>
        <v/>
      </c>
      <c r="O442" s="9" t="str">
        <f t="shared" si="25"/>
        <v/>
      </c>
      <c r="P442" s="10" t="str">
        <f t="shared" si="26"/>
        <v/>
      </c>
      <c r="Q442" s="10" t="str">
        <f t="shared" si="27"/>
        <v/>
      </c>
    </row>
    <row r="443" spans="1:17" x14ac:dyDescent="0.3">
      <c r="A443" s="2"/>
      <c r="B443" s="2"/>
      <c r="C443" s="2"/>
      <c r="D443" s="3"/>
      <c r="E443" s="4"/>
      <c r="F443" s="4"/>
      <c r="G443" s="5"/>
      <c r="H443" s="6"/>
      <c r="I443" s="6"/>
      <c r="J443" s="6"/>
      <c r="K443" s="7"/>
      <c r="L443" s="49"/>
      <c r="M443" s="2"/>
      <c r="N443" s="8" t="str">
        <f t="shared" si="24"/>
        <v/>
      </c>
      <c r="O443" s="9" t="str">
        <f t="shared" si="25"/>
        <v/>
      </c>
      <c r="P443" s="10" t="str">
        <f t="shared" si="26"/>
        <v/>
      </c>
      <c r="Q443" s="10" t="str">
        <f t="shared" si="27"/>
        <v/>
      </c>
    </row>
    <row r="444" spans="1:17" x14ac:dyDescent="0.3">
      <c r="A444" s="2"/>
      <c r="B444" s="2"/>
      <c r="C444" s="2"/>
      <c r="D444" s="3"/>
      <c r="E444" s="4"/>
      <c r="F444" s="4"/>
      <c r="G444" s="5"/>
      <c r="H444" s="6"/>
      <c r="I444" s="6"/>
      <c r="J444" s="6"/>
      <c r="K444" s="7"/>
      <c r="L444" s="49"/>
      <c r="M444" s="2"/>
      <c r="N444" s="8" t="str">
        <f t="shared" si="24"/>
        <v/>
      </c>
      <c r="O444" s="9" t="str">
        <f t="shared" si="25"/>
        <v/>
      </c>
      <c r="P444" s="10" t="str">
        <f t="shared" si="26"/>
        <v/>
      </c>
      <c r="Q444" s="10" t="str">
        <f t="shared" si="27"/>
        <v/>
      </c>
    </row>
    <row r="445" spans="1:17" x14ac:dyDescent="0.3">
      <c r="A445" s="2"/>
      <c r="B445" s="2"/>
      <c r="C445" s="2"/>
      <c r="D445" s="3"/>
      <c r="E445" s="4"/>
      <c r="F445" s="4"/>
      <c r="G445" s="5"/>
      <c r="H445" s="6"/>
      <c r="I445" s="6"/>
      <c r="J445" s="6"/>
      <c r="K445" s="7"/>
      <c r="L445" s="49"/>
      <c r="M445" s="2"/>
      <c r="N445" s="8" t="str">
        <f t="shared" si="24"/>
        <v/>
      </c>
      <c r="O445" s="9" t="str">
        <f t="shared" si="25"/>
        <v/>
      </c>
      <c r="P445" s="10" t="str">
        <f t="shared" si="26"/>
        <v/>
      </c>
      <c r="Q445" s="10" t="str">
        <f t="shared" si="27"/>
        <v/>
      </c>
    </row>
    <row r="446" spans="1:17" x14ac:dyDescent="0.3">
      <c r="A446" s="2"/>
      <c r="B446" s="2"/>
      <c r="C446" s="2"/>
      <c r="D446" s="3"/>
      <c r="E446" s="4"/>
      <c r="F446" s="4"/>
      <c r="G446" s="5"/>
      <c r="H446" s="6"/>
      <c r="I446" s="6"/>
      <c r="J446" s="6"/>
      <c r="K446" s="7"/>
      <c r="L446" s="49"/>
      <c r="M446" s="2"/>
      <c r="N446" s="8" t="str">
        <f t="shared" si="24"/>
        <v/>
      </c>
      <c r="O446" s="9" t="str">
        <f t="shared" si="25"/>
        <v/>
      </c>
      <c r="P446" s="10" t="str">
        <f t="shared" si="26"/>
        <v/>
      </c>
      <c r="Q446" s="10" t="str">
        <f t="shared" si="27"/>
        <v/>
      </c>
    </row>
    <row r="447" spans="1:17" x14ac:dyDescent="0.3">
      <c r="A447" s="2"/>
      <c r="B447" s="2"/>
      <c r="C447" s="2"/>
      <c r="D447" s="3"/>
      <c r="E447" s="4"/>
      <c r="F447" s="4"/>
      <c r="G447" s="5"/>
      <c r="H447" s="6"/>
      <c r="I447" s="6"/>
      <c r="J447" s="6"/>
      <c r="K447" s="7"/>
      <c r="L447" s="49"/>
      <c r="M447" s="2"/>
      <c r="N447" s="8" t="str">
        <f t="shared" si="24"/>
        <v/>
      </c>
      <c r="O447" s="9" t="str">
        <f t="shared" si="25"/>
        <v/>
      </c>
      <c r="P447" s="10" t="str">
        <f t="shared" si="26"/>
        <v/>
      </c>
      <c r="Q447" s="10" t="str">
        <f t="shared" si="27"/>
        <v/>
      </c>
    </row>
    <row r="448" spans="1:17" x14ac:dyDescent="0.3">
      <c r="A448" s="2"/>
      <c r="B448" s="2"/>
      <c r="C448" s="2"/>
      <c r="D448" s="3"/>
      <c r="E448" s="4"/>
      <c r="F448" s="4"/>
      <c r="G448" s="5"/>
      <c r="H448" s="6"/>
      <c r="I448" s="6"/>
      <c r="J448" s="6"/>
      <c r="K448" s="7"/>
      <c r="L448" s="49"/>
      <c r="M448" s="2"/>
      <c r="N448" s="8" t="str">
        <f t="shared" si="24"/>
        <v/>
      </c>
      <c r="O448" s="9" t="str">
        <f t="shared" si="25"/>
        <v/>
      </c>
      <c r="P448" s="10" t="str">
        <f t="shared" si="26"/>
        <v/>
      </c>
      <c r="Q448" s="10" t="str">
        <f t="shared" si="27"/>
        <v/>
      </c>
    </row>
    <row r="449" spans="1:17" x14ac:dyDescent="0.3">
      <c r="A449" s="2"/>
      <c r="B449" s="2"/>
      <c r="C449" s="2"/>
      <c r="D449" s="3"/>
      <c r="E449" s="4"/>
      <c r="F449" s="4"/>
      <c r="G449" s="5"/>
      <c r="H449" s="6"/>
      <c r="I449" s="6"/>
      <c r="J449" s="6"/>
      <c r="K449" s="7"/>
      <c r="L449" s="49"/>
      <c r="M449" s="2"/>
      <c r="N449" s="8" t="str">
        <f t="shared" si="24"/>
        <v/>
      </c>
      <c r="O449" s="9" t="str">
        <f t="shared" si="25"/>
        <v/>
      </c>
      <c r="P449" s="10" t="str">
        <f t="shared" si="26"/>
        <v/>
      </c>
      <c r="Q449" s="10" t="str">
        <f t="shared" si="27"/>
        <v/>
      </c>
    </row>
    <row r="450" spans="1:17" x14ac:dyDescent="0.3">
      <c r="A450" s="2"/>
      <c r="B450" s="2"/>
      <c r="C450" s="2"/>
      <c r="D450" s="3"/>
      <c r="E450" s="4"/>
      <c r="F450" s="4"/>
      <c r="G450" s="5"/>
      <c r="H450" s="6"/>
      <c r="I450" s="6"/>
      <c r="J450" s="6"/>
      <c r="K450" s="7"/>
      <c r="L450" s="49"/>
      <c r="M450" s="2"/>
      <c r="N450" s="8" t="str">
        <f t="shared" si="24"/>
        <v/>
      </c>
      <c r="O450" s="9" t="str">
        <f t="shared" si="25"/>
        <v/>
      </c>
      <c r="P450" s="10" t="str">
        <f t="shared" si="26"/>
        <v/>
      </c>
      <c r="Q450" s="10" t="str">
        <f t="shared" si="27"/>
        <v/>
      </c>
    </row>
    <row r="451" spans="1:17" x14ac:dyDescent="0.3">
      <c r="A451" s="2"/>
      <c r="B451" s="2"/>
      <c r="C451" s="2"/>
      <c r="D451" s="3"/>
      <c r="E451" s="4"/>
      <c r="F451" s="4"/>
      <c r="G451" s="5"/>
      <c r="H451" s="6"/>
      <c r="I451" s="6"/>
      <c r="J451" s="6"/>
      <c r="K451" s="7"/>
      <c r="L451" s="49"/>
      <c r="M451" s="2"/>
      <c r="N451" s="8" t="str">
        <f t="shared" si="24"/>
        <v/>
      </c>
      <c r="O451" s="9" t="str">
        <f t="shared" si="25"/>
        <v/>
      </c>
      <c r="P451" s="10" t="str">
        <f t="shared" si="26"/>
        <v/>
      </c>
      <c r="Q451" s="10" t="str">
        <f t="shared" si="27"/>
        <v/>
      </c>
    </row>
    <row r="452" spans="1:17" x14ac:dyDescent="0.3">
      <c r="A452" s="2"/>
      <c r="B452" s="2"/>
      <c r="C452" s="2"/>
      <c r="D452" s="3"/>
      <c r="E452" s="4"/>
      <c r="F452" s="4"/>
      <c r="G452" s="5"/>
      <c r="H452" s="6"/>
      <c r="I452" s="6"/>
      <c r="J452" s="6"/>
      <c r="K452" s="7"/>
      <c r="L452" s="49"/>
      <c r="M452" s="2"/>
      <c r="N452" s="8" t="str">
        <f t="shared" si="24"/>
        <v/>
      </c>
      <c r="O452" s="9" t="str">
        <f t="shared" si="25"/>
        <v/>
      </c>
      <c r="P452" s="10" t="str">
        <f t="shared" si="26"/>
        <v/>
      </c>
      <c r="Q452" s="10" t="str">
        <f t="shared" si="27"/>
        <v/>
      </c>
    </row>
    <row r="453" spans="1:17" x14ac:dyDescent="0.3">
      <c r="A453" s="2"/>
      <c r="B453" s="2"/>
      <c r="C453" s="2"/>
      <c r="D453" s="3"/>
      <c r="E453" s="4"/>
      <c r="F453" s="4"/>
      <c r="G453" s="5"/>
      <c r="H453" s="6"/>
      <c r="I453" s="6"/>
      <c r="J453" s="6"/>
      <c r="K453" s="7"/>
      <c r="L453" s="49"/>
      <c r="M453" s="2"/>
      <c r="N453" s="8" t="str">
        <f t="shared" si="24"/>
        <v/>
      </c>
      <c r="O453" s="9" t="str">
        <f t="shared" si="25"/>
        <v/>
      </c>
      <c r="P453" s="10" t="str">
        <f t="shared" si="26"/>
        <v/>
      </c>
      <c r="Q453" s="10" t="str">
        <f t="shared" si="27"/>
        <v/>
      </c>
    </row>
    <row r="454" spans="1:17" x14ac:dyDescent="0.3">
      <c r="A454" s="2"/>
      <c r="B454" s="2"/>
      <c r="C454" s="2"/>
      <c r="D454" s="3"/>
      <c r="E454" s="4"/>
      <c r="F454" s="4"/>
      <c r="G454" s="5"/>
      <c r="H454" s="6"/>
      <c r="I454" s="6"/>
      <c r="J454" s="6"/>
      <c r="K454" s="7"/>
      <c r="L454" s="49"/>
      <c r="M454" s="2"/>
      <c r="N454" s="8" t="str">
        <f t="shared" si="24"/>
        <v/>
      </c>
      <c r="O454" s="9" t="str">
        <f t="shared" si="25"/>
        <v/>
      </c>
      <c r="P454" s="10" t="str">
        <f t="shared" si="26"/>
        <v/>
      </c>
      <c r="Q454" s="10" t="str">
        <f t="shared" si="27"/>
        <v/>
      </c>
    </row>
    <row r="455" spans="1:17" x14ac:dyDescent="0.3">
      <c r="A455" s="2"/>
      <c r="B455" s="2"/>
      <c r="C455" s="2"/>
      <c r="D455" s="3"/>
      <c r="E455" s="4"/>
      <c r="F455" s="4"/>
      <c r="G455" s="5"/>
      <c r="H455" s="6"/>
      <c r="I455" s="6"/>
      <c r="J455" s="6"/>
      <c r="K455" s="7"/>
      <c r="L455" s="49"/>
      <c r="M455" s="2"/>
      <c r="N455" s="8" t="str">
        <f t="shared" ref="N455:N506" si="28">IF($D455="","",$D455*N($E455))</f>
        <v/>
      </c>
      <c r="O455" s="9" t="str">
        <f t="shared" ref="O455:O506" si="29">IF($D455="","",$D455*N($F455))</f>
        <v/>
      </c>
      <c r="P455" s="10" t="str">
        <f t="shared" ref="P455:P506" si="30">IF($D455="","",IF(N($K455)&gt;0,$K455,IF(AND(N($G455)&gt;0,N($H455)&gt;0,N($I455)&gt;0,N($J455)&gt;0),$H455*$I455*$J455/1000000/$G455,0)))</f>
        <v/>
      </c>
      <c r="Q455" s="10" t="str">
        <f t="shared" ref="Q455:Q506" si="31">IF($D455="","",$D455*$P455)</f>
        <v/>
      </c>
    </row>
    <row r="456" spans="1:17" x14ac:dyDescent="0.3">
      <c r="A456" s="2"/>
      <c r="B456" s="2"/>
      <c r="C456" s="2"/>
      <c r="D456" s="3"/>
      <c r="E456" s="4"/>
      <c r="F456" s="4"/>
      <c r="G456" s="5"/>
      <c r="H456" s="6"/>
      <c r="I456" s="6"/>
      <c r="J456" s="6"/>
      <c r="K456" s="7"/>
      <c r="L456" s="49"/>
      <c r="M456" s="2"/>
      <c r="N456" s="8" t="str">
        <f t="shared" si="28"/>
        <v/>
      </c>
      <c r="O456" s="9" t="str">
        <f t="shared" si="29"/>
        <v/>
      </c>
      <c r="P456" s="10" t="str">
        <f t="shared" si="30"/>
        <v/>
      </c>
      <c r="Q456" s="10" t="str">
        <f t="shared" si="31"/>
        <v/>
      </c>
    </row>
    <row r="457" spans="1:17" x14ac:dyDescent="0.3">
      <c r="A457" s="2"/>
      <c r="B457" s="2"/>
      <c r="C457" s="2"/>
      <c r="D457" s="3"/>
      <c r="E457" s="4"/>
      <c r="F457" s="4"/>
      <c r="G457" s="5"/>
      <c r="H457" s="6"/>
      <c r="I457" s="6"/>
      <c r="J457" s="6"/>
      <c r="K457" s="7"/>
      <c r="L457" s="49"/>
      <c r="M457" s="2"/>
      <c r="N457" s="8" t="str">
        <f t="shared" si="28"/>
        <v/>
      </c>
      <c r="O457" s="9" t="str">
        <f t="shared" si="29"/>
        <v/>
      </c>
      <c r="P457" s="10" t="str">
        <f t="shared" si="30"/>
        <v/>
      </c>
      <c r="Q457" s="10" t="str">
        <f t="shared" si="31"/>
        <v/>
      </c>
    </row>
    <row r="458" spans="1:17" x14ac:dyDescent="0.3">
      <c r="A458" s="2"/>
      <c r="B458" s="2"/>
      <c r="C458" s="2"/>
      <c r="D458" s="3"/>
      <c r="E458" s="4"/>
      <c r="F458" s="4"/>
      <c r="G458" s="5"/>
      <c r="H458" s="6"/>
      <c r="I458" s="6"/>
      <c r="J458" s="6"/>
      <c r="K458" s="7"/>
      <c r="L458" s="49"/>
      <c r="M458" s="2"/>
      <c r="N458" s="8" t="str">
        <f t="shared" si="28"/>
        <v/>
      </c>
      <c r="O458" s="9" t="str">
        <f t="shared" si="29"/>
        <v/>
      </c>
      <c r="P458" s="10" t="str">
        <f t="shared" si="30"/>
        <v/>
      </c>
      <c r="Q458" s="10" t="str">
        <f t="shared" si="31"/>
        <v/>
      </c>
    </row>
    <row r="459" spans="1:17" x14ac:dyDescent="0.3">
      <c r="A459" s="2"/>
      <c r="B459" s="2"/>
      <c r="C459" s="2"/>
      <c r="D459" s="3"/>
      <c r="E459" s="4"/>
      <c r="F459" s="4"/>
      <c r="G459" s="5"/>
      <c r="H459" s="6"/>
      <c r="I459" s="6"/>
      <c r="J459" s="6"/>
      <c r="K459" s="7"/>
      <c r="L459" s="49"/>
      <c r="M459" s="2"/>
      <c r="N459" s="8" t="str">
        <f t="shared" si="28"/>
        <v/>
      </c>
      <c r="O459" s="9" t="str">
        <f t="shared" si="29"/>
        <v/>
      </c>
      <c r="P459" s="10" t="str">
        <f t="shared" si="30"/>
        <v/>
      </c>
      <c r="Q459" s="10" t="str">
        <f t="shared" si="31"/>
        <v/>
      </c>
    </row>
    <row r="460" spans="1:17" x14ac:dyDescent="0.3">
      <c r="A460" s="2"/>
      <c r="B460" s="2"/>
      <c r="C460" s="2"/>
      <c r="D460" s="3"/>
      <c r="E460" s="4"/>
      <c r="F460" s="4"/>
      <c r="G460" s="5"/>
      <c r="H460" s="6"/>
      <c r="I460" s="6"/>
      <c r="J460" s="6"/>
      <c r="K460" s="7"/>
      <c r="L460" s="49"/>
      <c r="M460" s="2"/>
      <c r="N460" s="8" t="str">
        <f t="shared" si="28"/>
        <v/>
      </c>
      <c r="O460" s="9" t="str">
        <f t="shared" si="29"/>
        <v/>
      </c>
      <c r="P460" s="10" t="str">
        <f t="shared" si="30"/>
        <v/>
      </c>
      <c r="Q460" s="10" t="str">
        <f t="shared" si="31"/>
        <v/>
      </c>
    </row>
    <row r="461" spans="1:17" x14ac:dyDescent="0.3">
      <c r="A461" s="2"/>
      <c r="B461" s="2"/>
      <c r="C461" s="2"/>
      <c r="D461" s="3"/>
      <c r="E461" s="4"/>
      <c r="F461" s="4"/>
      <c r="G461" s="5"/>
      <c r="H461" s="6"/>
      <c r="I461" s="6"/>
      <c r="J461" s="6"/>
      <c r="K461" s="7"/>
      <c r="L461" s="49"/>
      <c r="M461" s="2"/>
      <c r="N461" s="8" t="str">
        <f t="shared" si="28"/>
        <v/>
      </c>
      <c r="O461" s="9" t="str">
        <f t="shared" si="29"/>
        <v/>
      </c>
      <c r="P461" s="10" t="str">
        <f t="shared" si="30"/>
        <v/>
      </c>
      <c r="Q461" s="10" t="str">
        <f t="shared" si="31"/>
        <v/>
      </c>
    </row>
    <row r="462" spans="1:17" x14ac:dyDescent="0.3">
      <c r="A462" s="2"/>
      <c r="B462" s="2"/>
      <c r="C462" s="2"/>
      <c r="D462" s="3"/>
      <c r="E462" s="4"/>
      <c r="F462" s="4"/>
      <c r="G462" s="5"/>
      <c r="H462" s="6"/>
      <c r="I462" s="6"/>
      <c r="J462" s="6"/>
      <c r="K462" s="7"/>
      <c r="L462" s="49"/>
      <c r="M462" s="2"/>
      <c r="N462" s="8" t="str">
        <f t="shared" si="28"/>
        <v/>
      </c>
      <c r="O462" s="9" t="str">
        <f t="shared" si="29"/>
        <v/>
      </c>
      <c r="P462" s="10" t="str">
        <f t="shared" si="30"/>
        <v/>
      </c>
      <c r="Q462" s="10" t="str">
        <f t="shared" si="31"/>
        <v/>
      </c>
    </row>
    <row r="463" spans="1:17" x14ac:dyDescent="0.3">
      <c r="A463" s="2"/>
      <c r="B463" s="2"/>
      <c r="C463" s="2"/>
      <c r="D463" s="3"/>
      <c r="E463" s="4"/>
      <c r="F463" s="4"/>
      <c r="G463" s="5"/>
      <c r="H463" s="6"/>
      <c r="I463" s="6"/>
      <c r="J463" s="6"/>
      <c r="K463" s="7"/>
      <c r="L463" s="49"/>
      <c r="M463" s="2"/>
      <c r="N463" s="8" t="str">
        <f t="shared" si="28"/>
        <v/>
      </c>
      <c r="O463" s="9" t="str">
        <f t="shared" si="29"/>
        <v/>
      </c>
      <c r="P463" s="10" t="str">
        <f t="shared" si="30"/>
        <v/>
      </c>
      <c r="Q463" s="10" t="str">
        <f t="shared" si="31"/>
        <v/>
      </c>
    </row>
    <row r="464" spans="1:17" x14ac:dyDescent="0.3">
      <c r="A464" s="2"/>
      <c r="B464" s="2"/>
      <c r="C464" s="2"/>
      <c r="D464" s="3"/>
      <c r="E464" s="4"/>
      <c r="F464" s="4"/>
      <c r="G464" s="5"/>
      <c r="H464" s="6"/>
      <c r="I464" s="6"/>
      <c r="J464" s="6"/>
      <c r="K464" s="7"/>
      <c r="L464" s="49"/>
      <c r="M464" s="2"/>
      <c r="N464" s="8" t="str">
        <f t="shared" si="28"/>
        <v/>
      </c>
      <c r="O464" s="9" t="str">
        <f t="shared" si="29"/>
        <v/>
      </c>
      <c r="P464" s="10" t="str">
        <f t="shared" si="30"/>
        <v/>
      </c>
      <c r="Q464" s="10" t="str">
        <f t="shared" si="31"/>
        <v/>
      </c>
    </row>
    <row r="465" spans="1:17" x14ac:dyDescent="0.3">
      <c r="A465" s="2"/>
      <c r="B465" s="2"/>
      <c r="C465" s="2"/>
      <c r="D465" s="3"/>
      <c r="E465" s="4"/>
      <c r="F465" s="4"/>
      <c r="G465" s="5"/>
      <c r="H465" s="6"/>
      <c r="I465" s="6"/>
      <c r="J465" s="6"/>
      <c r="K465" s="7"/>
      <c r="L465" s="49"/>
      <c r="M465" s="2"/>
      <c r="N465" s="8" t="str">
        <f t="shared" si="28"/>
        <v/>
      </c>
      <c r="O465" s="9" t="str">
        <f t="shared" si="29"/>
        <v/>
      </c>
      <c r="P465" s="10" t="str">
        <f t="shared" si="30"/>
        <v/>
      </c>
      <c r="Q465" s="10" t="str">
        <f t="shared" si="31"/>
        <v/>
      </c>
    </row>
    <row r="466" spans="1:17" x14ac:dyDescent="0.3">
      <c r="A466" s="2"/>
      <c r="B466" s="2"/>
      <c r="C466" s="2"/>
      <c r="D466" s="3"/>
      <c r="E466" s="4"/>
      <c r="F466" s="4"/>
      <c r="G466" s="5"/>
      <c r="H466" s="6"/>
      <c r="I466" s="6"/>
      <c r="J466" s="6"/>
      <c r="K466" s="7"/>
      <c r="L466" s="49"/>
      <c r="M466" s="2"/>
      <c r="N466" s="8" t="str">
        <f t="shared" si="28"/>
        <v/>
      </c>
      <c r="O466" s="9" t="str">
        <f t="shared" si="29"/>
        <v/>
      </c>
      <c r="P466" s="10" t="str">
        <f t="shared" si="30"/>
        <v/>
      </c>
      <c r="Q466" s="10" t="str">
        <f t="shared" si="31"/>
        <v/>
      </c>
    </row>
    <row r="467" spans="1:17" x14ac:dyDescent="0.3">
      <c r="A467" s="2"/>
      <c r="B467" s="2"/>
      <c r="C467" s="2"/>
      <c r="D467" s="3"/>
      <c r="E467" s="4"/>
      <c r="F467" s="4"/>
      <c r="G467" s="5"/>
      <c r="H467" s="6"/>
      <c r="I467" s="6"/>
      <c r="J467" s="6"/>
      <c r="K467" s="7"/>
      <c r="L467" s="49"/>
      <c r="M467" s="2"/>
      <c r="N467" s="8" t="str">
        <f t="shared" si="28"/>
        <v/>
      </c>
      <c r="O467" s="9" t="str">
        <f t="shared" si="29"/>
        <v/>
      </c>
      <c r="P467" s="10" t="str">
        <f t="shared" si="30"/>
        <v/>
      </c>
      <c r="Q467" s="10" t="str">
        <f t="shared" si="31"/>
        <v/>
      </c>
    </row>
    <row r="468" spans="1:17" x14ac:dyDescent="0.3">
      <c r="A468" s="2"/>
      <c r="B468" s="2"/>
      <c r="C468" s="2"/>
      <c r="D468" s="3"/>
      <c r="E468" s="4"/>
      <c r="F468" s="4"/>
      <c r="G468" s="5"/>
      <c r="H468" s="6"/>
      <c r="I468" s="6"/>
      <c r="J468" s="6"/>
      <c r="K468" s="7"/>
      <c r="L468" s="49"/>
      <c r="M468" s="2"/>
      <c r="N468" s="8" t="str">
        <f t="shared" si="28"/>
        <v/>
      </c>
      <c r="O468" s="9" t="str">
        <f t="shared" si="29"/>
        <v/>
      </c>
      <c r="P468" s="10" t="str">
        <f t="shared" si="30"/>
        <v/>
      </c>
      <c r="Q468" s="10" t="str">
        <f t="shared" si="31"/>
        <v/>
      </c>
    </row>
    <row r="469" spans="1:17" x14ac:dyDescent="0.3">
      <c r="A469" s="2"/>
      <c r="B469" s="2"/>
      <c r="C469" s="2"/>
      <c r="D469" s="3"/>
      <c r="E469" s="4"/>
      <c r="F469" s="4"/>
      <c r="G469" s="5"/>
      <c r="H469" s="6"/>
      <c r="I469" s="6"/>
      <c r="J469" s="6"/>
      <c r="K469" s="7"/>
      <c r="L469" s="49"/>
      <c r="M469" s="2"/>
      <c r="N469" s="8" t="str">
        <f t="shared" si="28"/>
        <v/>
      </c>
      <c r="O469" s="9" t="str">
        <f t="shared" si="29"/>
        <v/>
      </c>
      <c r="P469" s="10" t="str">
        <f t="shared" si="30"/>
        <v/>
      </c>
      <c r="Q469" s="10" t="str">
        <f t="shared" si="31"/>
        <v/>
      </c>
    </row>
    <row r="470" spans="1:17" x14ac:dyDescent="0.3">
      <c r="A470" s="2"/>
      <c r="B470" s="2"/>
      <c r="C470" s="2"/>
      <c r="D470" s="3"/>
      <c r="E470" s="4"/>
      <c r="F470" s="4"/>
      <c r="G470" s="5"/>
      <c r="H470" s="6"/>
      <c r="I470" s="6"/>
      <c r="J470" s="6"/>
      <c r="K470" s="7"/>
      <c r="L470" s="49"/>
      <c r="M470" s="2"/>
      <c r="N470" s="8" t="str">
        <f t="shared" si="28"/>
        <v/>
      </c>
      <c r="O470" s="9" t="str">
        <f t="shared" si="29"/>
        <v/>
      </c>
      <c r="P470" s="10" t="str">
        <f t="shared" si="30"/>
        <v/>
      </c>
      <c r="Q470" s="10" t="str">
        <f t="shared" si="31"/>
        <v/>
      </c>
    </row>
    <row r="471" spans="1:17" x14ac:dyDescent="0.3">
      <c r="A471" s="2"/>
      <c r="B471" s="2"/>
      <c r="C471" s="2"/>
      <c r="D471" s="3"/>
      <c r="E471" s="4"/>
      <c r="F471" s="4"/>
      <c r="G471" s="5"/>
      <c r="H471" s="6"/>
      <c r="I471" s="6"/>
      <c r="J471" s="6"/>
      <c r="K471" s="7"/>
      <c r="L471" s="49"/>
      <c r="M471" s="2"/>
      <c r="N471" s="8" t="str">
        <f t="shared" si="28"/>
        <v/>
      </c>
      <c r="O471" s="9" t="str">
        <f t="shared" si="29"/>
        <v/>
      </c>
      <c r="P471" s="10" t="str">
        <f t="shared" si="30"/>
        <v/>
      </c>
      <c r="Q471" s="10" t="str">
        <f t="shared" si="31"/>
        <v/>
      </c>
    </row>
    <row r="472" spans="1:17" x14ac:dyDescent="0.3">
      <c r="A472" s="2"/>
      <c r="B472" s="2"/>
      <c r="C472" s="2"/>
      <c r="D472" s="3"/>
      <c r="E472" s="4"/>
      <c r="F472" s="4"/>
      <c r="G472" s="5"/>
      <c r="H472" s="6"/>
      <c r="I472" s="6"/>
      <c r="J472" s="6"/>
      <c r="K472" s="7"/>
      <c r="L472" s="49"/>
      <c r="M472" s="2"/>
      <c r="N472" s="8" t="str">
        <f t="shared" si="28"/>
        <v/>
      </c>
      <c r="O472" s="9" t="str">
        <f t="shared" si="29"/>
        <v/>
      </c>
      <c r="P472" s="10" t="str">
        <f t="shared" si="30"/>
        <v/>
      </c>
      <c r="Q472" s="10" t="str">
        <f t="shared" si="31"/>
        <v/>
      </c>
    </row>
    <row r="473" spans="1:17" x14ac:dyDescent="0.3">
      <c r="A473" s="2"/>
      <c r="B473" s="2"/>
      <c r="C473" s="2"/>
      <c r="D473" s="3"/>
      <c r="E473" s="4"/>
      <c r="F473" s="4"/>
      <c r="G473" s="5"/>
      <c r="H473" s="6"/>
      <c r="I473" s="6"/>
      <c r="J473" s="6"/>
      <c r="K473" s="7"/>
      <c r="L473" s="49"/>
      <c r="M473" s="2"/>
      <c r="N473" s="8" t="str">
        <f t="shared" si="28"/>
        <v/>
      </c>
      <c r="O473" s="9" t="str">
        <f t="shared" si="29"/>
        <v/>
      </c>
      <c r="P473" s="10" t="str">
        <f t="shared" si="30"/>
        <v/>
      </c>
      <c r="Q473" s="10" t="str">
        <f t="shared" si="31"/>
        <v/>
      </c>
    </row>
    <row r="474" spans="1:17" x14ac:dyDescent="0.3">
      <c r="A474" s="2"/>
      <c r="B474" s="2"/>
      <c r="C474" s="2"/>
      <c r="D474" s="3"/>
      <c r="E474" s="4"/>
      <c r="F474" s="4"/>
      <c r="G474" s="5"/>
      <c r="H474" s="6"/>
      <c r="I474" s="6"/>
      <c r="J474" s="6"/>
      <c r="K474" s="7"/>
      <c r="L474" s="49"/>
      <c r="M474" s="2"/>
      <c r="N474" s="8" t="str">
        <f t="shared" si="28"/>
        <v/>
      </c>
      <c r="O474" s="9" t="str">
        <f t="shared" si="29"/>
        <v/>
      </c>
      <c r="P474" s="10" t="str">
        <f t="shared" si="30"/>
        <v/>
      </c>
      <c r="Q474" s="10" t="str">
        <f t="shared" si="31"/>
        <v/>
      </c>
    </row>
    <row r="475" spans="1:17" x14ac:dyDescent="0.3">
      <c r="A475" s="2"/>
      <c r="B475" s="2"/>
      <c r="C475" s="2"/>
      <c r="D475" s="3"/>
      <c r="E475" s="4"/>
      <c r="F475" s="4"/>
      <c r="G475" s="5"/>
      <c r="H475" s="6"/>
      <c r="I475" s="6"/>
      <c r="J475" s="6"/>
      <c r="K475" s="7"/>
      <c r="L475" s="49"/>
      <c r="M475" s="2"/>
      <c r="N475" s="8" t="str">
        <f t="shared" si="28"/>
        <v/>
      </c>
      <c r="O475" s="9" t="str">
        <f t="shared" si="29"/>
        <v/>
      </c>
      <c r="P475" s="10" t="str">
        <f t="shared" si="30"/>
        <v/>
      </c>
      <c r="Q475" s="10" t="str">
        <f t="shared" si="31"/>
        <v/>
      </c>
    </row>
    <row r="476" spans="1:17" x14ac:dyDescent="0.3">
      <c r="A476" s="2"/>
      <c r="B476" s="2"/>
      <c r="C476" s="2"/>
      <c r="D476" s="3"/>
      <c r="E476" s="4"/>
      <c r="F476" s="4"/>
      <c r="G476" s="5"/>
      <c r="H476" s="6"/>
      <c r="I476" s="6"/>
      <c r="J476" s="6"/>
      <c r="K476" s="7"/>
      <c r="L476" s="49"/>
      <c r="M476" s="2"/>
      <c r="N476" s="8" t="str">
        <f t="shared" si="28"/>
        <v/>
      </c>
      <c r="O476" s="9" t="str">
        <f t="shared" si="29"/>
        <v/>
      </c>
      <c r="P476" s="10" t="str">
        <f t="shared" si="30"/>
        <v/>
      </c>
      <c r="Q476" s="10" t="str">
        <f t="shared" si="31"/>
        <v/>
      </c>
    </row>
    <row r="477" spans="1:17" x14ac:dyDescent="0.3">
      <c r="A477" s="2"/>
      <c r="B477" s="2"/>
      <c r="C477" s="2"/>
      <c r="D477" s="3"/>
      <c r="E477" s="4"/>
      <c r="F477" s="4"/>
      <c r="G477" s="5"/>
      <c r="H477" s="6"/>
      <c r="I477" s="6"/>
      <c r="J477" s="6"/>
      <c r="K477" s="7"/>
      <c r="L477" s="49"/>
      <c r="M477" s="2"/>
      <c r="N477" s="8" t="str">
        <f t="shared" si="28"/>
        <v/>
      </c>
      <c r="O477" s="9" t="str">
        <f t="shared" si="29"/>
        <v/>
      </c>
      <c r="P477" s="10" t="str">
        <f t="shared" si="30"/>
        <v/>
      </c>
      <c r="Q477" s="10" t="str">
        <f t="shared" si="31"/>
        <v/>
      </c>
    </row>
    <row r="478" spans="1:17" x14ac:dyDescent="0.3">
      <c r="A478" s="2"/>
      <c r="B478" s="2"/>
      <c r="C478" s="2"/>
      <c r="D478" s="3"/>
      <c r="E478" s="4"/>
      <c r="F478" s="4"/>
      <c r="G478" s="5"/>
      <c r="H478" s="6"/>
      <c r="I478" s="6"/>
      <c r="J478" s="6"/>
      <c r="K478" s="7"/>
      <c r="L478" s="49"/>
      <c r="M478" s="2"/>
      <c r="N478" s="8" t="str">
        <f t="shared" si="28"/>
        <v/>
      </c>
      <c r="O478" s="9" t="str">
        <f t="shared" si="29"/>
        <v/>
      </c>
      <c r="P478" s="10" t="str">
        <f t="shared" si="30"/>
        <v/>
      </c>
      <c r="Q478" s="10" t="str">
        <f t="shared" si="31"/>
        <v/>
      </c>
    </row>
    <row r="479" spans="1:17" x14ac:dyDescent="0.3">
      <c r="A479" s="2"/>
      <c r="B479" s="2"/>
      <c r="C479" s="2"/>
      <c r="D479" s="3"/>
      <c r="E479" s="4"/>
      <c r="F479" s="4"/>
      <c r="G479" s="5"/>
      <c r="H479" s="6"/>
      <c r="I479" s="6"/>
      <c r="J479" s="6"/>
      <c r="K479" s="7"/>
      <c r="L479" s="49"/>
      <c r="M479" s="2"/>
      <c r="N479" s="8" t="str">
        <f t="shared" si="28"/>
        <v/>
      </c>
      <c r="O479" s="9" t="str">
        <f t="shared" si="29"/>
        <v/>
      </c>
      <c r="P479" s="10" t="str">
        <f t="shared" si="30"/>
        <v/>
      </c>
      <c r="Q479" s="10" t="str">
        <f t="shared" si="31"/>
        <v/>
      </c>
    </row>
    <row r="480" spans="1:17" x14ac:dyDescent="0.3">
      <c r="A480" s="2"/>
      <c r="B480" s="2"/>
      <c r="C480" s="2"/>
      <c r="D480" s="3"/>
      <c r="E480" s="4"/>
      <c r="F480" s="4"/>
      <c r="G480" s="5"/>
      <c r="H480" s="6"/>
      <c r="I480" s="6"/>
      <c r="J480" s="6"/>
      <c r="K480" s="7"/>
      <c r="L480" s="49"/>
      <c r="M480" s="2"/>
      <c r="N480" s="8" t="str">
        <f t="shared" si="28"/>
        <v/>
      </c>
      <c r="O480" s="9" t="str">
        <f t="shared" si="29"/>
        <v/>
      </c>
      <c r="P480" s="10" t="str">
        <f t="shared" si="30"/>
        <v/>
      </c>
      <c r="Q480" s="10" t="str">
        <f t="shared" si="31"/>
        <v/>
      </c>
    </row>
    <row r="481" spans="1:17" x14ac:dyDescent="0.3">
      <c r="A481" s="2"/>
      <c r="B481" s="2"/>
      <c r="C481" s="2"/>
      <c r="D481" s="3"/>
      <c r="E481" s="4"/>
      <c r="F481" s="4"/>
      <c r="G481" s="5"/>
      <c r="H481" s="6"/>
      <c r="I481" s="6"/>
      <c r="J481" s="6"/>
      <c r="K481" s="7"/>
      <c r="L481" s="49"/>
      <c r="M481" s="2"/>
      <c r="N481" s="8" t="str">
        <f t="shared" si="28"/>
        <v/>
      </c>
      <c r="O481" s="9" t="str">
        <f t="shared" si="29"/>
        <v/>
      </c>
      <c r="P481" s="10" t="str">
        <f t="shared" si="30"/>
        <v/>
      </c>
      <c r="Q481" s="10" t="str">
        <f t="shared" si="31"/>
        <v/>
      </c>
    </row>
    <row r="482" spans="1:17" x14ac:dyDescent="0.3">
      <c r="A482" s="2"/>
      <c r="B482" s="2"/>
      <c r="C482" s="2"/>
      <c r="D482" s="3"/>
      <c r="E482" s="4"/>
      <c r="F482" s="4"/>
      <c r="G482" s="5"/>
      <c r="H482" s="6"/>
      <c r="I482" s="6"/>
      <c r="J482" s="6"/>
      <c r="K482" s="7"/>
      <c r="L482" s="49"/>
      <c r="M482" s="2"/>
      <c r="N482" s="8" t="str">
        <f t="shared" si="28"/>
        <v/>
      </c>
      <c r="O482" s="9" t="str">
        <f t="shared" si="29"/>
        <v/>
      </c>
      <c r="P482" s="10" t="str">
        <f t="shared" si="30"/>
        <v/>
      </c>
      <c r="Q482" s="10" t="str">
        <f t="shared" si="31"/>
        <v/>
      </c>
    </row>
    <row r="483" spans="1:17" x14ac:dyDescent="0.3">
      <c r="A483" s="2"/>
      <c r="B483" s="2"/>
      <c r="C483" s="2"/>
      <c r="D483" s="3"/>
      <c r="E483" s="4"/>
      <c r="F483" s="4"/>
      <c r="G483" s="5"/>
      <c r="H483" s="6"/>
      <c r="I483" s="6"/>
      <c r="J483" s="6"/>
      <c r="K483" s="7"/>
      <c r="L483" s="49"/>
      <c r="M483" s="2"/>
      <c r="N483" s="8" t="str">
        <f t="shared" si="28"/>
        <v/>
      </c>
      <c r="O483" s="9" t="str">
        <f t="shared" si="29"/>
        <v/>
      </c>
      <c r="P483" s="10" t="str">
        <f t="shared" si="30"/>
        <v/>
      </c>
      <c r="Q483" s="10" t="str">
        <f t="shared" si="31"/>
        <v/>
      </c>
    </row>
    <row r="484" spans="1:17" x14ac:dyDescent="0.3">
      <c r="A484" s="2"/>
      <c r="B484" s="2"/>
      <c r="C484" s="2"/>
      <c r="D484" s="3"/>
      <c r="E484" s="4"/>
      <c r="F484" s="4"/>
      <c r="G484" s="5"/>
      <c r="H484" s="6"/>
      <c r="I484" s="6"/>
      <c r="J484" s="6"/>
      <c r="K484" s="7"/>
      <c r="L484" s="49"/>
      <c r="M484" s="2"/>
      <c r="N484" s="8" t="str">
        <f t="shared" si="28"/>
        <v/>
      </c>
      <c r="O484" s="9" t="str">
        <f t="shared" si="29"/>
        <v/>
      </c>
      <c r="P484" s="10" t="str">
        <f t="shared" si="30"/>
        <v/>
      </c>
      <c r="Q484" s="10" t="str">
        <f t="shared" si="31"/>
        <v/>
      </c>
    </row>
    <row r="485" spans="1:17" x14ac:dyDescent="0.3">
      <c r="A485" s="2"/>
      <c r="B485" s="2"/>
      <c r="C485" s="2"/>
      <c r="D485" s="3"/>
      <c r="E485" s="4"/>
      <c r="F485" s="4"/>
      <c r="G485" s="5"/>
      <c r="H485" s="6"/>
      <c r="I485" s="6"/>
      <c r="J485" s="6"/>
      <c r="K485" s="7"/>
      <c r="L485" s="49"/>
      <c r="M485" s="2"/>
      <c r="N485" s="8" t="str">
        <f t="shared" si="28"/>
        <v/>
      </c>
      <c r="O485" s="9" t="str">
        <f t="shared" si="29"/>
        <v/>
      </c>
      <c r="P485" s="10" t="str">
        <f t="shared" si="30"/>
        <v/>
      </c>
      <c r="Q485" s="10" t="str">
        <f t="shared" si="31"/>
        <v/>
      </c>
    </row>
    <row r="486" spans="1:17" x14ac:dyDescent="0.3">
      <c r="A486" s="2"/>
      <c r="B486" s="2"/>
      <c r="C486" s="2"/>
      <c r="D486" s="3"/>
      <c r="E486" s="4"/>
      <c r="F486" s="4"/>
      <c r="G486" s="5"/>
      <c r="H486" s="6"/>
      <c r="I486" s="6"/>
      <c r="J486" s="6"/>
      <c r="K486" s="7"/>
      <c r="L486" s="49"/>
      <c r="M486" s="2"/>
      <c r="N486" s="8" t="str">
        <f t="shared" si="28"/>
        <v/>
      </c>
      <c r="O486" s="9" t="str">
        <f t="shared" si="29"/>
        <v/>
      </c>
      <c r="P486" s="10" t="str">
        <f t="shared" si="30"/>
        <v/>
      </c>
      <c r="Q486" s="10" t="str">
        <f t="shared" si="31"/>
        <v/>
      </c>
    </row>
    <row r="487" spans="1:17" x14ac:dyDescent="0.3">
      <c r="A487" s="2"/>
      <c r="B487" s="2"/>
      <c r="C487" s="2"/>
      <c r="D487" s="3"/>
      <c r="E487" s="4"/>
      <c r="F487" s="4"/>
      <c r="G487" s="5"/>
      <c r="H487" s="6"/>
      <c r="I487" s="6"/>
      <c r="J487" s="6"/>
      <c r="K487" s="7"/>
      <c r="L487" s="49"/>
      <c r="M487" s="2"/>
      <c r="N487" s="8" t="str">
        <f t="shared" si="28"/>
        <v/>
      </c>
      <c r="O487" s="9" t="str">
        <f t="shared" si="29"/>
        <v/>
      </c>
      <c r="P487" s="10" t="str">
        <f t="shared" si="30"/>
        <v/>
      </c>
      <c r="Q487" s="10" t="str">
        <f t="shared" si="31"/>
        <v/>
      </c>
    </row>
    <row r="488" spans="1:17" x14ac:dyDescent="0.3">
      <c r="A488" s="2"/>
      <c r="B488" s="2"/>
      <c r="C488" s="2"/>
      <c r="D488" s="3"/>
      <c r="E488" s="4"/>
      <c r="F488" s="4"/>
      <c r="G488" s="5"/>
      <c r="H488" s="6"/>
      <c r="I488" s="6"/>
      <c r="J488" s="6"/>
      <c r="K488" s="7"/>
      <c r="L488" s="49"/>
      <c r="M488" s="2"/>
      <c r="N488" s="8" t="str">
        <f t="shared" si="28"/>
        <v/>
      </c>
      <c r="O488" s="9" t="str">
        <f t="shared" si="29"/>
        <v/>
      </c>
      <c r="P488" s="10" t="str">
        <f t="shared" si="30"/>
        <v/>
      </c>
      <c r="Q488" s="10" t="str">
        <f t="shared" si="31"/>
        <v/>
      </c>
    </row>
    <row r="489" spans="1:17" x14ac:dyDescent="0.3">
      <c r="A489" s="2"/>
      <c r="B489" s="2"/>
      <c r="C489" s="2"/>
      <c r="D489" s="3"/>
      <c r="E489" s="4"/>
      <c r="F489" s="4"/>
      <c r="G489" s="5"/>
      <c r="H489" s="6"/>
      <c r="I489" s="6"/>
      <c r="J489" s="6"/>
      <c r="K489" s="7"/>
      <c r="L489" s="49"/>
      <c r="M489" s="2"/>
      <c r="N489" s="8" t="str">
        <f t="shared" si="28"/>
        <v/>
      </c>
      <c r="O489" s="9" t="str">
        <f t="shared" si="29"/>
        <v/>
      </c>
      <c r="P489" s="10" t="str">
        <f t="shared" si="30"/>
        <v/>
      </c>
      <c r="Q489" s="10" t="str">
        <f t="shared" si="31"/>
        <v/>
      </c>
    </row>
    <row r="490" spans="1:17" x14ac:dyDescent="0.3">
      <c r="A490" s="2"/>
      <c r="B490" s="2"/>
      <c r="C490" s="2"/>
      <c r="D490" s="3"/>
      <c r="E490" s="4"/>
      <c r="F490" s="4"/>
      <c r="G490" s="5"/>
      <c r="H490" s="6"/>
      <c r="I490" s="6"/>
      <c r="J490" s="6"/>
      <c r="K490" s="7"/>
      <c r="L490" s="49"/>
      <c r="M490" s="2"/>
      <c r="N490" s="8" t="str">
        <f t="shared" si="28"/>
        <v/>
      </c>
      <c r="O490" s="9" t="str">
        <f t="shared" si="29"/>
        <v/>
      </c>
      <c r="P490" s="10" t="str">
        <f t="shared" si="30"/>
        <v/>
      </c>
      <c r="Q490" s="10" t="str">
        <f t="shared" si="31"/>
        <v/>
      </c>
    </row>
    <row r="491" spans="1:17" x14ac:dyDescent="0.3">
      <c r="A491" s="2"/>
      <c r="B491" s="2"/>
      <c r="C491" s="2"/>
      <c r="D491" s="3"/>
      <c r="E491" s="4"/>
      <c r="F491" s="4"/>
      <c r="G491" s="5"/>
      <c r="H491" s="6"/>
      <c r="I491" s="6"/>
      <c r="J491" s="6"/>
      <c r="K491" s="7"/>
      <c r="L491" s="49"/>
      <c r="M491" s="2"/>
      <c r="N491" s="8" t="str">
        <f t="shared" si="28"/>
        <v/>
      </c>
      <c r="O491" s="9" t="str">
        <f t="shared" si="29"/>
        <v/>
      </c>
      <c r="P491" s="10" t="str">
        <f t="shared" si="30"/>
        <v/>
      </c>
      <c r="Q491" s="10" t="str">
        <f t="shared" si="31"/>
        <v/>
      </c>
    </row>
    <row r="492" spans="1:17" x14ac:dyDescent="0.3">
      <c r="A492" s="2"/>
      <c r="B492" s="2"/>
      <c r="C492" s="2"/>
      <c r="D492" s="3"/>
      <c r="E492" s="4"/>
      <c r="F492" s="4"/>
      <c r="G492" s="5"/>
      <c r="H492" s="6"/>
      <c r="I492" s="6"/>
      <c r="J492" s="6"/>
      <c r="K492" s="7"/>
      <c r="L492" s="49"/>
      <c r="M492" s="2"/>
      <c r="N492" s="8" t="str">
        <f t="shared" si="28"/>
        <v/>
      </c>
      <c r="O492" s="9" t="str">
        <f t="shared" si="29"/>
        <v/>
      </c>
      <c r="P492" s="10" t="str">
        <f t="shared" si="30"/>
        <v/>
      </c>
      <c r="Q492" s="10" t="str">
        <f t="shared" si="31"/>
        <v/>
      </c>
    </row>
    <row r="493" spans="1:17" x14ac:dyDescent="0.3">
      <c r="A493" s="2"/>
      <c r="B493" s="2"/>
      <c r="C493" s="2"/>
      <c r="D493" s="3"/>
      <c r="E493" s="4"/>
      <c r="F493" s="4"/>
      <c r="G493" s="5"/>
      <c r="H493" s="6"/>
      <c r="I493" s="6"/>
      <c r="J493" s="6"/>
      <c r="K493" s="7"/>
      <c r="L493" s="49"/>
      <c r="M493" s="2"/>
      <c r="N493" s="8" t="str">
        <f t="shared" si="28"/>
        <v/>
      </c>
      <c r="O493" s="9" t="str">
        <f t="shared" si="29"/>
        <v/>
      </c>
      <c r="P493" s="10" t="str">
        <f t="shared" si="30"/>
        <v/>
      </c>
      <c r="Q493" s="10" t="str">
        <f t="shared" si="31"/>
        <v/>
      </c>
    </row>
    <row r="494" spans="1:17" x14ac:dyDescent="0.3">
      <c r="A494" s="2"/>
      <c r="B494" s="2"/>
      <c r="C494" s="2"/>
      <c r="D494" s="3"/>
      <c r="E494" s="4"/>
      <c r="F494" s="4"/>
      <c r="G494" s="5"/>
      <c r="H494" s="6"/>
      <c r="I494" s="6"/>
      <c r="J494" s="6"/>
      <c r="K494" s="7"/>
      <c r="L494" s="49"/>
      <c r="M494" s="2"/>
      <c r="N494" s="8" t="str">
        <f t="shared" si="28"/>
        <v/>
      </c>
      <c r="O494" s="9" t="str">
        <f t="shared" si="29"/>
        <v/>
      </c>
      <c r="P494" s="10" t="str">
        <f t="shared" si="30"/>
        <v/>
      </c>
      <c r="Q494" s="10" t="str">
        <f t="shared" si="31"/>
        <v/>
      </c>
    </row>
    <row r="495" spans="1:17" x14ac:dyDescent="0.3">
      <c r="A495" s="2"/>
      <c r="B495" s="2"/>
      <c r="C495" s="2"/>
      <c r="D495" s="3"/>
      <c r="E495" s="4"/>
      <c r="F495" s="4"/>
      <c r="G495" s="5"/>
      <c r="H495" s="6"/>
      <c r="I495" s="6"/>
      <c r="J495" s="6"/>
      <c r="K495" s="7"/>
      <c r="L495" s="49"/>
      <c r="M495" s="2"/>
      <c r="N495" s="8" t="str">
        <f t="shared" si="28"/>
        <v/>
      </c>
      <c r="O495" s="9" t="str">
        <f t="shared" si="29"/>
        <v/>
      </c>
      <c r="P495" s="10" t="str">
        <f t="shared" si="30"/>
        <v/>
      </c>
      <c r="Q495" s="10" t="str">
        <f t="shared" si="31"/>
        <v/>
      </c>
    </row>
    <row r="496" spans="1:17" x14ac:dyDescent="0.3">
      <c r="A496" s="2"/>
      <c r="B496" s="2"/>
      <c r="C496" s="2"/>
      <c r="D496" s="3"/>
      <c r="E496" s="4"/>
      <c r="F496" s="4"/>
      <c r="G496" s="5"/>
      <c r="H496" s="6"/>
      <c r="I496" s="6"/>
      <c r="J496" s="6"/>
      <c r="K496" s="7"/>
      <c r="L496" s="49"/>
      <c r="M496" s="2"/>
      <c r="N496" s="8" t="str">
        <f t="shared" si="28"/>
        <v/>
      </c>
      <c r="O496" s="9" t="str">
        <f t="shared" si="29"/>
        <v/>
      </c>
      <c r="P496" s="10" t="str">
        <f t="shared" si="30"/>
        <v/>
      </c>
      <c r="Q496" s="10" t="str">
        <f t="shared" si="31"/>
        <v/>
      </c>
    </row>
    <row r="497" spans="1:17" x14ac:dyDescent="0.3">
      <c r="A497" s="2"/>
      <c r="B497" s="2"/>
      <c r="C497" s="2"/>
      <c r="D497" s="3"/>
      <c r="E497" s="4"/>
      <c r="F497" s="4"/>
      <c r="G497" s="5"/>
      <c r="H497" s="6"/>
      <c r="I497" s="6"/>
      <c r="J497" s="6"/>
      <c r="K497" s="7"/>
      <c r="L497" s="49"/>
      <c r="M497" s="2"/>
      <c r="N497" s="8" t="str">
        <f t="shared" si="28"/>
        <v/>
      </c>
      <c r="O497" s="9" t="str">
        <f t="shared" si="29"/>
        <v/>
      </c>
      <c r="P497" s="10" t="str">
        <f t="shared" si="30"/>
        <v/>
      </c>
      <c r="Q497" s="10" t="str">
        <f t="shared" si="31"/>
        <v/>
      </c>
    </row>
    <row r="498" spans="1:17" x14ac:dyDescent="0.3">
      <c r="A498" s="2"/>
      <c r="B498" s="2"/>
      <c r="C498" s="2"/>
      <c r="D498" s="3"/>
      <c r="E498" s="4"/>
      <c r="F498" s="4"/>
      <c r="G498" s="5"/>
      <c r="H498" s="6"/>
      <c r="I498" s="6"/>
      <c r="J498" s="6"/>
      <c r="K498" s="7"/>
      <c r="L498" s="49"/>
      <c r="M498" s="2"/>
      <c r="N498" s="8" t="str">
        <f t="shared" si="28"/>
        <v/>
      </c>
      <c r="O498" s="9" t="str">
        <f t="shared" si="29"/>
        <v/>
      </c>
      <c r="P498" s="10" t="str">
        <f t="shared" si="30"/>
        <v/>
      </c>
      <c r="Q498" s="10" t="str">
        <f t="shared" si="31"/>
        <v/>
      </c>
    </row>
    <row r="499" spans="1:17" x14ac:dyDescent="0.3">
      <c r="A499" s="2"/>
      <c r="B499" s="2"/>
      <c r="C499" s="2"/>
      <c r="D499" s="3"/>
      <c r="E499" s="4"/>
      <c r="F499" s="4"/>
      <c r="G499" s="5"/>
      <c r="H499" s="6"/>
      <c r="I499" s="6"/>
      <c r="J499" s="6"/>
      <c r="K499" s="7"/>
      <c r="L499" s="49"/>
      <c r="M499" s="2"/>
      <c r="N499" s="8" t="str">
        <f t="shared" si="28"/>
        <v/>
      </c>
      <c r="O499" s="9" t="str">
        <f t="shared" si="29"/>
        <v/>
      </c>
      <c r="P499" s="10" t="str">
        <f t="shared" si="30"/>
        <v/>
      </c>
      <c r="Q499" s="10" t="str">
        <f t="shared" si="31"/>
        <v/>
      </c>
    </row>
    <row r="500" spans="1:17" x14ac:dyDescent="0.3">
      <c r="A500" s="2"/>
      <c r="B500" s="2"/>
      <c r="C500" s="2"/>
      <c r="D500" s="3"/>
      <c r="E500" s="4"/>
      <c r="F500" s="4"/>
      <c r="G500" s="5"/>
      <c r="H500" s="6"/>
      <c r="I500" s="6"/>
      <c r="J500" s="6"/>
      <c r="K500" s="7"/>
      <c r="L500" s="49"/>
      <c r="M500" s="2"/>
      <c r="N500" s="8" t="str">
        <f t="shared" si="28"/>
        <v/>
      </c>
      <c r="O500" s="9" t="str">
        <f t="shared" si="29"/>
        <v/>
      </c>
      <c r="P500" s="10" t="str">
        <f t="shared" si="30"/>
        <v/>
      </c>
      <c r="Q500" s="10" t="str">
        <f t="shared" si="31"/>
        <v/>
      </c>
    </row>
    <row r="501" spans="1:17" x14ac:dyDescent="0.3">
      <c r="A501" s="2"/>
      <c r="B501" s="2"/>
      <c r="C501" s="2"/>
      <c r="D501" s="3"/>
      <c r="E501" s="4"/>
      <c r="F501" s="4"/>
      <c r="G501" s="5"/>
      <c r="H501" s="6"/>
      <c r="I501" s="6"/>
      <c r="J501" s="6"/>
      <c r="K501" s="7"/>
      <c r="L501" s="49"/>
      <c r="M501" s="2"/>
      <c r="N501" s="8" t="str">
        <f t="shared" si="28"/>
        <v/>
      </c>
      <c r="O501" s="9" t="str">
        <f t="shared" si="29"/>
        <v/>
      </c>
      <c r="P501" s="10" t="str">
        <f t="shared" si="30"/>
        <v/>
      </c>
      <c r="Q501" s="10" t="str">
        <f t="shared" si="31"/>
        <v/>
      </c>
    </row>
    <row r="502" spans="1:17" x14ac:dyDescent="0.3">
      <c r="A502" s="2"/>
      <c r="B502" s="2"/>
      <c r="C502" s="2"/>
      <c r="D502" s="3"/>
      <c r="E502" s="4"/>
      <c r="F502" s="4"/>
      <c r="G502" s="5"/>
      <c r="H502" s="6"/>
      <c r="I502" s="6"/>
      <c r="J502" s="6"/>
      <c r="K502" s="7"/>
      <c r="L502" s="49"/>
      <c r="M502" s="2"/>
      <c r="N502" s="8" t="str">
        <f t="shared" si="28"/>
        <v/>
      </c>
      <c r="O502" s="9" t="str">
        <f t="shared" si="29"/>
        <v/>
      </c>
      <c r="P502" s="10" t="str">
        <f t="shared" si="30"/>
        <v/>
      </c>
      <c r="Q502" s="10" t="str">
        <f t="shared" si="31"/>
        <v/>
      </c>
    </row>
    <row r="503" spans="1:17" x14ac:dyDescent="0.3">
      <c r="A503" s="2"/>
      <c r="B503" s="2"/>
      <c r="C503" s="2"/>
      <c r="D503" s="3"/>
      <c r="E503" s="4"/>
      <c r="F503" s="4"/>
      <c r="G503" s="5"/>
      <c r="H503" s="6"/>
      <c r="I503" s="6"/>
      <c r="J503" s="6"/>
      <c r="K503" s="7"/>
      <c r="L503" s="49"/>
      <c r="M503" s="2"/>
      <c r="N503" s="8" t="str">
        <f t="shared" si="28"/>
        <v/>
      </c>
      <c r="O503" s="9" t="str">
        <f t="shared" si="29"/>
        <v/>
      </c>
      <c r="P503" s="10" t="str">
        <f t="shared" si="30"/>
        <v/>
      </c>
      <c r="Q503" s="10" t="str">
        <f t="shared" si="31"/>
        <v/>
      </c>
    </row>
    <row r="504" spans="1:17" x14ac:dyDescent="0.3">
      <c r="A504" s="2"/>
      <c r="B504" s="2"/>
      <c r="C504" s="2"/>
      <c r="D504" s="3"/>
      <c r="E504" s="4"/>
      <c r="F504" s="4"/>
      <c r="G504" s="5"/>
      <c r="H504" s="6"/>
      <c r="I504" s="6"/>
      <c r="J504" s="6"/>
      <c r="K504" s="7"/>
      <c r="L504" s="49"/>
      <c r="M504" s="2"/>
      <c r="N504" s="8" t="str">
        <f t="shared" si="28"/>
        <v/>
      </c>
      <c r="O504" s="9" t="str">
        <f t="shared" si="29"/>
        <v/>
      </c>
      <c r="P504" s="10" t="str">
        <f t="shared" si="30"/>
        <v/>
      </c>
      <c r="Q504" s="10" t="str">
        <f t="shared" si="31"/>
        <v/>
      </c>
    </row>
    <row r="505" spans="1:17" x14ac:dyDescent="0.3">
      <c r="A505" s="2"/>
      <c r="B505" s="2"/>
      <c r="C505" s="2"/>
      <c r="D505" s="3"/>
      <c r="E505" s="4"/>
      <c r="F505" s="4"/>
      <c r="G505" s="5"/>
      <c r="H505" s="6"/>
      <c r="I505" s="6"/>
      <c r="J505" s="6"/>
      <c r="K505" s="7"/>
      <c r="L505" s="49"/>
      <c r="M505" s="2"/>
      <c r="N505" s="8" t="str">
        <f t="shared" si="28"/>
        <v/>
      </c>
      <c r="O505" s="9" t="str">
        <f t="shared" si="29"/>
        <v/>
      </c>
      <c r="P505" s="10" t="str">
        <f t="shared" si="30"/>
        <v/>
      </c>
      <c r="Q505" s="10" t="str">
        <f t="shared" si="31"/>
        <v/>
      </c>
    </row>
    <row r="506" spans="1:17" x14ac:dyDescent="0.3">
      <c r="A506" s="2"/>
      <c r="B506" s="2"/>
      <c r="C506" s="2"/>
      <c r="D506" s="3"/>
      <c r="E506" s="4"/>
      <c r="F506" s="4"/>
      <c r="G506" s="5"/>
      <c r="H506" s="6"/>
      <c r="I506" s="6"/>
      <c r="J506" s="6"/>
      <c r="K506" s="7"/>
      <c r="L506" s="49"/>
      <c r="M506" s="2"/>
      <c r="N506" s="8" t="str">
        <f t="shared" si="28"/>
        <v/>
      </c>
      <c r="O506" s="9" t="str">
        <f t="shared" si="29"/>
        <v/>
      </c>
      <c r="P506" s="10" t="str">
        <f t="shared" si="30"/>
        <v/>
      </c>
      <c r="Q506" s="10" t="str">
        <f t="shared" si="31"/>
        <v/>
      </c>
    </row>
  </sheetData>
  <mergeCells count="4">
    <mergeCell ref="A1:Q1"/>
    <mergeCell ref="A3:Q3"/>
    <mergeCell ref="A5:M5"/>
    <mergeCell ref="N5:Q5"/>
  </mergeCells>
  <pageMargins left="0.75" right="0.75" top="1" bottom="1" header="0.511811023622047" footer="0.511811023622047"/>
  <pageSetup fitToHeight="0" orientation="landscape" horizontalDpi="300" verticalDpi="300"/>
  <legacyDrawing r:id="rId1"/>
  <extLst>
    <ext xmlns:x14="http://schemas.microsoft.com/office/spreadsheetml/2009/9/main" uri="{CCE6A557-97BC-4b89-ADB6-D9C93CAAB3DF}">
      <x14:dataValidations xmlns:xm="http://schemas.microsoft.com/office/excel/2006/main" count="1">
        <x14:dataValidation type="list" errorStyle="warning" allowBlank="1" error="ID inexistent - creeaza mai intai comanda in foaia 'Comenzi'" xr:uid="{00000000-0002-0000-0000-000000000000}">
          <x14:formula1>
            <xm:f>Comenzi!$A$9:$A$108</xm:f>
          </x14:formula1>
          <x14:formula2>
            <xm:f>0</xm:f>
          </x14:formula2>
          <xm:sqref>A7:A506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T108"/>
  <sheetViews>
    <sheetView showGridLines="0" zoomScaleNormal="100" workbookViewId="0">
      <pane xSplit="1" ySplit="8" topLeftCell="B9" activePane="bottomRight" state="frozen"/>
      <selection pane="topRight" activeCell="B1" sqref="B1"/>
      <selection pane="bottomLeft" activeCell="A9" sqref="A9"/>
      <selection pane="bottomRight" activeCell="F3" sqref="F3:W5"/>
    </sheetView>
  </sheetViews>
  <sheetFormatPr defaultColWidth="8.6640625" defaultRowHeight="14.4" x14ac:dyDescent="0.3"/>
  <cols>
    <col min="1" max="1" width="11" customWidth="1"/>
    <col min="2" max="2" width="12" customWidth="1"/>
    <col min="3" max="3" width="26" customWidth="1"/>
    <col min="4" max="4" width="16" customWidth="1"/>
    <col min="5" max="5" width="10" customWidth="1"/>
    <col min="6" max="6" width="14" customWidth="1"/>
    <col min="7" max="7" width="10" customWidth="1"/>
    <col min="8" max="9" width="13" customWidth="1"/>
    <col min="10" max="10" width="10" customWidth="1"/>
    <col min="11" max="11" width="11" customWidth="1"/>
    <col min="12" max="12" width="14" customWidth="1"/>
    <col min="13" max="13" width="11" customWidth="1"/>
    <col min="14" max="14" width="12" customWidth="1"/>
    <col min="15" max="15" width="15" customWidth="1"/>
    <col min="16" max="16" width="12" customWidth="1"/>
    <col min="17" max="17" width="13" customWidth="1"/>
    <col min="18" max="18" width="9" customWidth="1"/>
    <col min="19" max="19" width="13" customWidth="1"/>
    <col min="20" max="20" width="15" customWidth="1"/>
    <col min="21" max="21" width="11" customWidth="1"/>
    <col min="22" max="22" width="9" customWidth="1"/>
    <col min="23" max="23" width="17" customWidth="1"/>
    <col min="24" max="24" width="9" customWidth="1"/>
    <col min="25" max="25" width="11" customWidth="1"/>
    <col min="26" max="26" width="12" customWidth="1"/>
    <col min="27" max="27" width="11" customWidth="1"/>
    <col min="28" max="28" width="14" style="57" customWidth="1"/>
    <col min="29" max="29" width="15" style="50" customWidth="1"/>
    <col min="30" max="30" width="12" customWidth="1"/>
    <col min="31" max="31" width="13" customWidth="1"/>
    <col min="32" max="32" width="14" customWidth="1"/>
    <col min="33" max="33" width="15" customWidth="1"/>
    <col min="34" max="35" width="12" customWidth="1"/>
    <col min="36" max="39" width="15" customWidth="1"/>
    <col min="40" max="40" width="12" customWidth="1"/>
    <col min="41" max="41" width="16" customWidth="1"/>
    <col min="42" max="42" width="15" customWidth="1"/>
    <col min="43" max="43" width="16" customWidth="1"/>
    <col min="44" max="45" width="15" customWidth="1"/>
    <col min="46" max="46" width="48" customWidth="1"/>
  </cols>
  <sheetData>
    <row r="1" spans="1:46" ht="27.75" customHeight="1" x14ac:dyDescent="0.3">
      <c r="A1" s="61" t="s">
        <v>33</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row>
    <row r="2" spans="1:46" x14ac:dyDescent="0.3">
      <c r="AB2"/>
      <c r="AC2"/>
    </row>
    <row r="3" spans="1:46" ht="69.75" customHeight="1" x14ac:dyDescent="0.3">
      <c r="A3" s="58" t="s">
        <v>34</v>
      </c>
      <c r="B3" s="58"/>
      <c r="C3" s="58"/>
      <c r="D3" s="11">
        <v>0.21</v>
      </c>
      <c r="F3" s="62" t="s">
        <v>35</v>
      </c>
      <c r="G3" s="62"/>
      <c r="H3" s="62"/>
      <c r="I3" s="62"/>
      <c r="J3" s="62"/>
      <c r="K3" s="62"/>
      <c r="L3" s="62"/>
      <c r="M3" s="62"/>
      <c r="N3" s="62"/>
      <c r="O3" s="62"/>
      <c r="P3" s="62"/>
      <c r="Q3" s="62"/>
      <c r="R3" s="62"/>
      <c r="S3" s="62"/>
      <c r="T3" s="62"/>
      <c r="U3" s="62"/>
      <c r="V3" s="62"/>
      <c r="W3" s="62"/>
      <c r="AB3"/>
      <c r="AC3"/>
    </row>
    <row r="4" spans="1:46" ht="26.25" customHeight="1" x14ac:dyDescent="0.3">
      <c r="A4" s="58" t="s">
        <v>36</v>
      </c>
      <c r="B4" s="58"/>
      <c r="C4" s="58"/>
      <c r="D4" s="11">
        <v>0</v>
      </c>
      <c r="F4" s="62"/>
      <c r="G4" s="62"/>
      <c r="H4" s="62"/>
      <c r="I4" s="62"/>
      <c r="J4" s="62"/>
      <c r="K4" s="62"/>
      <c r="L4" s="62"/>
      <c r="M4" s="62"/>
      <c r="N4" s="62"/>
      <c r="O4" s="62"/>
      <c r="P4" s="62"/>
      <c r="Q4" s="62"/>
      <c r="R4" s="62"/>
      <c r="S4" s="62"/>
      <c r="T4" s="62"/>
      <c r="U4" s="62"/>
      <c r="V4" s="62"/>
      <c r="W4" s="62"/>
      <c r="AB4"/>
      <c r="AC4"/>
    </row>
    <row r="5" spans="1:46" ht="26.25" customHeight="1" x14ac:dyDescent="0.3">
      <c r="A5" s="58" t="s">
        <v>37</v>
      </c>
      <c r="B5" s="58"/>
      <c r="C5" s="58"/>
      <c r="D5" s="3">
        <v>6000</v>
      </c>
      <c r="F5" s="62"/>
      <c r="G5" s="62"/>
      <c r="H5" s="62"/>
      <c r="I5" s="62"/>
      <c r="J5" s="62"/>
      <c r="K5" s="62"/>
      <c r="L5" s="62"/>
      <c r="M5" s="62"/>
      <c r="N5" s="62"/>
      <c r="O5" s="62"/>
      <c r="P5" s="62"/>
      <c r="Q5" s="62"/>
      <c r="R5" s="62"/>
      <c r="S5" s="62"/>
      <c r="T5" s="62"/>
      <c r="U5" s="62"/>
      <c r="V5" s="62"/>
      <c r="W5" s="62"/>
      <c r="AB5"/>
      <c r="AC5"/>
    </row>
    <row r="6" spans="1:46" ht="26.25" customHeight="1" x14ac:dyDescent="0.3">
      <c r="A6" s="58" t="s">
        <v>38</v>
      </c>
      <c r="B6" s="58"/>
      <c r="C6" s="58"/>
      <c r="D6" s="12" t="s">
        <v>39</v>
      </c>
      <c r="AB6"/>
      <c r="AC6"/>
    </row>
    <row r="7" spans="1:46" ht="19.5" customHeight="1" x14ac:dyDescent="0.3">
      <c r="A7" s="59" t="s">
        <v>40</v>
      </c>
      <c r="B7" s="59"/>
      <c r="C7" s="59"/>
      <c r="D7" s="59"/>
      <c r="E7" s="59"/>
      <c r="F7" s="59"/>
      <c r="G7" s="59"/>
      <c r="H7" s="59"/>
      <c r="I7" s="59"/>
      <c r="J7" s="59"/>
      <c r="K7" s="59"/>
      <c r="L7" s="59"/>
      <c r="M7" s="59"/>
      <c r="N7" s="59"/>
      <c r="O7" s="59"/>
      <c r="P7" s="59"/>
      <c r="Q7" s="59"/>
      <c r="R7" s="59"/>
      <c r="S7" s="59"/>
      <c r="T7" s="59"/>
      <c r="U7" s="59"/>
      <c r="V7" s="59"/>
      <c r="W7" s="59"/>
      <c r="X7" s="60" t="s">
        <v>41</v>
      </c>
      <c r="Y7" s="60"/>
      <c r="Z7" s="60"/>
      <c r="AA7" s="60"/>
      <c r="AB7" s="60"/>
      <c r="AC7" s="60"/>
      <c r="AD7" s="60"/>
      <c r="AE7" s="60"/>
      <c r="AF7" s="60"/>
      <c r="AG7" s="60"/>
      <c r="AH7" s="60"/>
      <c r="AI7" s="60"/>
      <c r="AJ7" s="60"/>
      <c r="AK7" s="60"/>
      <c r="AL7" s="60"/>
      <c r="AM7" s="60"/>
      <c r="AN7" s="60"/>
      <c r="AO7" s="60"/>
      <c r="AP7" s="60"/>
      <c r="AQ7" s="60"/>
      <c r="AR7" s="60"/>
      <c r="AS7" s="60"/>
      <c r="AT7" s="60"/>
    </row>
    <row r="8" spans="1:46" ht="60" customHeight="1" x14ac:dyDescent="0.3">
      <c r="A8" s="1" t="s">
        <v>42</v>
      </c>
      <c r="B8" s="1" t="s">
        <v>43</v>
      </c>
      <c r="C8" s="1" t="s">
        <v>44</v>
      </c>
      <c r="D8" s="1" t="s">
        <v>45</v>
      </c>
      <c r="E8" s="1" t="s">
        <v>46</v>
      </c>
      <c r="F8" s="1" t="s">
        <v>47</v>
      </c>
      <c r="G8" s="1" t="s">
        <v>48</v>
      </c>
      <c r="H8" s="1" t="s">
        <v>49</v>
      </c>
      <c r="I8" s="1" t="s">
        <v>50</v>
      </c>
      <c r="J8" s="1" t="s">
        <v>51</v>
      </c>
      <c r="K8" s="1" t="s">
        <v>52</v>
      </c>
      <c r="L8" s="1" t="s">
        <v>53</v>
      </c>
      <c r="M8" s="1" t="s">
        <v>54</v>
      </c>
      <c r="N8" s="1" t="s">
        <v>55</v>
      </c>
      <c r="O8" s="1" t="s">
        <v>56</v>
      </c>
      <c r="P8" s="1" t="s">
        <v>57</v>
      </c>
      <c r="Q8" s="1" t="s">
        <v>58</v>
      </c>
      <c r="R8" s="1" t="s">
        <v>59</v>
      </c>
      <c r="S8" s="1" t="s">
        <v>60</v>
      </c>
      <c r="T8" s="1" t="s">
        <v>61</v>
      </c>
      <c r="U8" s="1" t="s">
        <v>62</v>
      </c>
      <c r="V8" s="1" t="s">
        <v>63</v>
      </c>
      <c r="W8" s="1" t="s">
        <v>64</v>
      </c>
      <c r="X8" s="1" t="s">
        <v>65</v>
      </c>
      <c r="Y8" s="1" t="s">
        <v>66</v>
      </c>
      <c r="Z8" s="1" t="s">
        <v>67</v>
      </c>
      <c r="AA8" s="1" t="s">
        <v>18</v>
      </c>
      <c r="AB8" s="51" t="s">
        <v>147</v>
      </c>
      <c r="AC8" s="1" t="s">
        <v>68</v>
      </c>
      <c r="AD8" s="1" t="s">
        <v>69</v>
      </c>
      <c r="AE8" s="1" t="s">
        <v>70</v>
      </c>
      <c r="AF8" s="51" t="s">
        <v>148</v>
      </c>
      <c r="AG8" s="1" t="s">
        <v>71</v>
      </c>
      <c r="AH8" s="1" t="s">
        <v>72</v>
      </c>
      <c r="AI8" s="1" t="s">
        <v>73</v>
      </c>
      <c r="AJ8" s="1" t="s">
        <v>74</v>
      </c>
      <c r="AK8" s="1" t="s">
        <v>75</v>
      </c>
      <c r="AL8" s="1" t="s">
        <v>76</v>
      </c>
      <c r="AM8" s="1" t="s">
        <v>77</v>
      </c>
      <c r="AN8" s="1" t="s">
        <v>78</v>
      </c>
      <c r="AO8" s="1" t="s">
        <v>79</v>
      </c>
      <c r="AP8" s="1" t="s">
        <v>80</v>
      </c>
      <c r="AQ8" s="1" t="s">
        <v>81</v>
      </c>
      <c r="AR8" s="1" t="s">
        <v>82</v>
      </c>
      <c r="AS8" s="1" t="s">
        <v>83</v>
      </c>
      <c r="AT8" s="1" t="s">
        <v>84</v>
      </c>
    </row>
    <row r="9" spans="1:46" ht="26.4" x14ac:dyDescent="0.3">
      <c r="A9" s="12" t="s">
        <v>19</v>
      </c>
      <c r="B9" s="13">
        <v>46260</v>
      </c>
      <c r="C9" s="2" t="s">
        <v>85</v>
      </c>
      <c r="D9" s="2" t="s">
        <v>86</v>
      </c>
      <c r="E9" s="2" t="s">
        <v>87</v>
      </c>
      <c r="F9" s="2" t="s">
        <v>88</v>
      </c>
      <c r="G9" s="12" t="s">
        <v>89</v>
      </c>
      <c r="H9" s="7">
        <v>4.7363999999999997</v>
      </c>
      <c r="I9" s="7">
        <v>5.3343999999999996</v>
      </c>
      <c r="J9" s="12" t="s">
        <v>89</v>
      </c>
      <c r="K9" s="12" t="s">
        <v>90</v>
      </c>
      <c r="L9" s="4">
        <v>68.08</v>
      </c>
      <c r="M9" s="4"/>
      <c r="N9" s="12" t="s">
        <v>39</v>
      </c>
      <c r="O9" s="4">
        <v>0</v>
      </c>
      <c r="P9" s="5">
        <v>6</v>
      </c>
      <c r="Q9" s="14">
        <v>0</v>
      </c>
      <c r="R9" s="5">
        <v>1</v>
      </c>
      <c r="S9" s="14">
        <v>0</v>
      </c>
      <c r="T9" s="4">
        <v>0</v>
      </c>
      <c r="U9" s="11"/>
      <c r="V9" s="11"/>
      <c r="W9" s="12" t="s">
        <v>91</v>
      </c>
      <c r="X9" s="15">
        <f>IF($A9="","",COUNTIFS('PI Furnizor'!$A$7:$A$506,$A9,'PI Furnizor'!$D$7:$D$506,"&gt;0"))</f>
        <v>6</v>
      </c>
      <c r="Y9" s="16">
        <f>IF($A9="","",SUMIFS('PI Furnizor'!$D$7:$D$506,'PI Furnizor'!$A$7:$A$506,$A9))</f>
        <v>6</v>
      </c>
      <c r="Z9" s="9">
        <f>IF($A9="","",SUMIFS('PI Furnizor'!$O$7:$O$506,'PI Furnizor'!$A$7:$A$506,$A9))</f>
        <v>4.9399999999999995</v>
      </c>
      <c r="AA9" s="10">
        <f>IF($A9="","",SUMIFS('PI Furnizor'!$Q$7:$Q$506,'PI Furnizor'!$A$7:$A$506,$A9))</f>
        <v>0</v>
      </c>
      <c r="AB9" s="56">
        <f>IF($A9="","",SUMIFS('PI Furnizor'!$N$7:$N$506,'PI Furnizor'!$A$7:$A$506,$A9))</f>
        <v>40.39</v>
      </c>
      <c r="AC9" s="55">
        <f t="shared" ref="AC9:AC40" si="0">IF($A9="","",$AB9*IF($G9="USD",N($H9),IF($G9="EUR",N($I9),1)))</f>
        <v>191.30319599999999</v>
      </c>
      <c r="AD9" s="9">
        <f t="shared" ref="AD9:AD40" si="1">IF($A9="","",IF($N9="Da",$AA9*1000000/$D$5,0))</f>
        <v>0</v>
      </c>
      <c r="AE9" s="9">
        <f t="shared" ref="AE9:AE40" si="2">IF($A9="","",IF($K9="CBM",MAX($AA9,N($M9)),IF($K9="kg",MAX($Z9,IF($N9="Da",$AD9,0),N($M9)),1)))</f>
        <v>1</v>
      </c>
      <c r="AF9" s="9">
        <f t="shared" ref="AF9:AF40" si="3">IF($A9="","",IF($K9="Total fix",N($L9),N($L9)*$AE9)+N($O9))</f>
        <v>68.08</v>
      </c>
      <c r="AG9" s="18">
        <f t="shared" ref="AG9:AG40" si="4">IF($A9="","",$AF9*IF($J9="USD",N($H9),IF($J9="EUR",N($I9),1)))</f>
        <v>322.45411199999995</v>
      </c>
      <c r="AH9" s="17">
        <f t="shared" ref="AH9:AH40" si="5">IF($A9="","",IF($Z9&gt;0,$AG9/$Z9,""))</f>
        <v>65.274111740890689</v>
      </c>
      <c r="AI9" s="17" t="str">
        <f t="shared" ref="AI9:AI40" si="6">IF($A9="","",IF($AA9&gt;0,$AG9/$AA9,""))</f>
        <v/>
      </c>
      <c r="AJ9" s="17">
        <f t="shared" ref="AJ9:AJ40" si="7">IF($A9="","",N($P9)*N($Q9)*N($I9))</f>
        <v>0</v>
      </c>
      <c r="AK9" s="17">
        <f t="shared" ref="AK9:AK40" si="8">IF($A9="","",N($R9)*N($S9))</f>
        <v>0</v>
      </c>
      <c r="AL9" s="19" t="str">
        <f t="shared" ref="AL9:AL40" si="9">IF($A9="","",IF(OR($W9="",$W9="Automat"),IF($K9="CBM","Volum (CBM)","Greutate"),$W9))</f>
        <v>Greutate</v>
      </c>
      <c r="AM9" s="19" t="str">
        <f t="shared" ref="AM9:AM40" si="10">IF($A9="","",IF($AL9="Greutate",IF($Z9&gt;0,"Greutate","Egal pe bucata"),IF($AL9="Volum (CBM)",IF($AA9&gt;0,"Volum (CBM)","Egal pe bucata"),IF($AL9="Valoare marfa",IF($AB9&gt;0,"Valoare marfa","Egal pe bucata"),"Egal pe bucata"))))</f>
        <v>Greutate</v>
      </c>
      <c r="AN9" s="9">
        <f t="shared" ref="AN9:AN40" si="11">IF($A9="","",IF($AM9="Greutate",$Z9,IF($AM9="Volum (CBM)",$AA9,IF($AM9="Valoare marfa",$AB9,$Y9))))</f>
        <v>4.9399999999999995</v>
      </c>
      <c r="AO9" s="18">
        <f>IF($A9="","",SUMIFS('Calculator Cost per Bucata'!$V$10:$V$509,'Calculator Cost per Bucata'!$A$10:$A$509,$A9))</f>
        <v>513.75730799999997</v>
      </c>
      <c r="AP9" s="17">
        <f t="shared" ref="AP9:AP40" si="12">IF($A9="","",$AQ9-$AO9)</f>
        <v>107.8890346799999</v>
      </c>
      <c r="AQ9" s="20">
        <f>IF($A9="","",SUMIFS('Calculator Cost per Bucata'!$W$10:$W$509,'Calculator Cost per Bucata'!$A$10:$A$509,$A9))</f>
        <v>621.64634267999986</v>
      </c>
      <c r="AR9" s="21">
        <f t="shared" ref="AR9:AR40" si="13">IF($A9="","",IF(N($I9)&gt;0,$AQ9/$I9,""))</f>
        <v>116.53538217606477</v>
      </c>
      <c r="AS9" s="22">
        <f t="shared" ref="AS9:AS40" si="14">IF($A9="","",IF(N($H9)&gt;0,$AQ9/$H9,""))</f>
        <v>131.24869999999999</v>
      </c>
      <c r="AT9" s="23" t="str">
        <f t="shared" ref="AT9:AT40" si="15">IF($A9="","",IF((N($H9)&lt;=0)+(N($I9)&lt;=0)+($X9=0)+(OR($G9="",$J9="",$K9=""))+(AND($K9="CBM",$AA9=0))+(AND($K9="kg",$Z9=0))+($AL9&lt;&gt;$AM9)=0,"OK",IF(N($H9)&lt;=0,"Lipseste cursul USD. ","")&amp;IF(N($I9)&lt;=0,"Lipseste cursul EUR. ","")&amp;IF($X9=0,"Nicio linie de produs in 'PI Furnizor'. ","")&amp;IF(OR($G9="",$J9="",$K9=""),"Lipseste moneda marfa / moneda transport / baza tarif. ","")&amp;IF(AND($K9="CBM",$AA9=0),"Tarif pe CBM dar lipsesc dimensiunile/volumul. ","")&amp;IF(AND($K9="kg",$Z9=0),"Tarif pe kg dar lipsesc greutatile. ","")&amp;IF($AL9&lt;&gt;$AM9,"Cheia de alocare lipseste - costurile se impart egal pe bucata. ","")))</f>
        <v>OK</v>
      </c>
    </row>
    <row r="10" spans="1:46" ht="26.4" x14ac:dyDescent="0.3">
      <c r="A10" s="53" t="s">
        <v>142</v>
      </c>
      <c r="B10" s="54" t="s">
        <v>143</v>
      </c>
      <c r="C10" s="2" t="s">
        <v>144</v>
      </c>
      <c r="D10" s="2" t="s">
        <v>145</v>
      </c>
      <c r="E10" s="2" t="s">
        <v>87</v>
      </c>
      <c r="F10" s="2" t="s">
        <v>88</v>
      </c>
      <c r="G10" s="12" t="s">
        <v>89</v>
      </c>
      <c r="H10" s="7">
        <v>4.7801</v>
      </c>
      <c r="I10" s="7">
        <v>5.3501000000000003</v>
      </c>
      <c r="J10" s="12" t="s">
        <v>89</v>
      </c>
      <c r="K10" s="12" t="s">
        <v>90</v>
      </c>
      <c r="L10" s="4">
        <v>44.05</v>
      </c>
      <c r="M10" s="4"/>
      <c r="N10" s="12" t="s">
        <v>39</v>
      </c>
      <c r="O10" s="4">
        <v>0</v>
      </c>
      <c r="P10" s="5">
        <v>1</v>
      </c>
      <c r="Q10" s="14">
        <v>0</v>
      </c>
      <c r="R10" s="5">
        <v>1</v>
      </c>
      <c r="S10" s="14"/>
      <c r="T10" s="4"/>
      <c r="U10" s="11"/>
      <c r="V10" s="11"/>
      <c r="W10" s="12" t="s">
        <v>146</v>
      </c>
      <c r="X10" s="15">
        <f>IF($A10="","",COUNTIFS('PI Furnizor'!$A$7:$A$506,$A10,'PI Furnizor'!$D$7:$D$506,"&gt;0"))</f>
        <v>1</v>
      </c>
      <c r="Y10" s="16">
        <f>IF($A10="","",SUMIFS('PI Furnizor'!$D$7:$D$506,'PI Furnizor'!$A$7:$A$506,$A10))</f>
        <v>3</v>
      </c>
      <c r="Z10" s="9">
        <f>IF($A10="","",SUMIFS('PI Furnizor'!$O$7:$O$506,'PI Furnizor'!$A$7:$A$506,$A10))</f>
        <v>1.7999999999999998</v>
      </c>
      <c r="AA10" s="10">
        <f>IF($A10="","",SUMIFS('PI Furnizor'!$Q$7:$Q$506,'PI Furnizor'!$A$7:$A$506,$A10))</f>
        <v>0</v>
      </c>
      <c r="AB10" s="56">
        <f>IF($A10="","",SUMIFS('PI Furnizor'!$N$7:$N$506,'PI Furnizor'!$A$7:$A$506,$A10))</f>
        <v>11.07</v>
      </c>
      <c r="AC10" s="55">
        <f t="shared" si="0"/>
        <v>52.915707000000005</v>
      </c>
      <c r="AD10" s="9">
        <f t="shared" si="1"/>
        <v>0</v>
      </c>
      <c r="AE10" s="9">
        <f t="shared" si="2"/>
        <v>1</v>
      </c>
      <c r="AF10" s="9">
        <f t="shared" si="3"/>
        <v>44.05</v>
      </c>
      <c r="AG10" s="18">
        <f t="shared" si="4"/>
        <v>210.56340499999999</v>
      </c>
      <c r="AH10" s="17">
        <f t="shared" si="5"/>
        <v>116.97966944444445</v>
      </c>
      <c r="AI10" s="17" t="str">
        <f t="shared" si="6"/>
        <v/>
      </c>
      <c r="AJ10" s="17">
        <f t="shared" si="7"/>
        <v>0</v>
      </c>
      <c r="AK10" s="17">
        <f t="shared" si="8"/>
        <v>0</v>
      </c>
      <c r="AL10" s="19" t="str">
        <f t="shared" si="9"/>
        <v>Egal pe bucata</v>
      </c>
      <c r="AM10" s="19" t="str">
        <f t="shared" si="10"/>
        <v>Egal pe bucata</v>
      </c>
      <c r="AN10" s="9">
        <f t="shared" si="11"/>
        <v>3</v>
      </c>
      <c r="AO10" s="18">
        <f>IF($A10="","",SUMIFS('Calculator Cost per Bucata'!$V$10:$V$509,'Calculator Cost per Bucata'!$A$10:$A$509,$A10))</f>
        <v>263.47911199999999</v>
      </c>
      <c r="AP10" s="17">
        <f t="shared" si="12"/>
        <v>55.330613520000043</v>
      </c>
      <c r="AQ10" s="20">
        <f>IF($A10="","",SUMIFS('Calculator Cost per Bucata'!$W$10:$W$509,'Calculator Cost per Bucata'!$A$10:$A$509,$A10))</f>
        <v>318.80972552000003</v>
      </c>
      <c r="AR10" s="21">
        <f t="shared" si="13"/>
        <v>59.589489078708809</v>
      </c>
      <c r="AS10" s="22">
        <f t="shared" si="14"/>
        <v>66.6952</v>
      </c>
      <c r="AT10" s="23" t="str">
        <f t="shared" si="15"/>
        <v>OK</v>
      </c>
    </row>
    <row r="11" spans="1:46" x14ac:dyDescent="0.3">
      <c r="A11" s="12"/>
      <c r="B11" s="13"/>
      <c r="C11" s="2"/>
      <c r="D11" s="2"/>
      <c r="E11" s="2"/>
      <c r="F11" s="2"/>
      <c r="G11" s="12"/>
      <c r="H11" s="7"/>
      <c r="I11" s="7"/>
      <c r="J11" s="12"/>
      <c r="K11" s="12"/>
      <c r="L11" s="4"/>
      <c r="M11" s="4"/>
      <c r="N11" s="12"/>
      <c r="O11" s="4"/>
      <c r="P11" s="5"/>
      <c r="Q11" s="14"/>
      <c r="R11" s="5"/>
      <c r="S11" s="14"/>
      <c r="T11" s="4"/>
      <c r="U11" s="11"/>
      <c r="V11" s="11"/>
      <c r="W11" s="12"/>
      <c r="X11" s="15" t="str">
        <f>IF($A11="","",COUNTIFS('PI Furnizor'!$A$7:$A$506,$A11,'PI Furnizor'!$D$7:$D$506,"&gt;0"))</f>
        <v/>
      </c>
      <c r="Y11" s="16" t="str">
        <f>IF($A11="","",SUMIFS('PI Furnizor'!$D$7:$D$506,'PI Furnizor'!$A$7:$A$506,$A11))</f>
        <v/>
      </c>
      <c r="Z11" s="9" t="str">
        <f>IF($A11="","",SUMIFS('PI Furnizor'!$O$7:$O$506,'PI Furnizor'!$A$7:$A$506,$A11))</f>
        <v/>
      </c>
      <c r="AA11" s="10" t="str">
        <f>IF($A11="","",SUMIFS('PI Furnizor'!$Q$7:$Q$506,'PI Furnizor'!$A$7:$A$506,$A11))</f>
        <v/>
      </c>
      <c r="AB11" s="56" t="str">
        <f>IF($A11="","",SUMIFS('PI Furnizor'!$N$7:$N$506,'PI Furnizor'!$A$7:$A$506,$A11))</f>
        <v/>
      </c>
      <c r="AC11" s="55" t="str">
        <f t="shared" si="0"/>
        <v/>
      </c>
      <c r="AD11" s="9" t="str">
        <f t="shared" si="1"/>
        <v/>
      </c>
      <c r="AE11" s="9" t="str">
        <f t="shared" si="2"/>
        <v/>
      </c>
      <c r="AF11" s="9" t="str">
        <f t="shared" si="3"/>
        <v/>
      </c>
      <c r="AG11" s="18" t="str">
        <f t="shared" si="4"/>
        <v/>
      </c>
      <c r="AH11" s="17" t="str">
        <f t="shared" si="5"/>
        <v/>
      </c>
      <c r="AI11" s="17" t="str">
        <f t="shared" si="6"/>
        <v/>
      </c>
      <c r="AJ11" s="17" t="str">
        <f t="shared" si="7"/>
        <v/>
      </c>
      <c r="AK11" s="17" t="str">
        <f t="shared" si="8"/>
        <v/>
      </c>
      <c r="AL11" s="19" t="str">
        <f t="shared" si="9"/>
        <v/>
      </c>
      <c r="AM11" s="19" t="str">
        <f t="shared" si="10"/>
        <v/>
      </c>
      <c r="AN11" s="9" t="str">
        <f t="shared" si="11"/>
        <v/>
      </c>
      <c r="AO11" s="18" t="str">
        <f>IF($A11="","",SUMIFS('Calculator Cost per Bucata'!$V$10:$V$509,'Calculator Cost per Bucata'!$A$10:$A$509,$A11))</f>
        <v/>
      </c>
      <c r="AP11" s="17" t="str">
        <f t="shared" si="12"/>
        <v/>
      </c>
      <c r="AQ11" s="20" t="str">
        <f>IF($A11="","",SUMIFS('Calculator Cost per Bucata'!$W$10:$W$509,'Calculator Cost per Bucata'!$A$10:$A$509,$A11))</f>
        <v/>
      </c>
      <c r="AR11" s="21" t="str">
        <f t="shared" si="13"/>
        <v/>
      </c>
      <c r="AS11" s="22" t="str">
        <f t="shared" si="14"/>
        <v/>
      </c>
      <c r="AT11" s="23" t="str">
        <f t="shared" si="15"/>
        <v/>
      </c>
    </row>
    <row r="12" spans="1:46" x14ac:dyDescent="0.3">
      <c r="A12" s="12"/>
      <c r="B12" s="13"/>
      <c r="C12" s="2"/>
      <c r="D12" s="2"/>
      <c r="E12" s="2"/>
      <c r="F12" s="2"/>
      <c r="G12" s="12"/>
      <c r="H12" s="7"/>
      <c r="I12" s="7"/>
      <c r="J12" s="12"/>
      <c r="K12" s="12"/>
      <c r="L12" s="4"/>
      <c r="M12" s="4"/>
      <c r="N12" s="12"/>
      <c r="O12" s="4"/>
      <c r="P12" s="5"/>
      <c r="Q12" s="14"/>
      <c r="R12" s="5"/>
      <c r="S12" s="14"/>
      <c r="T12" s="4"/>
      <c r="U12" s="11"/>
      <c r="V12" s="11"/>
      <c r="W12" s="12"/>
      <c r="X12" s="15" t="str">
        <f>IF($A12="","",COUNTIFS('PI Furnizor'!$A$7:$A$506,$A12,'PI Furnizor'!$D$7:$D$506,"&gt;0"))</f>
        <v/>
      </c>
      <c r="Y12" s="16" t="str">
        <f>IF($A12="","",SUMIFS('PI Furnizor'!$D$7:$D$506,'PI Furnizor'!$A$7:$A$506,$A12))</f>
        <v/>
      </c>
      <c r="Z12" s="9" t="str">
        <f>IF($A12="","",SUMIFS('PI Furnizor'!$O$7:$O$506,'PI Furnizor'!$A$7:$A$506,$A12))</f>
        <v/>
      </c>
      <c r="AA12" s="10" t="str">
        <f>IF($A12="","",SUMIFS('PI Furnizor'!$Q$7:$Q$506,'PI Furnizor'!$A$7:$A$506,$A12))</f>
        <v/>
      </c>
      <c r="AB12" s="56" t="str">
        <f>IF($A12="","",SUMIFS('PI Furnizor'!$N$7:$N$506,'PI Furnizor'!$A$7:$A$506,$A12))</f>
        <v/>
      </c>
      <c r="AC12" s="55" t="str">
        <f t="shared" si="0"/>
        <v/>
      </c>
      <c r="AD12" s="9" t="str">
        <f t="shared" si="1"/>
        <v/>
      </c>
      <c r="AE12" s="9" t="str">
        <f t="shared" si="2"/>
        <v/>
      </c>
      <c r="AF12" s="9" t="str">
        <f t="shared" si="3"/>
        <v/>
      </c>
      <c r="AG12" s="18" t="str">
        <f t="shared" si="4"/>
        <v/>
      </c>
      <c r="AH12" s="17" t="str">
        <f t="shared" si="5"/>
        <v/>
      </c>
      <c r="AI12" s="17" t="str">
        <f t="shared" si="6"/>
        <v/>
      </c>
      <c r="AJ12" s="17" t="str">
        <f t="shared" si="7"/>
        <v/>
      </c>
      <c r="AK12" s="17" t="str">
        <f t="shared" si="8"/>
        <v/>
      </c>
      <c r="AL12" s="19" t="str">
        <f t="shared" si="9"/>
        <v/>
      </c>
      <c r="AM12" s="19" t="str">
        <f t="shared" si="10"/>
        <v/>
      </c>
      <c r="AN12" s="9" t="str">
        <f t="shared" si="11"/>
        <v/>
      </c>
      <c r="AO12" s="18" t="str">
        <f>IF($A12="","",SUMIFS('Calculator Cost per Bucata'!$V$10:$V$509,'Calculator Cost per Bucata'!$A$10:$A$509,$A12))</f>
        <v/>
      </c>
      <c r="AP12" s="17" t="str">
        <f t="shared" si="12"/>
        <v/>
      </c>
      <c r="AQ12" s="20" t="str">
        <f>IF($A12="","",SUMIFS('Calculator Cost per Bucata'!$W$10:$W$509,'Calculator Cost per Bucata'!$A$10:$A$509,$A12))</f>
        <v/>
      </c>
      <c r="AR12" s="21" t="str">
        <f t="shared" si="13"/>
        <v/>
      </c>
      <c r="AS12" s="22" t="str">
        <f t="shared" si="14"/>
        <v/>
      </c>
      <c r="AT12" s="23" t="str">
        <f t="shared" si="15"/>
        <v/>
      </c>
    </row>
    <row r="13" spans="1:46" x14ac:dyDescent="0.3">
      <c r="A13" s="12"/>
      <c r="B13" s="13"/>
      <c r="C13" s="2"/>
      <c r="D13" s="2"/>
      <c r="E13" s="2"/>
      <c r="F13" s="2"/>
      <c r="G13" s="12"/>
      <c r="H13" s="7"/>
      <c r="I13" s="7"/>
      <c r="J13" s="12"/>
      <c r="K13" s="12"/>
      <c r="L13" s="4"/>
      <c r="M13" s="4"/>
      <c r="N13" s="12"/>
      <c r="O13" s="4"/>
      <c r="P13" s="5"/>
      <c r="Q13" s="14"/>
      <c r="R13" s="5"/>
      <c r="S13" s="14"/>
      <c r="T13" s="4"/>
      <c r="U13" s="11"/>
      <c r="V13" s="11"/>
      <c r="W13" s="12"/>
      <c r="X13" s="15" t="str">
        <f>IF($A13="","",COUNTIFS('PI Furnizor'!$A$7:$A$506,$A13,'PI Furnizor'!$D$7:$D$506,"&gt;0"))</f>
        <v/>
      </c>
      <c r="Y13" s="16" t="str">
        <f>IF($A13="","",SUMIFS('PI Furnizor'!$D$7:$D$506,'PI Furnizor'!$A$7:$A$506,$A13))</f>
        <v/>
      </c>
      <c r="Z13" s="9" t="str">
        <f>IF($A13="","",SUMIFS('PI Furnizor'!$O$7:$O$506,'PI Furnizor'!$A$7:$A$506,$A13))</f>
        <v/>
      </c>
      <c r="AA13" s="10" t="str">
        <f>IF($A13="","",SUMIFS('PI Furnizor'!$Q$7:$Q$506,'PI Furnizor'!$A$7:$A$506,$A13))</f>
        <v/>
      </c>
      <c r="AB13" s="56" t="str">
        <f>IF($A13="","",SUMIFS('PI Furnizor'!$N$7:$N$506,'PI Furnizor'!$A$7:$A$506,$A13))</f>
        <v/>
      </c>
      <c r="AC13" s="55" t="str">
        <f t="shared" si="0"/>
        <v/>
      </c>
      <c r="AD13" s="9" t="str">
        <f t="shared" si="1"/>
        <v/>
      </c>
      <c r="AE13" s="9" t="str">
        <f t="shared" si="2"/>
        <v/>
      </c>
      <c r="AF13" s="9" t="str">
        <f t="shared" si="3"/>
        <v/>
      </c>
      <c r="AG13" s="18" t="str">
        <f t="shared" si="4"/>
        <v/>
      </c>
      <c r="AH13" s="17" t="str">
        <f t="shared" si="5"/>
        <v/>
      </c>
      <c r="AI13" s="17" t="str">
        <f t="shared" si="6"/>
        <v/>
      </c>
      <c r="AJ13" s="17" t="str">
        <f t="shared" si="7"/>
        <v/>
      </c>
      <c r="AK13" s="17" t="str">
        <f t="shared" si="8"/>
        <v/>
      </c>
      <c r="AL13" s="19" t="str">
        <f t="shared" si="9"/>
        <v/>
      </c>
      <c r="AM13" s="19" t="str">
        <f t="shared" si="10"/>
        <v/>
      </c>
      <c r="AN13" s="9" t="str">
        <f t="shared" si="11"/>
        <v/>
      </c>
      <c r="AO13" s="18" t="str">
        <f>IF($A13="","",SUMIFS('Calculator Cost per Bucata'!$V$10:$V$509,'Calculator Cost per Bucata'!$A$10:$A$509,$A13))</f>
        <v/>
      </c>
      <c r="AP13" s="17" t="str">
        <f t="shared" si="12"/>
        <v/>
      </c>
      <c r="AQ13" s="20" t="str">
        <f>IF($A13="","",SUMIFS('Calculator Cost per Bucata'!$W$10:$W$509,'Calculator Cost per Bucata'!$A$10:$A$509,$A13))</f>
        <v/>
      </c>
      <c r="AR13" s="21" t="str">
        <f t="shared" si="13"/>
        <v/>
      </c>
      <c r="AS13" s="22" t="str">
        <f t="shared" si="14"/>
        <v/>
      </c>
      <c r="AT13" s="23" t="str">
        <f t="shared" si="15"/>
        <v/>
      </c>
    </row>
    <row r="14" spans="1:46" x14ac:dyDescent="0.3">
      <c r="A14" s="12"/>
      <c r="B14" s="13"/>
      <c r="C14" s="2"/>
      <c r="D14" s="2"/>
      <c r="E14" s="2"/>
      <c r="F14" s="2"/>
      <c r="G14" s="12"/>
      <c r="H14" s="7"/>
      <c r="I14" s="7"/>
      <c r="J14" s="12"/>
      <c r="K14" s="12"/>
      <c r="L14" s="4"/>
      <c r="M14" s="4"/>
      <c r="N14" s="12"/>
      <c r="O14" s="4"/>
      <c r="P14" s="5"/>
      <c r="Q14" s="14"/>
      <c r="R14" s="5"/>
      <c r="S14" s="14"/>
      <c r="T14" s="4"/>
      <c r="U14" s="11"/>
      <c r="V14" s="11"/>
      <c r="W14" s="12"/>
      <c r="X14" s="15" t="str">
        <f>IF($A14="","",COUNTIFS('PI Furnizor'!$A$7:$A$506,$A14,'PI Furnizor'!$D$7:$D$506,"&gt;0"))</f>
        <v/>
      </c>
      <c r="Y14" s="16" t="str">
        <f>IF($A14="","",SUMIFS('PI Furnizor'!$D$7:$D$506,'PI Furnizor'!$A$7:$A$506,$A14))</f>
        <v/>
      </c>
      <c r="Z14" s="9" t="str">
        <f>IF($A14="","",SUMIFS('PI Furnizor'!$O$7:$O$506,'PI Furnizor'!$A$7:$A$506,$A14))</f>
        <v/>
      </c>
      <c r="AA14" s="10" t="str">
        <f>IF($A14="","",SUMIFS('PI Furnizor'!$Q$7:$Q$506,'PI Furnizor'!$A$7:$A$506,$A14))</f>
        <v/>
      </c>
      <c r="AB14" s="56" t="str">
        <f>IF($A14="","",SUMIFS('PI Furnizor'!$N$7:$N$506,'PI Furnizor'!$A$7:$A$506,$A14))</f>
        <v/>
      </c>
      <c r="AC14" s="55" t="str">
        <f t="shared" si="0"/>
        <v/>
      </c>
      <c r="AD14" s="9" t="str">
        <f t="shared" si="1"/>
        <v/>
      </c>
      <c r="AE14" s="9" t="str">
        <f t="shared" si="2"/>
        <v/>
      </c>
      <c r="AF14" s="9" t="str">
        <f t="shared" si="3"/>
        <v/>
      </c>
      <c r="AG14" s="18" t="str">
        <f t="shared" si="4"/>
        <v/>
      </c>
      <c r="AH14" s="17" t="str">
        <f t="shared" si="5"/>
        <v/>
      </c>
      <c r="AI14" s="17" t="str">
        <f t="shared" si="6"/>
        <v/>
      </c>
      <c r="AJ14" s="17" t="str">
        <f t="shared" si="7"/>
        <v/>
      </c>
      <c r="AK14" s="17" t="str">
        <f t="shared" si="8"/>
        <v/>
      </c>
      <c r="AL14" s="19" t="str">
        <f t="shared" si="9"/>
        <v/>
      </c>
      <c r="AM14" s="19" t="str">
        <f t="shared" si="10"/>
        <v/>
      </c>
      <c r="AN14" s="9" t="str">
        <f t="shared" si="11"/>
        <v/>
      </c>
      <c r="AO14" s="18" t="str">
        <f>IF($A14="","",SUMIFS('Calculator Cost per Bucata'!$V$10:$V$509,'Calculator Cost per Bucata'!$A$10:$A$509,$A14))</f>
        <v/>
      </c>
      <c r="AP14" s="17" t="str">
        <f t="shared" si="12"/>
        <v/>
      </c>
      <c r="AQ14" s="20" t="str">
        <f>IF($A14="","",SUMIFS('Calculator Cost per Bucata'!$W$10:$W$509,'Calculator Cost per Bucata'!$A$10:$A$509,$A14))</f>
        <v/>
      </c>
      <c r="AR14" s="21" t="str">
        <f t="shared" si="13"/>
        <v/>
      </c>
      <c r="AS14" s="22" t="str">
        <f t="shared" si="14"/>
        <v/>
      </c>
      <c r="AT14" s="23" t="str">
        <f t="shared" si="15"/>
        <v/>
      </c>
    </row>
    <row r="15" spans="1:46" x14ac:dyDescent="0.3">
      <c r="A15" s="12"/>
      <c r="B15" s="13"/>
      <c r="C15" s="2"/>
      <c r="D15" s="2"/>
      <c r="E15" s="2"/>
      <c r="F15" s="2"/>
      <c r="G15" s="12"/>
      <c r="H15" s="7"/>
      <c r="I15" s="7"/>
      <c r="J15" s="12"/>
      <c r="K15" s="12"/>
      <c r="L15" s="4"/>
      <c r="M15" s="4"/>
      <c r="N15" s="12"/>
      <c r="O15" s="4"/>
      <c r="P15" s="5"/>
      <c r="Q15" s="14"/>
      <c r="R15" s="5"/>
      <c r="S15" s="14"/>
      <c r="T15" s="4"/>
      <c r="U15" s="11"/>
      <c r="V15" s="11"/>
      <c r="W15" s="12"/>
      <c r="X15" s="15" t="str">
        <f>IF($A15="","",COUNTIFS('PI Furnizor'!$A$7:$A$506,$A15,'PI Furnizor'!$D$7:$D$506,"&gt;0"))</f>
        <v/>
      </c>
      <c r="Y15" s="16" t="str">
        <f>IF($A15="","",SUMIFS('PI Furnizor'!$D$7:$D$506,'PI Furnizor'!$A$7:$A$506,$A15))</f>
        <v/>
      </c>
      <c r="Z15" s="9" t="str">
        <f>IF($A15="","",SUMIFS('PI Furnizor'!$O$7:$O$506,'PI Furnizor'!$A$7:$A$506,$A15))</f>
        <v/>
      </c>
      <c r="AA15" s="10" t="str">
        <f>IF($A15="","",SUMIFS('PI Furnizor'!$Q$7:$Q$506,'PI Furnizor'!$A$7:$A$506,$A15))</f>
        <v/>
      </c>
      <c r="AB15" s="56" t="str">
        <f>IF($A15="","",SUMIFS('PI Furnizor'!$N$7:$N$506,'PI Furnizor'!$A$7:$A$506,$A15))</f>
        <v/>
      </c>
      <c r="AC15" s="55" t="str">
        <f t="shared" si="0"/>
        <v/>
      </c>
      <c r="AD15" s="9" t="str">
        <f t="shared" si="1"/>
        <v/>
      </c>
      <c r="AE15" s="9" t="str">
        <f t="shared" si="2"/>
        <v/>
      </c>
      <c r="AF15" s="9" t="str">
        <f t="shared" si="3"/>
        <v/>
      </c>
      <c r="AG15" s="18" t="str">
        <f t="shared" si="4"/>
        <v/>
      </c>
      <c r="AH15" s="17" t="str">
        <f t="shared" si="5"/>
        <v/>
      </c>
      <c r="AI15" s="17" t="str">
        <f t="shared" si="6"/>
        <v/>
      </c>
      <c r="AJ15" s="17" t="str">
        <f t="shared" si="7"/>
        <v/>
      </c>
      <c r="AK15" s="17" t="str">
        <f t="shared" si="8"/>
        <v/>
      </c>
      <c r="AL15" s="19" t="str">
        <f t="shared" si="9"/>
        <v/>
      </c>
      <c r="AM15" s="19" t="str">
        <f t="shared" si="10"/>
        <v/>
      </c>
      <c r="AN15" s="9" t="str">
        <f t="shared" si="11"/>
        <v/>
      </c>
      <c r="AO15" s="18" t="str">
        <f>IF($A15="","",SUMIFS('Calculator Cost per Bucata'!$V$10:$V$509,'Calculator Cost per Bucata'!$A$10:$A$509,$A15))</f>
        <v/>
      </c>
      <c r="AP15" s="17" t="str">
        <f t="shared" si="12"/>
        <v/>
      </c>
      <c r="AQ15" s="20" t="str">
        <f>IF($A15="","",SUMIFS('Calculator Cost per Bucata'!$W$10:$W$509,'Calculator Cost per Bucata'!$A$10:$A$509,$A15))</f>
        <v/>
      </c>
      <c r="AR15" s="21" t="str">
        <f t="shared" si="13"/>
        <v/>
      </c>
      <c r="AS15" s="22" t="str">
        <f t="shared" si="14"/>
        <v/>
      </c>
      <c r="AT15" s="23" t="str">
        <f t="shared" si="15"/>
        <v/>
      </c>
    </row>
    <row r="16" spans="1:46" x14ac:dyDescent="0.3">
      <c r="A16" s="12"/>
      <c r="B16" s="13"/>
      <c r="C16" s="2"/>
      <c r="D16" s="2"/>
      <c r="E16" s="2"/>
      <c r="F16" s="2"/>
      <c r="G16" s="12"/>
      <c r="H16" s="7"/>
      <c r="I16" s="7"/>
      <c r="J16" s="12"/>
      <c r="K16" s="12"/>
      <c r="L16" s="4"/>
      <c r="M16" s="4"/>
      <c r="N16" s="12"/>
      <c r="O16" s="4"/>
      <c r="P16" s="5"/>
      <c r="Q16" s="14"/>
      <c r="R16" s="5"/>
      <c r="S16" s="14"/>
      <c r="T16" s="4"/>
      <c r="U16" s="11"/>
      <c r="V16" s="11"/>
      <c r="W16" s="12"/>
      <c r="X16" s="15" t="str">
        <f>IF($A16="","",COUNTIFS('PI Furnizor'!$A$7:$A$506,$A16,'PI Furnizor'!$D$7:$D$506,"&gt;0"))</f>
        <v/>
      </c>
      <c r="Y16" s="16" t="str">
        <f>IF($A16="","",SUMIFS('PI Furnizor'!$D$7:$D$506,'PI Furnizor'!$A$7:$A$506,$A16))</f>
        <v/>
      </c>
      <c r="Z16" s="9" t="str">
        <f>IF($A16="","",SUMIFS('PI Furnizor'!$O$7:$O$506,'PI Furnizor'!$A$7:$A$506,$A16))</f>
        <v/>
      </c>
      <c r="AA16" s="10" t="str">
        <f>IF($A16="","",SUMIFS('PI Furnizor'!$Q$7:$Q$506,'PI Furnizor'!$A$7:$A$506,$A16))</f>
        <v/>
      </c>
      <c r="AB16" s="56" t="str">
        <f>IF($A16="","",SUMIFS('PI Furnizor'!$N$7:$N$506,'PI Furnizor'!$A$7:$A$506,$A16))</f>
        <v/>
      </c>
      <c r="AC16" s="55" t="str">
        <f t="shared" si="0"/>
        <v/>
      </c>
      <c r="AD16" s="9" t="str">
        <f t="shared" si="1"/>
        <v/>
      </c>
      <c r="AE16" s="9" t="str">
        <f t="shared" si="2"/>
        <v/>
      </c>
      <c r="AF16" s="9" t="str">
        <f t="shared" si="3"/>
        <v/>
      </c>
      <c r="AG16" s="18" t="str">
        <f t="shared" si="4"/>
        <v/>
      </c>
      <c r="AH16" s="17" t="str">
        <f t="shared" si="5"/>
        <v/>
      </c>
      <c r="AI16" s="17" t="str">
        <f t="shared" si="6"/>
        <v/>
      </c>
      <c r="AJ16" s="17" t="str">
        <f t="shared" si="7"/>
        <v/>
      </c>
      <c r="AK16" s="17" t="str">
        <f t="shared" si="8"/>
        <v/>
      </c>
      <c r="AL16" s="19" t="str">
        <f t="shared" si="9"/>
        <v/>
      </c>
      <c r="AM16" s="19" t="str">
        <f t="shared" si="10"/>
        <v/>
      </c>
      <c r="AN16" s="9" t="str">
        <f t="shared" si="11"/>
        <v/>
      </c>
      <c r="AO16" s="18" t="str">
        <f>IF($A16="","",SUMIFS('Calculator Cost per Bucata'!$V$10:$V$509,'Calculator Cost per Bucata'!$A$10:$A$509,$A16))</f>
        <v/>
      </c>
      <c r="AP16" s="17" t="str">
        <f t="shared" si="12"/>
        <v/>
      </c>
      <c r="AQ16" s="20" t="str">
        <f>IF($A16="","",SUMIFS('Calculator Cost per Bucata'!$W$10:$W$509,'Calculator Cost per Bucata'!$A$10:$A$509,$A16))</f>
        <v/>
      </c>
      <c r="AR16" s="21" t="str">
        <f t="shared" si="13"/>
        <v/>
      </c>
      <c r="AS16" s="22" t="str">
        <f t="shared" si="14"/>
        <v/>
      </c>
      <c r="AT16" s="23" t="str">
        <f t="shared" si="15"/>
        <v/>
      </c>
    </row>
    <row r="17" spans="1:46" x14ac:dyDescent="0.3">
      <c r="A17" s="12"/>
      <c r="B17" s="13"/>
      <c r="C17" s="2"/>
      <c r="D17" s="2"/>
      <c r="E17" s="2"/>
      <c r="F17" s="2"/>
      <c r="G17" s="12"/>
      <c r="H17" s="7"/>
      <c r="I17" s="7"/>
      <c r="J17" s="12"/>
      <c r="K17" s="12"/>
      <c r="L17" s="4"/>
      <c r="M17" s="4"/>
      <c r="N17" s="12"/>
      <c r="O17" s="4"/>
      <c r="P17" s="5"/>
      <c r="Q17" s="14"/>
      <c r="R17" s="5"/>
      <c r="S17" s="14"/>
      <c r="T17" s="4"/>
      <c r="U17" s="11"/>
      <c r="V17" s="11"/>
      <c r="W17" s="12"/>
      <c r="X17" s="15" t="str">
        <f>IF($A17="","",COUNTIFS('PI Furnizor'!$A$7:$A$506,$A17,'PI Furnizor'!$D$7:$D$506,"&gt;0"))</f>
        <v/>
      </c>
      <c r="Y17" s="16" t="str">
        <f>IF($A17="","",SUMIFS('PI Furnizor'!$D$7:$D$506,'PI Furnizor'!$A$7:$A$506,$A17))</f>
        <v/>
      </c>
      <c r="Z17" s="9" t="str">
        <f>IF($A17="","",SUMIFS('PI Furnizor'!$O$7:$O$506,'PI Furnizor'!$A$7:$A$506,$A17))</f>
        <v/>
      </c>
      <c r="AA17" s="10" t="str">
        <f>IF($A17="","",SUMIFS('PI Furnizor'!$Q$7:$Q$506,'PI Furnizor'!$A$7:$A$506,$A17))</f>
        <v/>
      </c>
      <c r="AB17" s="56" t="str">
        <f>IF($A17="","",SUMIFS('PI Furnizor'!$N$7:$N$506,'PI Furnizor'!$A$7:$A$506,$A17))</f>
        <v/>
      </c>
      <c r="AC17" s="55" t="str">
        <f t="shared" si="0"/>
        <v/>
      </c>
      <c r="AD17" s="9" t="str">
        <f t="shared" si="1"/>
        <v/>
      </c>
      <c r="AE17" s="9" t="str">
        <f t="shared" si="2"/>
        <v/>
      </c>
      <c r="AF17" s="9" t="str">
        <f t="shared" si="3"/>
        <v/>
      </c>
      <c r="AG17" s="18" t="str">
        <f t="shared" si="4"/>
        <v/>
      </c>
      <c r="AH17" s="17" t="str">
        <f t="shared" si="5"/>
        <v/>
      </c>
      <c r="AI17" s="17" t="str">
        <f t="shared" si="6"/>
        <v/>
      </c>
      <c r="AJ17" s="17" t="str">
        <f t="shared" si="7"/>
        <v/>
      </c>
      <c r="AK17" s="17" t="str">
        <f t="shared" si="8"/>
        <v/>
      </c>
      <c r="AL17" s="19" t="str">
        <f t="shared" si="9"/>
        <v/>
      </c>
      <c r="AM17" s="19" t="str">
        <f t="shared" si="10"/>
        <v/>
      </c>
      <c r="AN17" s="9" t="str">
        <f t="shared" si="11"/>
        <v/>
      </c>
      <c r="AO17" s="18" t="str">
        <f>IF($A17="","",SUMIFS('Calculator Cost per Bucata'!$V$10:$V$509,'Calculator Cost per Bucata'!$A$10:$A$509,$A17))</f>
        <v/>
      </c>
      <c r="AP17" s="17" t="str">
        <f t="shared" si="12"/>
        <v/>
      </c>
      <c r="AQ17" s="20" t="str">
        <f>IF($A17="","",SUMIFS('Calculator Cost per Bucata'!$W$10:$W$509,'Calculator Cost per Bucata'!$A$10:$A$509,$A17))</f>
        <v/>
      </c>
      <c r="AR17" s="21" t="str">
        <f t="shared" si="13"/>
        <v/>
      </c>
      <c r="AS17" s="22" t="str">
        <f t="shared" si="14"/>
        <v/>
      </c>
      <c r="AT17" s="23" t="str">
        <f t="shared" si="15"/>
        <v/>
      </c>
    </row>
    <row r="18" spans="1:46" x14ac:dyDescent="0.3">
      <c r="A18" s="12"/>
      <c r="B18" s="13"/>
      <c r="C18" s="2"/>
      <c r="D18" s="2"/>
      <c r="E18" s="2"/>
      <c r="F18" s="2"/>
      <c r="G18" s="12"/>
      <c r="H18" s="7"/>
      <c r="I18" s="7"/>
      <c r="J18" s="12"/>
      <c r="K18" s="12"/>
      <c r="L18" s="4"/>
      <c r="M18" s="4"/>
      <c r="N18" s="12"/>
      <c r="O18" s="4"/>
      <c r="P18" s="5"/>
      <c r="Q18" s="14"/>
      <c r="R18" s="5"/>
      <c r="S18" s="14"/>
      <c r="T18" s="4"/>
      <c r="U18" s="11"/>
      <c r="V18" s="11"/>
      <c r="W18" s="12"/>
      <c r="X18" s="15" t="str">
        <f>IF($A18="","",COUNTIFS('PI Furnizor'!$A$7:$A$506,$A18,'PI Furnizor'!$D$7:$D$506,"&gt;0"))</f>
        <v/>
      </c>
      <c r="Y18" s="16" t="str">
        <f>IF($A18="","",SUMIFS('PI Furnizor'!$D$7:$D$506,'PI Furnizor'!$A$7:$A$506,$A18))</f>
        <v/>
      </c>
      <c r="Z18" s="9" t="str">
        <f>IF($A18="","",SUMIFS('PI Furnizor'!$O$7:$O$506,'PI Furnizor'!$A$7:$A$506,$A18))</f>
        <v/>
      </c>
      <c r="AA18" s="10" t="str">
        <f>IF($A18="","",SUMIFS('PI Furnizor'!$Q$7:$Q$506,'PI Furnizor'!$A$7:$A$506,$A18))</f>
        <v/>
      </c>
      <c r="AB18" s="56" t="str">
        <f>IF($A18="","",SUMIFS('PI Furnizor'!$N$7:$N$506,'PI Furnizor'!$A$7:$A$506,$A18))</f>
        <v/>
      </c>
      <c r="AC18" s="55" t="str">
        <f t="shared" si="0"/>
        <v/>
      </c>
      <c r="AD18" s="9" t="str">
        <f t="shared" si="1"/>
        <v/>
      </c>
      <c r="AE18" s="9" t="str">
        <f t="shared" si="2"/>
        <v/>
      </c>
      <c r="AF18" s="9" t="str">
        <f t="shared" si="3"/>
        <v/>
      </c>
      <c r="AG18" s="18" t="str">
        <f t="shared" si="4"/>
        <v/>
      </c>
      <c r="AH18" s="17" t="str">
        <f t="shared" si="5"/>
        <v/>
      </c>
      <c r="AI18" s="17" t="str">
        <f t="shared" si="6"/>
        <v/>
      </c>
      <c r="AJ18" s="17" t="str">
        <f t="shared" si="7"/>
        <v/>
      </c>
      <c r="AK18" s="17" t="str">
        <f t="shared" si="8"/>
        <v/>
      </c>
      <c r="AL18" s="19" t="str">
        <f t="shared" si="9"/>
        <v/>
      </c>
      <c r="AM18" s="19" t="str">
        <f t="shared" si="10"/>
        <v/>
      </c>
      <c r="AN18" s="9" t="str">
        <f t="shared" si="11"/>
        <v/>
      </c>
      <c r="AO18" s="18" t="str">
        <f>IF($A18="","",SUMIFS('Calculator Cost per Bucata'!$V$10:$V$509,'Calculator Cost per Bucata'!$A$10:$A$509,$A18))</f>
        <v/>
      </c>
      <c r="AP18" s="17" t="str">
        <f t="shared" si="12"/>
        <v/>
      </c>
      <c r="AQ18" s="20" t="str">
        <f>IF($A18="","",SUMIFS('Calculator Cost per Bucata'!$W$10:$W$509,'Calculator Cost per Bucata'!$A$10:$A$509,$A18))</f>
        <v/>
      </c>
      <c r="AR18" s="21" t="str">
        <f t="shared" si="13"/>
        <v/>
      </c>
      <c r="AS18" s="22" t="str">
        <f t="shared" si="14"/>
        <v/>
      </c>
      <c r="AT18" s="23" t="str">
        <f t="shared" si="15"/>
        <v/>
      </c>
    </row>
    <row r="19" spans="1:46" x14ac:dyDescent="0.3">
      <c r="A19" s="12"/>
      <c r="B19" s="13"/>
      <c r="C19" s="2"/>
      <c r="D19" s="2"/>
      <c r="E19" s="2"/>
      <c r="F19" s="2"/>
      <c r="G19" s="12"/>
      <c r="H19" s="7"/>
      <c r="I19" s="7"/>
      <c r="J19" s="12"/>
      <c r="K19" s="12"/>
      <c r="L19" s="4"/>
      <c r="M19" s="4"/>
      <c r="N19" s="12"/>
      <c r="O19" s="4"/>
      <c r="P19" s="5"/>
      <c r="Q19" s="14"/>
      <c r="R19" s="5"/>
      <c r="S19" s="14"/>
      <c r="T19" s="4"/>
      <c r="U19" s="11"/>
      <c r="V19" s="11"/>
      <c r="W19" s="12"/>
      <c r="X19" s="15" t="str">
        <f>IF($A19="","",COUNTIFS('PI Furnizor'!$A$7:$A$506,$A19,'PI Furnizor'!$D$7:$D$506,"&gt;0"))</f>
        <v/>
      </c>
      <c r="Y19" s="16" t="str">
        <f>IF($A19="","",SUMIFS('PI Furnizor'!$D$7:$D$506,'PI Furnizor'!$A$7:$A$506,$A19))</f>
        <v/>
      </c>
      <c r="Z19" s="9" t="str">
        <f>IF($A19="","",SUMIFS('PI Furnizor'!$O$7:$O$506,'PI Furnizor'!$A$7:$A$506,$A19))</f>
        <v/>
      </c>
      <c r="AA19" s="10" t="str">
        <f>IF($A19="","",SUMIFS('PI Furnizor'!$Q$7:$Q$506,'PI Furnizor'!$A$7:$A$506,$A19))</f>
        <v/>
      </c>
      <c r="AB19" s="56" t="str">
        <f>IF($A19="","",SUMIFS('PI Furnizor'!$N$7:$N$506,'PI Furnizor'!$A$7:$A$506,$A19))</f>
        <v/>
      </c>
      <c r="AC19" s="55" t="str">
        <f t="shared" si="0"/>
        <v/>
      </c>
      <c r="AD19" s="9" t="str">
        <f t="shared" si="1"/>
        <v/>
      </c>
      <c r="AE19" s="9" t="str">
        <f t="shared" si="2"/>
        <v/>
      </c>
      <c r="AF19" s="9" t="str">
        <f t="shared" si="3"/>
        <v/>
      </c>
      <c r="AG19" s="18" t="str">
        <f t="shared" si="4"/>
        <v/>
      </c>
      <c r="AH19" s="17" t="str">
        <f t="shared" si="5"/>
        <v/>
      </c>
      <c r="AI19" s="17" t="str">
        <f t="shared" si="6"/>
        <v/>
      </c>
      <c r="AJ19" s="17" t="str">
        <f t="shared" si="7"/>
        <v/>
      </c>
      <c r="AK19" s="17" t="str">
        <f t="shared" si="8"/>
        <v/>
      </c>
      <c r="AL19" s="19" t="str">
        <f t="shared" si="9"/>
        <v/>
      </c>
      <c r="AM19" s="19" t="str">
        <f t="shared" si="10"/>
        <v/>
      </c>
      <c r="AN19" s="9" t="str">
        <f t="shared" si="11"/>
        <v/>
      </c>
      <c r="AO19" s="18" t="str">
        <f>IF($A19="","",SUMIFS('Calculator Cost per Bucata'!$V$10:$V$509,'Calculator Cost per Bucata'!$A$10:$A$509,$A19))</f>
        <v/>
      </c>
      <c r="AP19" s="17" t="str">
        <f t="shared" si="12"/>
        <v/>
      </c>
      <c r="AQ19" s="20" t="str">
        <f>IF($A19="","",SUMIFS('Calculator Cost per Bucata'!$W$10:$W$509,'Calculator Cost per Bucata'!$A$10:$A$509,$A19))</f>
        <v/>
      </c>
      <c r="AR19" s="21" t="str">
        <f t="shared" si="13"/>
        <v/>
      </c>
      <c r="AS19" s="22" t="str">
        <f t="shared" si="14"/>
        <v/>
      </c>
      <c r="AT19" s="23" t="str">
        <f t="shared" si="15"/>
        <v/>
      </c>
    </row>
    <row r="20" spans="1:46" x14ac:dyDescent="0.3">
      <c r="A20" s="12"/>
      <c r="B20" s="13"/>
      <c r="C20" s="2"/>
      <c r="D20" s="2"/>
      <c r="E20" s="2"/>
      <c r="F20" s="2"/>
      <c r="G20" s="12"/>
      <c r="H20" s="7"/>
      <c r="I20" s="7"/>
      <c r="J20" s="12"/>
      <c r="K20" s="12"/>
      <c r="L20" s="4"/>
      <c r="M20" s="4"/>
      <c r="N20" s="12"/>
      <c r="O20" s="4"/>
      <c r="P20" s="5"/>
      <c r="Q20" s="14"/>
      <c r="R20" s="5"/>
      <c r="S20" s="14"/>
      <c r="T20" s="4"/>
      <c r="U20" s="11"/>
      <c r="V20" s="11"/>
      <c r="W20" s="12"/>
      <c r="X20" s="15" t="str">
        <f>IF($A20="","",COUNTIFS('PI Furnizor'!$A$7:$A$506,$A20,'PI Furnizor'!$D$7:$D$506,"&gt;0"))</f>
        <v/>
      </c>
      <c r="Y20" s="16" t="str">
        <f>IF($A20="","",SUMIFS('PI Furnizor'!$D$7:$D$506,'PI Furnizor'!$A$7:$A$506,$A20))</f>
        <v/>
      </c>
      <c r="Z20" s="9" t="str">
        <f>IF($A20="","",SUMIFS('PI Furnizor'!$O$7:$O$506,'PI Furnizor'!$A$7:$A$506,$A20))</f>
        <v/>
      </c>
      <c r="AA20" s="10" t="str">
        <f>IF($A20="","",SUMIFS('PI Furnizor'!$Q$7:$Q$506,'PI Furnizor'!$A$7:$A$506,$A20))</f>
        <v/>
      </c>
      <c r="AB20" s="56" t="str">
        <f>IF($A20="","",SUMIFS('PI Furnizor'!$N$7:$N$506,'PI Furnizor'!$A$7:$A$506,$A20))</f>
        <v/>
      </c>
      <c r="AC20" s="55" t="str">
        <f t="shared" si="0"/>
        <v/>
      </c>
      <c r="AD20" s="9" t="str">
        <f t="shared" si="1"/>
        <v/>
      </c>
      <c r="AE20" s="9" t="str">
        <f t="shared" si="2"/>
        <v/>
      </c>
      <c r="AF20" s="9" t="str">
        <f t="shared" si="3"/>
        <v/>
      </c>
      <c r="AG20" s="18" t="str">
        <f t="shared" si="4"/>
        <v/>
      </c>
      <c r="AH20" s="17" t="str">
        <f t="shared" si="5"/>
        <v/>
      </c>
      <c r="AI20" s="17" t="str">
        <f t="shared" si="6"/>
        <v/>
      </c>
      <c r="AJ20" s="17" t="str">
        <f t="shared" si="7"/>
        <v/>
      </c>
      <c r="AK20" s="17" t="str">
        <f t="shared" si="8"/>
        <v/>
      </c>
      <c r="AL20" s="19" t="str">
        <f t="shared" si="9"/>
        <v/>
      </c>
      <c r="AM20" s="19" t="str">
        <f t="shared" si="10"/>
        <v/>
      </c>
      <c r="AN20" s="9" t="str">
        <f t="shared" si="11"/>
        <v/>
      </c>
      <c r="AO20" s="18" t="str">
        <f>IF($A20="","",SUMIFS('Calculator Cost per Bucata'!$V$10:$V$509,'Calculator Cost per Bucata'!$A$10:$A$509,$A20))</f>
        <v/>
      </c>
      <c r="AP20" s="17" t="str">
        <f t="shared" si="12"/>
        <v/>
      </c>
      <c r="AQ20" s="20" t="str">
        <f>IF($A20="","",SUMIFS('Calculator Cost per Bucata'!$W$10:$W$509,'Calculator Cost per Bucata'!$A$10:$A$509,$A20))</f>
        <v/>
      </c>
      <c r="AR20" s="21" t="str">
        <f t="shared" si="13"/>
        <v/>
      </c>
      <c r="AS20" s="22" t="str">
        <f t="shared" si="14"/>
        <v/>
      </c>
      <c r="AT20" s="23" t="str">
        <f t="shared" si="15"/>
        <v/>
      </c>
    </row>
    <row r="21" spans="1:46" x14ac:dyDescent="0.3">
      <c r="A21" s="12"/>
      <c r="B21" s="13"/>
      <c r="C21" s="2"/>
      <c r="D21" s="2"/>
      <c r="E21" s="2"/>
      <c r="F21" s="2"/>
      <c r="G21" s="12"/>
      <c r="H21" s="7"/>
      <c r="I21" s="7"/>
      <c r="J21" s="12"/>
      <c r="K21" s="12"/>
      <c r="L21" s="4"/>
      <c r="M21" s="4"/>
      <c r="N21" s="12"/>
      <c r="O21" s="4"/>
      <c r="P21" s="5"/>
      <c r="Q21" s="14"/>
      <c r="R21" s="5"/>
      <c r="S21" s="14"/>
      <c r="T21" s="4"/>
      <c r="U21" s="11"/>
      <c r="V21" s="11"/>
      <c r="W21" s="12"/>
      <c r="X21" s="15" t="str">
        <f>IF($A21="","",COUNTIFS('PI Furnizor'!$A$7:$A$506,$A21,'PI Furnizor'!$D$7:$D$506,"&gt;0"))</f>
        <v/>
      </c>
      <c r="Y21" s="16" t="str">
        <f>IF($A21="","",SUMIFS('PI Furnizor'!$D$7:$D$506,'PI Furnizor'!$A$7:$A$506,$A21))</f>
        <v/>
      </c>
      <c r="Z21" s="9" t="str">
        <f>IF($A21="","",SUMIFS('PI Furnizor'!$O$7:$O$506,'PI Furnizor'!$A$7:$A$506,$A21))</f>
        <v/>
      </c>
      <c r="AA21" s="10" t="str">
        <f>IF($A21="","",SUMIFS('PI Furnizor'!$Q$7:$Q$506,'PI Furnizor'!$A$7:$A$506,$A21))</f>
        <v/>
      </c>
      <c r="AB21" s="56" t="str">
        <f>IF($A21="","",SUMIFS('PI Furnizor'!$N$7:$N$506,'PI Furnizor'!$A$7:$A$506,$A21))</f>
        <v/>
      </c>
      <c r="AC21" s="55" t="str">
        <f t="shared" si="0"/>
        <v/>
      </c>
      <c r="AD21" s="9" t="str">
        <f t="shared" si="1"/>
        <v/>
      </c>
      <c r="AE21" s="9" t="str">
        <f t="shared" si="2"/>
        <v/>
      </c>
      <c r="AF21" s="9" t="str">
        <f t="shared" si="3"/>
        <v/>
      </c>
      <c r="AG21" s="18" t="str">
        <f t="shared" si="4"/>
        <v/>
      </c>
      <c r="AH21" s="17" t="str">
        <f t="shared" si="5"/>
        <v/>
      </c>
      <c r="AI21" s="17" t="str">
        <f t="shared" si="6"/>
        <v/>
      </c>
      <c r="AJ21" s="17" t="str">
        <f t="shared" si="7"/>
        <v/>
      </c>
      <c r="AK21" s="17" t="str">
        <f t="shared" si="8"/>
        <v/>
      </c>
      <c r="AL21" s="19" t="str">
        <f t="shared" si="9"/>
        <v/>
      </c>
      <c r="AM21" s="19" t="str">
        <f t="shared" si="10"/>
        <v/>
      </c>
      <c r="AN21" s="9" t="str">
        <f t="shared" si="11"/>
        <v/>
      </c>
      <c r="AO21" s="18" t="str">
        <f>IF($A21="","",SUMIFS('Calculator Cost per Bucata'!$V$10:$V$509,'Calculator Cost per Bucata'!$A$10:$A$509,$A21))</f>
        <v/>
      </c>
      <c r="AP21" s="17" t="str">
        <f t="shared" si="12"/>
        <v/>
      </c>
      <c r="AQ21" s="20" t="str">
        <f>IF($A21="","",SUMIFS('Calculator Cost per Bucata'!$W$10:$W$509,'Calculator Cost per Bucata'!$A$10:$A$509,$A21))</f>
        <v/>
      </c>
      <c r="AR21" s="21" t="str">
        <f t="shared" si="13"/>
        <v/>
      </c>
      <c r="AS21" s="22" t="str">
        <f t="shared" si="14"/>
        <v/>
      </c>
      <c r="AT21" s="23" t="str">
        <f t="shared" si="15"/>
        <v/>
      </c>
    </row>
    <row r="22" spans="1:46" x14ac:dyDescent="0.3">
      <c r="A22" s="12"/>
      <c r="B22" s="13"/>
      <c r="C22" s="2"/>
      <c r="D22" s="2"/>
      <c r="E22" s="2"/>
      <c r="F22" s="2"/>
      <c r="G22" s="12"/>
      <c r="H22" s="7"/>
      <c r="I22" s="7"/>
      <c r="J22" s="12"/>
      <c r="K22" s="12"/>
      <c r="L22" s="4"/>
      <c r="M22" s="4"/>
      <c r="N22" s="12"/>
      <c r="O22" s="4"/>
      <c r="P22" s="5"/>
      <c r="Q22" s="14"/>
      <c r="R22" s="5"/>
      <c r="S22" s="14"/>
      <c r="T22" s="4"/>
      <c r="U22" s="11"/>
      <c r="V22" s="11"/>
      <c r="W22" s="12"/>
      <c r="X22" s="15" t="str">
        <f>IF($A22="","",COUNTIFS('PI Furnizor'!$A$7:$A$506,$A22,'PI Furnizor'!$D$7:$D$506,"&gt;0"))</f>
        <v/>
      </c>
      <c r="Y22" s="16" t="str">
        <f>IF($A22="","",SUMIFS('PI Furnizor'!$D$7:$D$506,'PI Furnizor'!$A$7:$A$506,$A22))</f>
        <v/>
      </c>
      <c r="Z22" s="9" t="str">
        <f>IF($A22="","",SUMIFS('PI Furnizor'!$O$7:$O$506,'PI Furnizor'!$A$7:$A$506,$A22))</f>
        <v/>
      </c>
      <c r="AA22" s="10" t="str">
        <f>IF($A22="","",SUMIFS('PI Furnizor'!$Q$7:$Q$506,'PI Furnizor'!$A$7:$A$506,$A22))</f>
        <v/>
      </c>
      <c r="AB22" s="56" t="str">
        <f>IF($A22="","",SUMIFS('PI Furnizor'!$N$7:$N$506,'PI Furnizor'!$A$7:$A$506,$A22))</f>
        <v/>
      </c>
      <c r="AC22" s="55" t="str">
        <f t="shared" si="0"/>
        <v/>
      </c>
      <c r="AD22" s="9" t="str">
        <f t="shared" si="1"/>
        <v/>
      </c>
      <c r="AE22" s="9" t="str">
        <f t="shared" si="2"/>
        <v/>
      </c>
      <c r="AF22" s="9" t="str">
        <f t="shared" si="3"/>
        <v/>
      </c>
      <c r="AG22" s="18" t="str">
        <f t="shared" si="4"/>
        <v/>
      </c>
      <c r="AH22" s="17" t="str">
        <f t="shared" si="5"/>
        <v/>
      </c>
      <c r="AI22" s="17" t="str">
        <f t="shared" si="6"/>
        <v/>
      </c>
      <c r="AJ22" s="17" t="str">
        <f t="shared" si="7"/>
        <v/>
      </c>
      <c r="AK22" s="17" t="str">
        <f t="shared" si="8"/>
        <v/>
      </c>
      <c r="AL22" s="19" t="str">
        <f t="shared" si="9"/>
        <v/>
      </c>
      <c r="AM22" s="19" t="str">
        <f t="shared" si="10"/>
        <v/>
      </c>
      <c r="AN22" s="9" t="str">
        <f t="shared" si="11"/>
        <v/>
      </c>
      <c r="AO22" s="18" t="str">
        <f>IF($A22="","",SUMIFS('Calculator Cost per Bucata'!$V$10:$V$509,'Calculator Cost per Bucata'!$A$10:$A$509,$A22))</f>
        <v/>
      </c>
      <c r="AP22" s="17" t="str">
        <f t="shared" si="12"/>
        <v/>
      </c>
      <c r="AQ22" s="20" t="str">
        <f>IF($A22="","",SUMIFS('Calculator Cost per Bucata'!$W$10:$W$509,'Calculator Cost per Bucata'!$A$10:$A$509,$A22))</f>
        <v/>
      </c>
      <c r="AR22" s="21" t="str">
        <f t="shared" si="13"/>
        <v/>
      </c>
      <c r="AS22" s="22" t="str">
        <f t="shared" si="14"/>
        <v/>
      </c>
      <c r="AT22" s="23" t="str">
        <f t="shared" si="15"/>
        <v/>
      </c>
    </row>
    <row r="23" spans="1:46" x14ac:dyDescent="0.3">
      <c r="A23" s="12"/>
      <c r="B23" s="13"/>
      <c r="C23" s="2"/>
      <c r="D23" s="2"/>
      <c r="E23" s="2"/>
      <c r="F23" s="2"/>
      <c r="G23" s="12"/>
      <c r="H23" s="7"/>
      <c r="I23" s="7"/>
      <c r="J23" s="12"/>
      <c r="K23" s="12"/>
      <c r="L23" s="4"/>
      <c r="M23" s="4"/>
      <c r="N23" s="12"/>
      <c r="O23" s="4"/>
      <c r="P23" s="5"/>
      <c r="Q23" s="14"/>
      <c r="R23" s="5"/>
      <c r="S23" s="14"/>
      <c r="T23" s="4"/>
      <c r="U23" s="11"/>
      <c r="V23" s="11"/>
      <c r="W23" s="12"/>
      <c r="X23" s="15" t="str">
        <f>IF($A23="","",COUNTIFS('PI Furnizor'!$A$7:$A$506,$A23,'PI Furnizor'!$D$7:$D$506,"&gt;0"))</f>
        <v/>
      </c>
      <c r="Y23" s="16" t="str">
        <f>IF($A23="","",SUMIFS('PI Furnizor'!$D$7:$D$506,'PI Furnizor'!$A$7:$A$506,$A23))</f>
        <v/>
      </c>
      <c r="Z23" s="9" t="str">
        <f>IF($A23="","",SUMIFS('PI Furnizor'!$O$7:$O$506,'PI Furnizor'!$A$7:$A$506,$A23))</f>
        <v/>
      </c>
      <c r="AA23" s="10" t="str">
        <f>IF($A23="","",SUMIFS('PI Furnizor'!$Q$7:$Q$506,'PI Furnizor'!$A$7:$A$506,$A23))</f>
        <v/>
      </c>
      <c r="AB23" s="56" t="str">
        <f>IF($A23="","",SUMIFS('PI Furnizor'!$N$7:$N$506,'PI Furnizor'!$A$7:$A$506,$A23))</f>
        <v/>
      </c>
      <c r="AC23" s="55" t="str">
        <f t="shared" si="0"/>
        <v/>
      </c>
      <c r="AD23" s="9" t="str">
        <f t="shared" si="1"/>
        <v/>
      </c>
      <c r="AE23" s="9" t="str">
        <f t="shared" si="2"/>
        <v/>
      </c>
      <c r="AF23" s="9" t="str">
        <f t="shared" si="3"/>
        <v/>
      </c>
      <c r="AG23" s="18" t="str">
        <f t="shared" si="4"/>
        <v/>
      </c>
      <c r="AH23" s="17" t="str">
        <f t="shared" si="5"/>
        <v/>
      </c>
      <c r="AI23" s="17" t="str">
        <f t="shared" si="6"/>
        <v/>
      </c>
      <c r="AJ23" s="17" t="str">
        <f t="shared" si="7"/>
        <v/>
      </c>
      <c r="AK23" s="17" t="str">
        <f t="shared" si="8"/>
        <v/>
      </c>
      <c r="AL23" s="19" t="str">
        <f t="shared" si="9"/>
        <v/>
      </c>
      <c r="AM23" s="19" t="str">
        <f t="shared" si="10"/>
        <v/>
      </c>
      <c r="AN23" s="9" t="str">
        <f t="shared" si="11"/>
        <v/>
      </c>
      <c r="AO23" s="18" t="str">
        <f>IF($A23="","",SUMIFS('Calculator Cost per Bucata'!$V$10:$V$509,'Calculator Cost per Bucata'!$A$10:$A$509,$A23))</f>
        <v/>
      </c>
      <c r="AP23" s="17" t="str">
        <f t="shared" si="12"/>
        <v/>
      </c>
      <c r="AQ23" s="20" t="str">
        <f>IF($A23="","",SUMIFS('Calculator Cost per Bucata'!$W$10:$W$509,'Calculator Cost per Bucata'!$A$10:$A$509,$A23))</f>
        <v/>
      </c>
      <c r="AR23" s="21" t="str">
        <f t="shared" si="13"/>
        <v/>
      </c>
      <c r="AS23" s="22" t="str">
        <f t="shared" si="14"/>
        <v/>
      </c>
      <c r="AT23" s="23" t="str">
        <f t="shared" si="15"/>
        <v/>
      </c>
    </row>
    <row r="24" spans="1:46" x14ac:dyDescent="0.3">
      <c r="A24" s="12"/>
      <c r="B24" s="13"/>
      <c r="C24" s="2"/>
      <c r="D24" s="2"/>
      <c r="E24" s="2"/>
      <c r="F24" s="2"/>
      <c r="G24" s="12"/>
      <c r="H24" s="7"/>
      <c r="I24" s="7"/>
      <c r="J24" s="12"/>
      <c r="K24" s="12"/>
      <c r="L24" s="4"/>
      <c r="M24" s="4"/>
      <c r="N24" s="12"/>
      <c r="O24" s="4"/>
      <c r="P24" s="5"/>
      <c r="Q24" s="14"/>
      <c r="R24" s="5"/>
      <c r="S24" s="14"/>
      <c r="T24" s="4"/>
      <c r="U24" s="11"/>
      <c r="V24" s="11"/>
      <c r="W24" s="12"/>
      <c r="X24" s="15" t="str">
        <f>IF($A24="","",COUNTIFS('PI Furnizor'!$A$7:$A$506,$A24,'PI Furnizor'!$D$7:$D$506,"&gt;0"))</f>
        <v/>
      </c>
      <c r="Y24" s="16" t="str">
        <f>IF($A24="","",SUMIFS('PI Furnizor'!$D$7:$D$506,'PI Furnizor'!$A$7:$A$506,$A24))</f>
        <v/>
      </c>
      <c r="Z24" s="9" t="str">
        <f>IF($A24="","",SUMIFS('PI Furnizor'!$O$7:$O$506,'PI Furnizor'!$A$7:$A$506,$A24))</f>
        <v/>
      </c>
      <c r="AA24" s="10" t="str">
        <f>IF($A24="","",SUMIFS('PI Furnizor'!$Q$7:$Q$506,'PI Furnizor'!$A$7:$A$506,$A24))</f>
        <v/>
      </c>
      <c r="AB24" s="56" t="str">
        <f>IF($A24="","",SUMIFS('PI Furnizor'!$N$7:$N$506,'PI Furnizor'!$A$7:$A$506,$A24))</f>
        <v/>
      </c>
      <c r="AC24" s="55" t="str">
        <f t="shared" si="0"/>
        <v/>
      </c>
      <c r="AD24" s="9" t="str">
        <f t="shared" si="1"/>
        <v/>
      </c>
      <c r="AE24" s="9" t="str">
        <f t="shared" si="2"/>
        <v/>
      </c>
      <c r="AF24" s="9" t="str">
        <f t="shared" si="3"/>
        <v/>
      </c>
      <c r="AG24" s="18" t="str">
        <f t="shared" si="4"/>
        <v/>
      </c>
      <c r="AH24" s="17" t="str">
        <f t="shared" si="5"/>
        <v/>
      </c>
      <c r="AI24" s="17" t="str">
        <f t="shared" si="6"/>
        <v/>
      </c>
      <c r="AJ24" s="17" t="str">
        <f t="shared" si="7"/>
        <v/>
      </c>
      <c r="AK24" s="17" t="str">
        <f t="shared" si="8"/>
        <v/>
      </c>
      <c r="AL24" s="19" t="str">
        <f t="shared" si="9"/>
        <v/>
      </c>
      <c r="AM24" s="19" t="str">
        <f t="shared" si="10"/>
        <v/>
      </c>
      <c r="AN24" s="9" t="str">
        <f t="shared" si="11"/>
        <v/>
      </c>
      <c r="AO24" s="18" t="str">
        <f>IF($A24="","",SUMIFS('Calculator Cost per Bucata'!$V$10:$V$509,'Calculator Cost per Bucata'!$A$10:$A$509,$A24))</f>
        <v/>
      </c>
      <c r="AP24" s="17" t="str">
        <f t="shared" si="12"/>
        <v/>
      </c>
      <c r="AQ24" s="20" t="str">
        <f>IF($A24="","",SUMIFS('Calculator Cost per Bucata'!$W$10:$W$509,'Calculator Cost per Bucata'!$A$10:$A$509,$A24))</f>
        <v/>
      </c>
      <c r="AR24" s="21" t="str">
        <f t="shared" si="13"/>
        <v/>
      </c>
      <c r="AS24" s="22" t="str">
        <f t="shared" si="14"/>
        <v/>
      </c>
      <c r="AT24" s="23" t="str">
        <f t="shared" si="15"/>
        <v/>
      </c>
    </row>
    <row r="25" spans="1:46" x14ac:dyDescent="0.3">
      <c r="A25" s="12"/>
      <c r="B25" s="13"/>
      <c r="C25" s="2"/>
      <c r="D25" s="2"/>
      <c r="E25" s="2"/>
      <c r="F25" s="2"/>
      <c r="G25" s="12"/>
      <c r="H25" s="7"/>
      <c r="I25" s="7"/>
      <c r="J25" s="12"/>
      <c r="K25" s="12"/>
      <c r="L25" s="4"/>
      <c r="M25" s="4"/>
      <c r="N25" s="12"/>
      <c r="O25" s="4"/>
      <c r="P25" s="5"/>
      <c r="Q25" s="14"/>
      <c r="R25" s="5"/>
      <c r="S25" s="14"/>
      <c r="T25" s="4"/>
      <c r="U25" s="11"/>
      <c r="V25" s="11"/>
      <c r="W25" s="12"/>
      <c r="X25" s="15" t="str">
        <f>IF($A25="","",COUNTIFS('PI Furnizor'!$A$7:$A$506,$A25,'PI Furnizor'!$D$7:$D$506,"&gt;0"))</f>
        <v/>
      </c>
      <c r="Y25" s="16" t="str">
        <f>IF($A25="","",SUMIFS('PI Furnizor'!$D$7:$D$506,'PI Furnizor'!$A$7:$A$506,$A25))</f>
        <v/>
      </c>
      <c r="Z25" s="9" t="str">
        <f>IF($A25="","",SUMIFS('PI Furnizor'!$O$7:$O$506,'PI Furnizor'!$A$7:$A$506,$A25))</f>
        <v/>
      </c>
      <c r="AA25" s="10" t="str">
        <f>IF($A25="","",SUMIFS('PI Furnizor'!$Q$7:$Q$506,'PI Furnizor'!$A$7:$A$506,$A25))</f>
        <v/>
      </c>
      <c r="AB25" s="56" t="str">
        <f>IF($A25="","",SUMIFS('PI Furnizor'!$N$7:$N$506,'PI Furnizor'!$A$7:$A$506,$A25))</f>
        <v/>
      </c>
      <c r="AC25" s="55" t="str">
        <f t="shared" si="0"/>
        <v/>
      </c>
      <c r="AD25" s="9" t="str">
        <f t="shared" si="1"/>
        <v/>
      </c>
      <c r="AE25" s="9" t="str">
        <f t="shared" si="2"/>
        <v/>
      </c>
      <c r="AF25" s="9" t="str">
        <f t="shared" si="3"/>
        <v/>
      </c>
      <c r="AG25" s="18" t="str">
        <f t="shared" si="4"/>
        <v/>
      </c>
      <c r="AH25" s="17" t="str">
        <f t="shared" si="5"/>
        <v/>
      </c>
      <c r="AI25" s="17" t="str">
        <f t="shared" si="6"/>
        <v/>
      </c>
      <c r="AJ25" s="17" t="str">
        <f t="shared" si="7"/>
        <v/>
      </c>
      <c r="AK25" s="17" t="str">
        <f t="shared" si="8"/>
        <v/>
      </c>
      <c r="AL25" s="19" t="str">
        <f t="shared" si="9"/>
        <v/>
      </c>
      <c r="AM25" s="19" t="str">
        <f t="shared" si="10"/>
        <v/>
      </c>
      <c r="AN25" s="9" t="str">
        <f t="shared" si="11"/>
        <v/>
      </c>
      <c r="AO25" s="18" t="str">
        <f>IF($A25="","",SUMIFS('Calculator Cost per Bucata'!$V$10:$V$509,'Calculator Cost per Bucata'!$A$10:$A$509,$A25))</f>
        <v/>
      </c>
      <c r="AP25" s="17" t="str">
        <f t="shared" si="12"/>
        <v/>
      </c>
      <c r="AQ25" s="20" t="str">
        <f>IF($A25="","",SUMIFS('Calculator Cost per Bucata'!$W$10:$W$509,'Calculator Cost per Bucata'!$A$10:$A$509,$A25))</f>
        <v/>
      </c>
      <c r="AR25" s="21" t="str">
        <f t="shared" si="13"/>
        <v/>
      </c>
      <c r="AS25" s="22" t="str">
        <f t="shared" si="14"/>
        <v/>
      </c>
      <c r="AT25" s="23" t="str">
        <f t="shared" si="15"/>
        <v/>
      </c>
    </row>
    <row r="26" spans="1:46" x14ac:dyDescent="0.3">
      <c r="A26" s="12"/>
      <c r="B26" s="13"/>
      <c r="C26" s="2"/>
      <c r="D26" s="2"/>
      <c r="E26" s="2"/>
      <c r="F26" s="2"/>
      <c r="G26" s="12"/>
      <c r="H26" s="7"/>
      <c r="I26" s="7"/>
      <c r="J26" s="12"/>
      <c r="K26" s="12"/>
      <c r="L26" s="4"/>
      <c r="M26" s="4"/>
      <c r="N26" s="12"/>
      <c r="O26" s="4"/>
      <c r="P26" s="5"/>
      <c r="Q26" s="14"/>
      <c r="R26" s="5"/>
      <c r="S26" s="14"/>
      <c r="T26" s="4"/>
      <c r="U26" s="11"/>
      <c r="V26" s="11"/>
      <c r="W26" s="12"/>
      <c r="X26" s="15" t="str">
        <f>IF($A26="","",COUNTIFS('PI Furnizor'!$A$7:$A$506,$A26,'PI Furnizor'!$D$7:$D$506,"&gt;0"))</f>
        <v/>
      </c>
      <c r="Y26" s="16" t="str">
        <f>IF($A26="","",SUMIFS('PI Furnizor'!$D$7:$D$506,'PI Furnizor'!$A$7:$A$506,$A26))</f>
        <v/>
      </c>
      <c r="Z26" s="9" t="str">
        <f>IF($A26="","",SUMIFS('PI Furnizor'!$O$7:$O$506,'PI Furnizor'!$A$7:$A$506,$A26))</f>
        <v/>
      </c>
      <c r="AA26" s="10" t="str">
        <f>IF($A26="","",SUMIFS('PI Furnizor'!$Q$7:$Q$506,'PI Furnizor'!$A$7:$A$506,$A26))</f>
        <v/>
      </c>
      <c r="AB26" s="56" t="str">
        <f>IF($A26="","",SUMIFS('PI Furnizor'!$N$7:$N$506,'PI Furnizor'!$A$7:$A$506,$A26))</f>
        <v/>
      </c>
      <c r="AC26" s="55" t="str">
        <f t="shared" si="0"/>
        <v/>
      </c>
      <c r="AD26" s="9" t="str">
        <f t="shared" si="1"/>
        <v/>
      </c>
      <c r="AE26" s="9" t="str">
        <f t="shared" si="2"/>
        <v/>
      </c>
      <c r="AF26" s="9" t="str">
        <f t="shared" si="3"/>
        <v/>
      </c>
      <c r="AG26" s="18" t="str">
        <f t="shared" si="4"/>
        <v/>
      </c>
      <c r="AH26" s="17" t="str">
        <f t="shared" si="5"/>
        <v/>
      </c>
      <c r="AI26" s="17" t="str">
        <f t="shared" si="6"/>
        <v/>
      </c>
      <c r="AJ26" s="17" t="str">
        <f t="shared" si="7"/>
        <v/>
      </c>
      <c r="AK26" s="17" t="str">
        <f t="shared" si="8"/>
        <v/>
      </c>
      <c r="AL26" s="19" t="str">
        <f t="shared" si="9"/>
        <v/>
      </c>
      <c r="AM26" s="19" t="str">
        <f t="shared" si="10"/>
        <v/>
      </c>
      <c r="AN26" s="9" t="str">
        <f t="shared" si="11"/>
        <v/>
      </c>
      <c r="AO26" s="18" t="str">
        <f>IF($A26="","",SUMIFS('Calculator Cost per Bucata'!$V$10:$V$509,'Calculator Cost per Bucata'!$A$10:$A$509,$A26))</f>
        <v/>
      </c>
      <c r="AP26" s="17" t="str">
        <f t="shared" si="12"/>
        <v/>
      </c>
      <c r="AQ26" s="20" t="str">
        <f>IF($A26="","",SUMIFS('Calculator Cost per Bucata'!$W$10:$W$509,'Calculator Cost per Bucata'!$A$10:$A$509,$A26))</f>
        <v/>
      </c>
      <c r="AR26" s="21" t="str">
        <f t="shared" si="13"/>
        <v/>
      </c>
      <c r="AS26" s="22" t="str">
        <f t="shared" si="14"/>
        <v/>
      </c>
      <c r="AT26" s="23" t="str">
        <f t="shared" si="15"/>
        <v/>
      </c>
    </row>
    <row r="27" spans="1:46" x14ac:dyDescent="0.3">
      <c r="A27" s="12"/>
      <c r="B27" s="13"/>
      <c r="C27" s="2"/>
      <c r="D27" s="2"/>
      <c r="E27" s="2"/>
      <c r="F27" s="2"/>
      <c r="G27" s="12"/>
      <c r="H27" s="7"/>
      <c r="I27" s="7"/>
      <c r="J27" s="12"/>
      <c r="K27" s="12"/>
      <c r="L27" s="4"/>
      <c r="M27" s="4"/>
      <c r="N27" s="12"/>
      <c r="O27" s="4"/>
      <c r="P27" s="5"/>
      <c r="Q27" s="14"/>
      <c r="R27" s="5"/>
      <c r="S27" s="14"/>
      <c r="T27" s="4"/>
      <c r="U27" s="11"/>
      <c r="V27" s="11"/>
      <c r="W27" s="12"/>
      <c r="X27" s="15" t="str">
        <f>IF($A27="","",COUNTIFS('PI Furnizor'!$A$7:$A$506,$A27,'PI Furnizor'!$D$7:$D$506,"&gt;0"))</f>
        <v/>
      </c>
      <c r="Y27" s="16" t="str">
        <f>IF($A27="","",SUMIFS('PI Furnizor'!$D$7:$D$506,'PI Furnizor'!$A$7:$A$506,$A27))</f>
        <v/>
      </c>
      <c r="Z27" s="9" t="str">
        <f>IF($A27="","",SUMIFS('PI Furnizor'!$O$7:$O$506,'PI Furnizor'!$A$7:$A$506,$A27))</f>
        <v/>
      </c>
      <c r="AA27" s="10" t="str">
        <f>IF($A27="","",SUMIFS('PI Furnizor'!$Q$7:$Q$506,'PI Furnizor'!$A$7:$A$506,$A27))</f>
        <v/>
      </c>
      <c r="AB27" s="56" t="str">
        <f>IF($A27="","",SUMIFS('PI Furnizor'!$N$7:$N$506,'PI Furnizor'!$A$7:$A$506,$A27))</f>
        <v/>
      </c>
      <c r="AC27" s="55" t="str">
        <f t="shared" si="0"/>
        <v/>
      </c>
      <c r="AD27" s="9" t="str">
        <f t="shared" si="1"/>
        <v/>
      </c>
      <c r="AE27" s="9" t="str">
        <f t="shared" si="2"/>
        <v/>
      </c>
      <c r="AF27" s="9" t="str">
        <f t="shared" si="3"/>
        <v/>
      </c>
      <c r="AG27" s="18" t="str">
        <f t="shared" si="4"/>
        <v/>
      </c>
      <c r="AH27" s="17" t="str">
        <f t="shared" si="5"/>
        <v/>
      </c>
      <c r="AI27" s="17" t="str">
        <f t="shared" si="6"/>
        <v/>
      </c>
      <c r="AJ27" s="17" t="str">
        <f t="shared" si="7"/>
        <v/>
      </c>
      <c r="AK27" s="17" t="str">
        <f t="shared" si="8"/>
        <v/>
      </c>
      <c r="AL27" s="19" t="str">
        <f t="shared" si="9"/>
        <v/>
      </c>
      <c r="AM27" s="19" t="str">
        <f t="shared" si="10"/>
        <v/>
      </c>
      <c r="AN27" s="9" t="str">
        <f t="shared" si="11"/>
        <v/>
      </c>
      <c r="AO27" s="18" t="str">
        <f>IF($A27="","",SUMIFS('Calculator Cost per Bucata'!$V$10:$V$509,'Calculator Cost per Bucata'!$A$10:$A$509,$A27))</f>
        <v/>
      </c>
      <c r="AP27" s="17" t="str">
        <f t="shared" si="12"/>
        <v/>
      </c>
      <c r="AQ27" s="20" t="str">
        <f>IF($A27="","",SUMIFS('Calculator Cost per Bucata'!$W$10:$W$509,'Calculator Cost per Bucata'!$A$10:$A$509,$A27))</f>
        <v/>
      </c>
      <c r="AR27" s="21" t="str">
        <f t="shared" si="13"/>
        <v/>
      </c>
      <c r="AS27" s="22" t="str">
        <f t="shared" si="14"/>
        <v/>
      </c>
      <c r="AT27" s="23" t="str">
        <f t="shared" si="15"/>
        <v/>
      </c>
    </row>
    <row r="28" spans="1:46" x14ac:dyDescent="0.3">
      <c r="A28" s="12"/>
      <c r="B28" s="13"/>
      <c r="C28" s="2"/>
      <c r="D28" s="2"/>
      <c r="E28" s="2"/>
      <c r="F28" s="2"/>
      <c r="G28" s="12"/>
      <c r="H28" s="7"/>
      <c r="I28" s="7"/>
      <c r="J28" s="12"/>
      <c r="K28" s="12"/>
      <c r="L28" s="4"/>
      <c r="M28" s="4"/>
      <c r="N28" s="12"/>
      <c r="O28" s="4"/>
      <c r="P28" s="5"/>
      <c r="Q28" s="14"/>
      <c r="R28" s="5"/>
      <c r="S28" s="14"/>
      <c r="T28" s="4"/>
      <c r="U28" s="11"/>
      <c r="V28" s="11"/>
      <c r="W28" s="12"/>
      <c r="X28" s="15" t="str">
        <f>IF($A28="","",COUNTIFS('PI Furnizor'!$A$7:$A$506,$A28,'PI Furnizor'!$D$7:$D$506,"&gt;0"))</f>
        <v/>
      </c>
      <c r="Y28" s="16" t="str">
        <f>IF($A28="","",SUMIFS('PI Furnizor'!$D$7:$D$506,'PI Furnizor'!$A$7:$A$506,$A28))</f>
        <v/>
      </c>
      <c r="Z28" s="9" t="str">
        <f>IF($A28="","",SUMIFS('PI Furnizor'!$O$7:$O$506,'PI Furnizor'!$A$7:$A$506,$A28))</f>
        <v/>
      </c>
      <c r="AA28" s="10" t="str">
        <f>IF($A28="","",SUMIFS('PI Furnizor'!$Q$7:$Q$506,'PI Furnizor'!$A$7:$A$506,$A28))</f>
        <v/>
      </c>
      <c r="AB28" s="56" t="str">
        <f>IF($A28="","",SUMIFS('PI Furnizor'!$N$7:$N$506,'PI Furnizor'!$A$7:$A$506,$A28))</f>
        <v/>
      </c>
      <c r="AC28" s="55" t="str">
        <f t="shared" si="0"/>
        <v/>
      </c>
      <c r="AD28" s="9" t="str">
        <f t="shared" si="1"/>
        <v/>
      </c>
      <c r="AE28" s="9" t="str">
        <f t="shared" si="2"/>
        <v/>
      </c>
      <c r="AF28" s="9" t="str">
        <f t="shared" si="3"/>
        <v/>
      </c>
      <c r="AG28" s="18" t="str">
        <f t="shared" si="4"/>
        <v/>
      </c>
      <c r="AH28" s="17" t="str">
        <f t="shared" si="5"/>
        <v/>
      </c>
      <c r="AI28" s="17" t="str">
        <f t="shared" si="6"/>
        <v/>
      </c>
      <c r="AJ28" s="17" t="str">
        <f t="shared" si="7"/>
        <v/>
      </c>
      <c r="AK28" s="17" t="str">
        <f t="shared" si="8"/>
        <v/>
      </c>
      <c r="AL28" s="19" t="str">
        <f t="shared" si="9"/>
        <v/>
      </c>
      <c r="AM28" s="19" t="str">
        <f t="shared" si="10"/>
        <v/>
      </c>
      <c r="AN28" s="9" t="str">
        <f t="shared" si="11"/>
        <v/>
      </c>
      <c r="AO28" s="18" t="str">
        <f>IF($A28="","",SUMIFS('Calculator Cost per Bucata'!$V$10:$V$509,'Calculator Cost per Bucata'!$A$10:$A$509,$A28))</f>
        <v/>
      </c>
      <c r="AP28" s="17" t="str">
        <f t="shared" si="12"/>
        <v/>
      </c>
      <c r="AQ28" s="20" t="str">
        <f>IF($A28="","",SUMIFS('Calculator Cost per Bucata'!$W$10:$W$509,'Calculator Cost per Bucata'!$A$10:$A$509,$A28))</f>
        <v/>
      </c>
      <c r="AR28" s="21" t="str">
        <f t="shared" si="13"/>
        <v/>
      </c>
      <c r="AS28" s="22" t="str">
        <f t="shared" si="14"/>
        <v/>
      </c>
      <c r="AT28" s="23" t="str">
        <f t="shared" si="15"/>
        <v/>
      </c>
    </row>
    <row r="29" spans="1:46" x14ac:dyDescent="0.3">
      <c r="A29" s="12"/>
      <c r="B29" s="13"/>
      <c r="C29" s="2"/>
      <c r="D29" s="2"/>
      <c r="E29" s="2"/>
      <c r="F29" s="2"/>
      <c r="G29" s="12"/>
      <c r="H29" s="7"/>
      <c r="I29" s="7"/>
      <c r="J29" s="12"/>
      <c r="K29" s="12"/>
      <c r="L29" s="4"/>
      <c r="M29" s="4"/>
      <c r="N29" s="12"/>
      <c r="O29" s="4"/>
      <c r="P29" s="5"/>
      <c r="Q29" s="14"/>
      <c r="R29" s="5"/>
      <c r="S29" s="14"/>
      <c r="T29" s="4"/>
      <c r="U29" s="11"/>
      <c r="V29" s="11"/>
      <c r="W29" s="12"/>
      <c r="X29" s="15" t="str">
        <f>IF($A29="","",COUNTIFS('PI Furnizor'!$A$7:$A$506,$A29,'PI Furnizor'!$D$7:$D$506,"&gt;0"))</f>
        <v/>
      </c>
      <c r="Y29" s="16" t="str">
        <f>IF($A29="","",SUMIFS('PI Furnizor'!$D$7:$D$506,'PI Furnizor'!$A$7:$A$506,$A29))</f>
        <v/>
      </c>
      <c r="Z29" s="9" t="str">
        <f>IF($A29="","",SUMIFS('PI Furnizor'!$O$7:$O$506,'PI Furnizor'!$A$7:$A$506,$A29))</f>
        <v/>
      </c>
      <c r="AA29" s="10" t="str">
        <f>IF($A29="","",SUMIFS('PI Furnizor'!$Q$7:$Q$506,'PI Furnizor'!$A$7:$A$506,$A29))</f>
        <v/>
      </c>
      <c r="AB29" s="56" t="str">
        <f>IF($A29="","",SUMIFS('PI Furnizor'!$N$7:$N$506,'PI Furnizor'!$A$7:$A$506,$A29))</f>
        <v/>
      </c>
      <c r="AC29" s="55" t="str">
        <f t="shared" si="0"/>
        <v/>
      </c>
      <c r="AD29" s="9" t="str">
        <f t="shared" si="1"/>
        <v/>
      </c>
      <c r="AE29" s="9" t="str">
        <f t="shared" si="2"/>
        <v/>
      </c>
      <c r="AF29" s="9" t="str">
        <f t="shared" si="3"/>
        <v/>
      </c>
      <c r="AG29" s="18" t="str">
        <f t="shared" si="4"/>
        <v/>
      </c>
      <c r="AH29" s="17" t="str">
        <f t="shared" si="5"/>
        <v/>
      </c>
      <c r="AI29" s="17" t="str">
        <f t="shared" si="6"/>
        <v/>
      </c>
      <c r="AJ29" s="17" t="str">
        <f t="shared" si="7"/>
        <v/>
      </c>
      <c r="AK29" s="17" t="str">
        <f t="shared" si="8"/>
        <v/>
      </c>
      <c r="AL29" s="19" t="str">
        <f t="shared" si="9"/>
        <v/>
      </c>
      <c r="AM29" s="19" t="str">
        <f t="shared" si="10"/>
        <v/>
      </c>
      <c r="AN29" s="9" t="str">
        <f t="shared" si="11"/>
        <v/>
      </c>
      <c r="AO29" s="18" t="str">
        <f>IF($A29="","",SUMIFS('Calculator Cost per Bucata'!$V$10:$V$509,'Calculator Cost per Bucata'!$A$10:$A$509,$A29))</f>
        <v/>
      </c>
      <c r="AP29" s="17" t="str">
        <f t="shared" si="12"/>
        <v/>
      </c>
      <c r="AQ29" s="20" t="str">
        <f>IF($A29="","",SUMIFS('Calculator Cost per Bucata'!$W$10:$W$509,'Calculator Cost per Bucata'!$A$10:$A$509,$A29))</f>
        <v/>
      </c>
      <c r="AR29" s="21" t="str">
        <f t="shared" si="13"/>
        <v/>
      </c>
      <c r="AS29" s="22" t="str">
        <f t="shared" si="14"/>
        <v/>
      </c>
      <c r="AT29" s="23" t="str">
        <f t="shared" si="15"/>
        <v/>
      </c>
    </row>
    <row r="30" spans="1:46" x14ac:dyDescent="0.3">
      <c r="A30" s="12"/>
      <c r="B30" s="13"/>
      <c r="C30" s="2"/>
      <c r="D30" s="2"/>
      <c r="E30" s="2"/>
      <c r="F30" s="2"/>
      <c r="G30" s="12"/>
      <c r="H30" s="7"/>
      <c r="I30" s="7"/>
      <c r="J30" s="12"/>
      <c r="K30" s="12"/>
      <c r="L30" s="4"/>
      <c r="M30" s="4"/>
      <c r="N30" s="12"/>
      <c r="O30" s="4"/>
      <c r="P30" s="5"/>
      <c r="Q30" s="14"/>
      <c r="R30" s="5"/>
      <c r="S30" s="14"/>
      <c r="T30" s="4"/>
      <c r="U30" s="11"/>
      <c r="V30" s="11"/>
      <c r="W30" s="12"/>
      <c r="X30" s="15" t="str">
        <f>IF($A30="","",COUNTIFS('PI Furnizor'!$A$7:$A$506,$A30,'PI Furnizor'!$D$7:$D$506,"&gt;0"))</f>
        <v/>
      </c>
      <c r="Y30" s="16" t="str">
        <f>IF($A30="","",SUMIFS('PI Furnizor'!$D$7:$D$506,'PI Furnizor'!$A$7:$A$506,$A30))</f>
        <v/>
      </c>
      <c r="Z30" s="9" t="str">
        <f>IF($A30="","",SUMIFS('PI Furnizor'!$O$7:$O$506,'PI Furnizor'!$A$7:$A$506,$A30))</f>
        <v/>
      </c>
      <c r="AA30" s="10" t="str">
        <f>IF($A30="","",SUMIFS('PI Furnizor'!$Q$7:$Q$506,'PI Furnizor'!$A$7:$A$506,$A30))</f>
        <v/>
      </c>
      <c r="AB30" s="56" t="str">
        <f>IF($A30="","",SUMIFS('PI Furnizor'!$N$7:$N$506,'PI Furnizor'!$A$7:$A$506,$A30))</f>
        <v/>
      </c>
      <c r="AC30" s="55" t="str">
        <f t="shared" si="0"/>
        <v/>
      </c>
      <c r="AD30" s="9" t="str">
        <f t="shared" si="1"/>
        <v/>
      </c>
      <c r="AE30" s="9" t="str">
        <f t="shared" si="2"/>
        <v/>
      </c>
      <c r="AF30" s="9" t="str">
        <f t="shared" si="3"/>
        <v/>
      </c>
      <c r="AG30" s="18" t="str">
        <f t="shared" si="4"/>
        <v/>
      </c>
      <c r="AH30" s="17" t="str">
        <f t="shared" si="5"/>
        <v/>
      </c>
      <c r="AI30" s="17" t="str">
        <f t="shared" si="6"/>
        <v/>
      </c>
      <c r="AJ30" s="17" t="str">
        <f t="shared" si="7"/>
        <v/>
      </c>
      <c r="AK30" s="17" t="str">
        <f t="shared" si="8"/>
        <v/>
      </c>
      <c r="AL30" s="19" t="str">
        <f t="shared" si="9"/>
        <v/>
      </c>
      <c r="AM30" s="19" t="str">
        <f t="shared" si="10"/>
        <v/>
      </c>
      <c r="AN30" s="9" t="str">
        <f t="shared" si="11"/>
        <v/>
      </c>
      <c r="AO30" s="18" t="str">
        <f>IF($A30="","",SUMIFS('Calculator Cost per Bucata'!$V$10:$V$509,'Calculator Cost per Bucata'!$A$10:$A$509,$A30))</f>
        <v/>
      </c>
      <c r="AP30" s="17" t="str">
        <f t="shared" si="12"/>
        <v/>
      </c>
      <c r="AQ30" s="20" t="str">
        <f>IF($A30="","",SUMIFS('Calculator Cost per Bucata'!$W$10:$W$509,'Calculator Cost per Bucata'!$A$10:$A$509,$A30))</f>
        <v/>
      </c>
      <c r="AR30" s="21" t="str">
        <f t="shared" si="13"/>
        <v/>
      </c>
      <c r="AS30" s="22" t="str">
        <f t="shared" si="14"/>
        <v/>
      </c>
      <c r="AT30" s="23" t="str">
        <f t="shared" si="15"/>
        <v/>
      </c>
    </row>
    <row r="31" spans="1:46" x14ac:dyDescent="0.3">
      <c r="A31" s="12"/>
      <c r="B31" s="13"/>
      <c r="C31" s="2"/>
      <c r="D31" s="2"/>
      <c r="E31" s="2"/>
      <c r="F31" s="2"/>
      <c r="G31" s="12"/>
      <c r="H31" s="7"/>
      <c r="I31" s="7"/>
      <c r="J31" s="12"/>
      <c r="K31" s="12"/>
      <c r="L31" s="4"/>
      <c r="M31" s="4"/>
      <c r="N31" s="12"/>
      <c r="O31" s="4"/>
      <c r="P31" s="5"/>
      <c r="Q31" s="14"/>
      <c r="R31" s="5"/>
      <c r="S31" s="14"/>
      <c r="T31" s="4"/>
      <c r="U31" s="11"/>
      <c r="V31" s="11"/>
      <c r="W31" s="12"/>
      <c r="X31" s="15" t="str">
        <f>IF($A31="","",COUNTIFS('PI Furnizor'!$A$7:$A$506,$A31,'PI Furnizor'!$D$7:$D$506,"&gt;0"))</f>
        <v/>
      </c>
      <c r="Y31" s="16" t="str">
        <f>IF($A31="","",SUMIFS('PI Furnizor'!$D$7:$D$506,'PI Furnizor'!$A$7:$A$506,$A31))</f>
        <v/>
      </c>
      <c r="Z31" s="9" t="str">
        <f>IF($A31="","",SUMIFS('PI Furnizor'!$O$7:$O$506,'PI Furnizor'!$A$7:$A$506,$A31))</f>
        <v/>
      </c>
      <c r="AA31" s="10" t="str">
        <f>IF($A31="","",SUMIFS('PI Furnizor'!$Q$7:$Q$506,'PI Furnizor'!$A$7:$A$506,$A31))</f>
        <v/>
      </c>
      <c r="AB31" s="56" t="str">
        <f>IF($A31="","",SUMIFS('PI Furnizor'!$N$7:$N$506,'PI Furnizor'!$A$7:$A$506,$A31))</f>
        <v/>
      </c>
      <c r="AC31" s="55" t="str">
        <f t="shared" si="0"/>
        <v/>
      </c>
      <c r="AD31" s="9" t="str">
        <f t="shared" si="1"/>
        <v/>
      </c>
      <c r="AE31" s="9" t="str">
        <f t="shared" si="2"/>
        <v/>
      </c>
      <c r="AF31" s="9" t="str">
        <f t="shared" si="3"/>
        <v/>
      </c>
      <c r="AG31" s="18" t="str">
        <f t="shared" si="4"/>
        <v/>
      </c>
      <c r="AH31" s="17" t="str">
        <f t="shared" si="5"/>
        <v/>
      </c>
      <c r="AI31" s="17" t="str">
        <f t="shared" si="6"/>
        <v/>
      </c>
      <c r="AJ31" s="17" t="str">
        <f t="shared" si="7"/>
        <v/>
      </c>
      <c r="AK31" s="17" t="str">
        <f t="shared" si="8"/>
        <v/>
      </c>
      <c r="AL31" s="19" t="str">
        <f t="shared" si="9"/>
        <v/>
      </c>
      <c r="AM31" s="19" t="str">
        <f t="shared" si="10"/>
        <v/>
      </c>
      <c r="AN31" s="9" t="str">
        <f t="shared" si="11"/>
        <v/>
      </c>
      <c r="AO31" s="18" t="str">
        <f>IF($A31="","",SUMIFS('Calculator Cost per Bucata'!$V$10:$V$509,'Calculator Cost per Bucata'!$A$10:$A$509,$A31))</f>
        <v/>
      </c>
      <c r="AP31" s="17" t="str">
        <f t="shared" si="12"/>
        <v/>
      </c>
      <c r="AQ31" s="20" t="str">
        <f>IF($A31="","",SUMIFS('Calculator Cost per Bucata'!$W$10:$W$509,'Calculator Cost per Bucata'!$A$10:$A$509,$A31))</f>
        <v/>
      </c>
      <c r="AR31" s="21" t="str">
        <f t="shared" si="13"/>
        <v/>
      </c>
      <c r="AS31" s="22" t="str">
        <f t="shared" si="14"/>
        <v/>
      </c>
      <c r="AT31" s="23" t="str">
        <f t="shared" si="15"/>
        <v/>
      </c>
    </row>
    <row r="32" spans="1:46" x14ac:dyDescent="0.3">
      <c r="A32" s="12"/>
      <c r="B32" s="13"/>
      <c r="C32" s="2"/>
      <c r="D32" s="2"/>
      <c r="E32" s="2"/>
      <c r="F32" s="2"/>
      <c r="G32" s="12"/>
      <c r="H32" s="7"/>
      <c r="I32" s="7"/>
      <c r="J32" s="12"/>
      <c r="K32" s="12"/>
      <c r="L32" s="4"/>
      <c r="M32" s="4"/>
      <c r="N32" s="12"/>
      <c r="O32" s="4"/>
      <c r="P32" s="5"/>
      <c r="Q32" s="14"/>
      <c r="R32" s="5"/>
      <c r="S32" s="14"/>
      <c r="T32" s="4"/>
      <c r="U32" s="11"/>
      <c r="V32" s="11"/>
      <c r="W32" s="12"/>
      <c r="X32" s="15" t="str">
        <f>IF($A32="","",COUNTIFS('PI Furnizor'!$A$7:$A$506,$A32,'PI Furnizor'!$D$7:$D$506,"&gt;0"))</f>
        <v/>
      </c>
      <c r="Y32" s="16" t="str">
        <f>IF($A32="","",SUMIFS('PI Furnizor'!$D$7:$D$506,'PI Furnizor'!$A$7:$A$506,$A32))</f>
        <v/>
      </c>
      <c r="Z32" s="9" t="str">
        <f>IF($A32="","",SUMIFS('PI Furnizor'!$O$7:$O$506,'PI Furnizor'!$A$7:$A$506,$A32))</f>
        <v/>
      </c>
      <c r="AA32" s="10" t="str">
        <f>IF($A32="","",SUMIFS('PI Furnizor'!$Q$7:$Q$506,'PI Furnizor'!$A$7:$A$506,$A32))</f>
        <v/>
      </c>
      <c r="AB32" s="56" t="str">
        <f>IF($A32="","",SUMIFS('PI Furnizor'!$N$7:$N$506,'PI Furnizor'!$A$7:$A$506,$A32))</f>
        <v/>
      </c>
      <c r="AC32" s="55" t="str">
        <f t="shared" si="0"/>
        <v/>
      </c>
      <c r="AD32" s="9" t="str">
        <f t="shared" si="1"/>
        <v/>
      </c>
      <c r="AE32" s="9" t="str">
        <f t="shared" si="2"/>
        <v/>
      </c>
      <c r="AF32" s="9" t="str">
        <f t="shared" si="3"/>
        <v/>
      </c>
      <c r="AG32" s="18" t="str">
        <f t="shared" si="4"/>
        <v/>
      </c>
      <c r="AH32" s="17" t="str">
        <f t="shared" si="5"/>
        <v/>
      </c>
      <c r="AI32" s="17" t="str">
        <f t="shared" si="6"/>
        <v/>
      </c>
      <c r="AJ32" s="17" t="str">
        <f t="shared" si="7"/>
        <v/>
      </c>
      <c r="AK32" s="17" t="str">
        <f t="shared" si="8"/>
        <v/>
      </c>
      <c r="AL32" s="19" t="str">
        <f t="shared" si="9"/>
        <v/>
      </c>
      <c r="AM32" s="19" t="str">
        <f t="shared" si="10"/>
        <v/>
      </c>
      <c r="AN32" s="9" t="str">
        <f t="shared" si="11"/>
        <v/>
      </c>
      <c r="AO32" s="18" t="str">
        <f>IF($A32="","",SUMIFS('Calculator Cost per Bucata'!$V$10:$V$509,'Calculator Cost per Bucata'!$A$10:$A$509,$A32))</f>
        <v/>
      </c>
      <c r="AP32" s="17" t="str">
        <f t="shared" si="12"/>
        <v/>
      </c>
      <c r="AQ32" s="20" t="str">
        <f>IF($A32="","",SUMIFS('Calculator Cost per Bucata'!$W$10:$W$509,'Calculator Cost per Bucata'!$A$10:$A$509,$A32))</f>
        <v/>
      </c>
      <c r="AR32" s="21" t="str">
        <f t="shared" si="13"/>
        <v/>
      </c>
      <c r="AS32" s="22" t="str">
        <f t="shared" si="14"/>
        <v/>
      </c>
      <c r="AT32" s="23" t="str">
        <f t="shared" si="15"/>
        <v/>
      </c>
    </row>
    <row r="33" spans="1:46" x14ac:dyDescent="0.3">
      <c r="A33" s="12"/>
      <c r="B33" s="13"/>
      <c r="C33" s="2"/>
      <c r="D33" s="2"/>
      <c r="E33" s="2"/>
      <c r="F33" s="2"/>
      <c r="G33" s="12"/>
      <c r="H33" s="7"/>
      <c r="I33" s="7"/>
      <c r="J33" s="12"/>
      <c r="K33" s="12"/>
      <c r="L33" s="4"/>
      <c r="M33" s="4"/>
      <c r="N33" s="12"/>
      <c r="O33" s="4"/>
      <c r="P33" s="5"/>
      <c r="Q33" s="14"/>
      <c r="R33" s="5"/>
      <c r="S33" s="14"/>
      <c r="T33" s="4"/>
      <c r="U33" s="11"/>
      <c r="V33" s="11"/>
      <c r="W33" s="12"/>
      <c r="X33" s="15" t="str">
        <f>IF($A33="","",COUNTIFS('PI Furnizor'!$A$7:$A$506,$A33,'PI Furnizor'!$D$7:$D$506,"&gt;0"))</f>
        <v/>
      </c>
      <c r="Y33" s="16" t="str">
        <f>IF($A33="","",SUMIFS('PI Furnizor'!$D$7:$D$506,'PI Furnizor'!$A$7:$A$506,$A33))</f>
        <v/>
      </c>
      <c r="Z33" s="9" t="str">
        <f>IF($A33="","",SUMIFS('PI Furnizor'!$O$7:$O$506,'PI Furnizor'!$A$7:$A$506,$A33))</f>
        <v/>
      </c>
      <c r="AA33" s="10" t="str">
        <f>IF($A33="","",SUMIFS('PI Furnizor'!$Q$7:$Q$506,'PI Furnizor'!$A$7:$A$506,$A33))</f>
        <v/>
      </c>
      <c r="AB33" s="56" t="str">
        <f>IF($A33="","",SUMIFS('PI Furnizor'!$N$7:$N$506,'PI Furnizor'!$A$7:$A$506,$A33))</f>
        <v/>
      </c>
      <c r="AC33" s="55" t="str">
        <f t="shared" si="0"/>
        <v/>
      </c>
      <c r="AD33" s="9" t="str">
        <f t="shared" si="1"/>
        <v/>
      </c>
      <c r="AE33" s="9" t="str">
        <f t="shared" si="2"/>
        <v/>
      </c>
      <c r="AF33" s="9" t="str">
        <f t="shared" si="3"/>
        <v/>
      </c>
      <c r="AG33" s="18" t="str">
        <f t="shared" si="4"/>
        <v/>
      </c>
      <c r="AH33" s="17" t="str">
        <f t="shared" si="5"/>
        <v/>
      </c>
      <c r="AI33" s="17" t="str">
        <f t="shared" si="6"/>
        <v/>
      </c>
      <c r="AJ33" s="17" t="str">
        <f t="shared" si="7"/>
        <v/>
      </c>
      <c r="AK33" s="17" t="str">
        <f t="shared" si="8"/>
        <v/>
      </c>
      <c r="AL33" s="19" t="str">
        <f t="shared" si="9"/>
        <v/>
      </c>
      <c r="AM33" s="19" t="str">
        <f t="shared" si="10"/>
        <v/>
      </c>
      <c r="AN33" s="9" t="str">
        <f t="shared" si="11"/>
        <v/>
      </c>
      <c r="AO33" s="18" t="str">
        <f>IF($A33="","",SUMIFS('Calculator Cost per Bucata'!$V$10:$V$509,'Calculator Cost per Bucata'!$A$10:$A$509,$A33))</f>
        <v/>
      </c>
      <c r="AP33" s="17" t="str">
        <f t="shared" si="12"/>
        <v/>
      </c>
      <c r="AQ33" s="20" t="str">
        <f>IF($A33="","",SUMIFS('Calculator Cost per Bucata'!$W$10:$W$509,'Calculator Cost per Bucata'!$A$10:$A$509,$A33))</f>
        <v/>
      </c>
      <c r="AR33" s="21" t="str">
        <f t="shared" si="13"/>
        <v/>
      </c>
      <c r="AS33" s="22" t="str">
        <f t="shared" si="14"/>
        <v/>
      </c>
      <c r="AT33" s="23" t="str">
        <f t="shared" si="15"/>
        <v/>
      </c>
    </row>
    <row r="34" spans="1:46" x14ac:dyDescent="0.3">
      <c r="A34" s="12"/>
      <c r="B34" s="13"/>
      <c r="C34" s="2"/>
      <c r="D34" s="2"/>
      <c r="E34" s="2"/>
      <c r="F34" s="2"/>
      <c r="G34" s="12"/>
      <c r="H34" s="7"/>
      <c r="I34" s="7"/>
      <c r="J34" s="12"/>
      <c r="K34" s="12"/>
      <c r="L34" s="4"/>
      <c r="M34" s="4"/>
      <c r="N34" s="12"/>
      <c r="O34" s="4"/>
      <c r="P34" s="5"/>
      <c r="Q34" s="14"/>
      <c r="R34" s="5"/>
      <c r="S34" s="14"/>
      <c r="T34" s="4"/>
      <c r="U34" s="11"/>
      <c r="V34" s="11"/>
      <c r="W34" s="12"/>
      <c r="X34" s="15" t="str">
        <f>IF($A34="","",COUNTIFS('PI Furnizor'!$A$7:$A$506,$A34,'PI Furnizor'!$D$7:$D$506,"&gt;0"))</f>
        <v/>
      </c>
      <c r="Y34" s="16" t="str">
        <f>IF($A34="","",SUMIFS('PI Furnizor'!$D$7:$D$506,'PI Furnizor'!$A$7:$A$506,$A34))</f>
        <v/>
      </c>
      <c r="Z34" s="9" t="str">
        <f>IF($A34="","",SUMIFS('PI Furnizor'!$O$7:$O$506,'PI Furnizor'!$A$7:$A$506,$A34))</f>
        <v/>
      </c>
      <c r="AA34" s="10" t="str">
        <f>IF($A34="","",SUMIFS('PI Furnizor'!$Q$7:$Q$506,'PI Furnizor'!$A$7:$A$506,$A34))</f>
        <v/>
      </c>
      <c r="AB34" s="56" t="str">
        <f>IF($A34="","",SUMIFS('PI Furnizor'!$N$7:$N$506,'PI Furnizor'!$A$7:$A$506,$A34))</f>
        <v/>
      </c>
      <c r="AC34" s="55" t="str">
        <f t="shared" si="0"/>
        <v/>
      </c>
      <c r="AD34" s="9" t="str">
        <f t="shared" si="1"/>
        <v/>
      </c>
      <c r="AE34" s="9" t="str">
        <f t="shared" si="2"/>
        <v/>
      </c>
      <c r="AF34" s="9" t="str">
        <f t="shared" si="3"/>
        <v/>
      </c>
      <c r="AG34" s="18" t="str">
        <f t="shared" si="4"/>
        <v/>
      </c>
      <c r="AH34" s="17" t="str">
        <f t="shared" si="5"/>
        <v/>
      </c>
      <c r="AI34" s="17" t="str">
        <f t="shared" si="6"/>
        <v/>
      </c>
      <c r="AJ34" s="17" t="str">
        <f t="shared" si="7"/>
        <v/>
      </c>
      <c r="AK34" s="17" t="str">
        <f t="shared" si="8"/>
        <v/>
      </c>
      <c r="AL34" s="19" t="str">
        <f t="shared" si="9"/>
        <v/>
      </c>
      <c r="AM34" s="19" t="str">
        <f t="shared" si="10"/>
        <v/>
      </c>
      <c r="AN34" s="9" t="str">
        <f t="shared" si="11"/>
        <v/>
      </c>
      <c r="AO34" s="18" t="str">
        <f>IF($A34="","",SUMIFS('Calculator Cost per Bucata'!$V$10:$V$509,'Calculator Cost per Bucata'!$A$10:$A$509,$A34))</f>
        <v/>
      </c>
      <c r="AP34" s="17" t="str">
        <f t="shared" si="12"/>
        <v/>
      </c>
      <c r="AQ34" s="20" t="str">
        <f>IF($A34="","",SUMIFS('Calculator Cost per Bucata'!$W$10:$W$509,'Calculator Cost per Bucata'!$A$10:$A$509,$A34))</f>
        <v/>
      </c>
      <c r="AR34" s="21" t="str">
        <f t="shared" si="13"/>
        <v/>
      </c>
      <c r="AS34" s="22" t="str">
        <f t="shared" si="14"/>
        <v/>
      </c>
      <c r="AT34" s="23" t="str">
        <f t="shared" si="15"/>
        <v/>
      </c>
    </row>
    <row r="35" spans="1:46" x14ac:dyDescent="0.3">
      <c r="A35" s="12"/>
      <c r="B35" s="13"/>
      <c r="C35" s="2"/>
      <c r="D35" s="2"/>
      <c r="E35" s="2"/>
      <c r="F35" s="2"/>
      <c r="G35" s="12"/>
      <c r="H35" s="7"/>
      <c r="I35" s="7"/>
      <c r="J35" s="12"/>
      <c r="K35" s="12"/>
      <c r="L35" s="4"/>
      <c r="M35" s="4"/>
      <c r="N35" s="12"/>
      <c r="O35" s="4"/>
      <c r="P35" s="5"/>
      <c r="Q35" s="14"/>
      <c r="R35" s="5"/>
      <c r="S35" s="14"/>
      <c r="T35" s="4"/>
      <c r="U35" s="11"/>
      <c r="V35" s="11"/>
      <c r="W35" s="12"/>
      <c r="X35" s="15" t="str">
        <f>IF($A35="","",COUNTIFS('PI Furnizor'!$A$7:$A$506,$A35,'PI Furnizor'!$D$7:$D$506,"&gt;0"))</f>
        <v/>
      </c>
      <c r="Y35" s="16" t="str">
        <f>IF($A35="","",SUMIFS('PI Furnizor'!$D$7:$D$506,'PI Furnizor'!$A$7:$A$506,$A35))</f>
        <v/>
      </c>
      <c r="Z35" s="9" t="str">
        <f>IF($A35="","",SUMIFS('PI Furnizor'!$O$7:$O$506,'PI Furnizor'!$A$7:$A$506,$A35))</f>
        <v/>
      </c>
      <c r="AA35" s="10" t="str">
        <f>IF($A35="","",SUMIFS('PI Furnizor'!$Q$7:$Q$506,'PI Furnizor'!$A$7:$A$506,$A35))</f>
        <v/>
      </c>
      <c r="AB35" s="56" t="str">
        <f>IF($A35="","",SUMIFS('PI Furnizor'!$N$7:$N$506,'PI Furnizor'!$A$7:$A$506,$A35))</f>
        <v/>
      </c>
      <c r="AC35" s="55" t="str">
        <f t="shared" si="0"/>
        <v/>
      </c>
      <c r="AD35" s="9" t="str">
        <f t="shared" si="1"/>
        <v/>
      </c>
      <c r="AE35" s="9" t="str">
        <f t="shared" si="2"/>
        <v/>
      </c>
      <c r="AF35" s="9" t="str">
        <f t="shared" si="3"/>
        <v/>
      </c>
      <c r="AG35" s="18" t="str">
        <f t="shared" si="4"/>
        <v/>
      </c>
      <c r="AH35" s="17" t="str">
        <f t="shared" si="5"/>
        <v/>
      </c>
      <c r="AI35" s="17" t="str">
        <f t="shared" si="6"/>
        <v/>
      </c>
      <c r="AJ35" s="17" t="str">
        <f t="shared" si="7"/>
        <v/>
      </c>
      <c r="AK35" s="17" t="str">
        <f t="shared" si="8"/>
        <v/>
      </c>
      <c r="AL35" s="19" t="str">
        <f t="shared" si="9"/>
        <v/>
      </c>
      <c r="AM35" s="19" t="str">
        <f t="shared" si="10"/>
        <v/>
      </c>
      <c r="AN35" s="9" t="str">
        <f t="shared" si="11"/>
        <v/>
      </c>
      <c r="AO35" s="18" t="str">
        <f>IF($A35="","",SUMIFS('Calculator Cost per Bucata'!$V$10:$V$509,'Calculator Cost per Bucata'!$A$10:$A$509,$A35))</f>
        <v/>
      </c>
      <c r="AP35" s="17" t="str">
        <f t="shared" si="12"/>
        <v/>
      </c>
      <c r="AQ35" s="20" t="str">
        <f>IF($A35="","",SUMIFS('Calculator Cost per Bucata'!$W$10:$W$509,'Calculator Cost per Bucata'!$A$10:$A$509,$A35))</f>
        <v/>
      </c>
      <c r="AR35" s="21" t="str">
        <f t="shared" si="13"/>
        <v/>
      </c>
      <c r="AS35" s="22" t="str">
        <f t="shared" si="14"/>
        <v/>
      </c>
      <c r="AT35" s="23" t="str">
        <f t="shared" si="15"/>
        <v/>
      </c>
    </row>
    <row r="36" spans="1:46" x14ac:dyDescent="0.3">
      <c r="A36" s="12"/>
      <c r="B36" s="13"/>
      <c r="C36" s="2"/>
      <c r="D36" s="2"/>
      <c r="E36" s="2"/>
      <c r="F36" s="2"/>
      <c r="G36" s="12"/>
      <c r="H36" s="7"/>
      <c r="I36" s="7"/>
      <c r="J36" s="12"/>
      <c r="K36" s="12"/>
      <c r="L36" s="4"/>
      <c r="M36" s="4"/>
      <c r="N36" s="12"/>
      <c r="O36" s="4"/>
      <c r="P36" s="5"/>
      <c r="Q36" s="14"/>
      <c r="R36" s="5"/>
      <c r="S36" s="14"/>
      <c r="T36" s="4"/>
      <c r="U36" s="11"/>
      <c r="V36" s="11"/>
      <c r="W36" s="12"/>
      <c r="X36" s="15" t="str">
        <f>IF($A36="","",COUNTIFS('PI Furnizor'!$A$7:$A$506,$A36,'PI Furnizor'!$D$7:$D$506,"&gt;0"))</f>
        <v/>
      </c>
      <c r="Y36" s="16" t="str">
        <f>IF($A36="","",SUMIFS('PI Furnizor'!$D$7:$D$506,'PI Furnizor'!$A$7:$A$506,$A36))</f>
        <v/>
      </c>
      <c r="Z36" s="9" t="str">
        <f>IF($A36="","",SUMIFS('PI Furnizor'!$O$7:$O$506,'PI Furnizor'!$A$7:$A$506,$A36))</f>
        <v/>
      </c>
      <c r="AA36" s="10" t="str">
        <f>IF($A36="","",SUMIFS('PI Furnizor'!$Q$7:$Q$506,'PI Furnizor'!$A$7:$A$506,$A36))</f>
        <v/>
      </c>
      <c r="AB36" s="56" t="str">
        <f>IF($A36="","",SUMIFS('PI Furnizor'!$N$7:$N$506,'PI Furnizor'!$A$7:$A$506,$A36))</f>
        <v/>
      </c>
      <c r="AC36" s="55" t="str">
        <f t="shared" si="0"/>
        <v/>
      </c>
      <c r="AD36" s="9" t="str">
        <f t="shared" si="1"/>
        <v/>
      </c>
      <c r="AE36" s="9" t="str">
        <f t="shared" si="2"/>
        <v/>
      </c>
      <c r="AF36" s="9" t="str">
        <f t="shared" si="3"/>
        <v/>
      </c>
      <c r="AG36" s="18" t="str">
        <f t="shared" si="4"/>
        <v/>
      </c>
      <c r="AH36" s="17" t="str">
        <f t="shared" si="5"/>
        <v/>
      </c>
      <c r="AI36" s="17" t="str">
        <f t="shared" si="6"/>
        <v/>
      </c>
      <c r="AJ36" s="17" t="str">
        <f t="shared" si="7"/>
        <v/>
      </c>
      <c r="AK36" s="17" t="str">
        <f t="shared" si="8"/>
        <v/>
      </c>
      <c r="AL36" s="19" t="str">
        <f t="shared" si="9"/>
        <v/>
      </c>
      <c r="AM36" s="19" t="str">
        <f t="shared" si="10"/>
        <v/>
      </c>
      <c r="AN36" s="9" t="str">
        <f t="shared" si="11"/>
        <v/>
      </c>
      <c r="AO36" s="18" t="str">
        <f>IF($A36="","",SUMIFS('Calculator Cost per Bucata'!$V$10:$V$509,'Calculator Cost per Bucata'!$A$10:$A$509,$A36))</f>
        <v/>
      </c>
      <c r="AP36" s="17" t="str">
        <f t="shared" si="12"/>
        <v/>
      </c>
      <c r="AQ36" s="20" t="str">
        <f>IF($A36="","",SUMIFS('Calculator Cost per Bucata'!$W$10:$W$509,'Calculator Cost per Bucata'!$A$10:$A$509,$A36))</f>
        <v/>
      </c>
      <c r="AR36" s="21" t="str">
        <f t="shared" si="13"/>
        <v/>
      </c>
      <c r="AS36" s="22" t="str">
        <f t="shared" si="14"/>
        <v/>
      </c>
      <c r="AT36" s="23" t="str">
        <f t="shared" si="15"/>
        <v/>
      </c>
    </row>
    <row r="37" spans="1:46" x14ac:dyDescent="0.3">
      <c r="A37" s="12"/>
      <c r="B37" s="13"/>
      <c r="C37" s="2"/>
      <c r="D37" s="2"/>
      <c r="E37" s="2"/>
      <c r="F37" s="2"/>
      <c r="G37" s="12"/>
      <c r="H37" s="7"/>
      <c r="I37" s="7"/>
      <c r="J37" s="12"/>
      <c r="K37" s="12"/>
      <c r="L37" s="4"/>
      <c r="M37" s="4"/>
      <c r="N37" s="12"/>
      <c r="O37" s="4"/>
      <c r="P37" s="5"/>
      <c r="Q37" s="14"/>
      <c r="R37" s="5"/>
      <c r="S37" s="14"/>
      <c r="T37" s="4"/>
      <c r="U37" s="11"/>
      <c r="V37" s="11"/>
      <c r="W37" s="12"/>
      <c r="X37" s="15" t="str">
        <f>IF($A37="","",COUNTIFS('PI Furnizor'!$A$7:$A$506,$A37,'PI Furnizor'!$D$7:$D$506,"&gt;0"))</f>
        <v/>
      </c>
      <c r="Y37" s="16" t="str">
        <f>IF($A37="","",SUMIFS('PI Furnizor'!$D$7:$D$506,'PI Furnizor'!$A$7:$A$506,$A37))</f>
        <v/>
      </c>
      <c r="Z37" s="9" t="str">
        <f>IF($A37="","",SUMIFS('PI Furnizor'!$O$7:$O$506,'PI Furnizor'!$A$7:$A$506,$A37))</f>
        <v/>
      </c>
      <c r="AA37" s="10" t="str">
        <f>IF($A37="","",SUMIFS('PI Furnizor'!$Q$7:$Q$506,'PI Furnizor'!$A$7:$A$506,$A37))</f>
        <v/>
      </c>
      <c r="AB37" s="56" t="str">
        <f>IF($A37="","",SUMIFS('PI Furnizor'!$N$7:$N$506,'PI Furnizor'!$A$7:$A$506,$A37))</f>
        <v/>
      </c>
      <c r="AC37" s="55" t="str">
        <f t="shared" si="0"/>
        <v/>
      </c>
      <c r="AD37" s="9" t="str">
        <f t="shared" si="1"/>
        <v/>
      </c>
      <c r="AE37" s="9" t="str">
        <f t="shared" si="2"/>
        <v/>
      </c>
      <c r="AF37" s="9" t="str">
        <f t="shared" si="3"/>
        <v/>
      </c>
      <c r="AG37" s="18" t="str">
        <f t="shared" si="4"/>
        <v/>
      </c>
      <c r="AH37" s="17" t="str">
        <f t="shared" si="5"/>
        <v/>
      </c>
      <c r="AI37" s="17" t="str">
        <f t="shared" si="6"/>
        <v/>
      </c>
      <c r="AJ37" s="17" t="str">
        <f t="shared" si="7"/>
        <v/>
      </c>
      <c r="AK37" s="17" t="str">
        <f t="shared" si="8"/>
        <v/>
      </c>
      <c r="AL37" s="19" t="str">
        <f t="shared" si="9"/>
        <v/>
      </c>
      <c r="AM37" s="19" t="str">
        <f t="shared" si="10"/>
        <v/>
      </c>
      <c r="AN37" s="9" t="str">
        <f t="shared" si="11"/>
        <v/>
      </c>
      <c r="AO37" s="18" t="str">
        <f>IF($A37="","",SUMIFS('Calculator Cost per Bucata'!$V$10:$V$509,'Calculator Cost per Bucata'!$A$10:$A$509,$A37))</f>
        <v/>
      </c>
      <c r="AP37" s="17" t="str">
        <f t="shared" si="12"/>
        <v/>
      </c>
      <c r="AQ37" s="20" t="str">
        <f>IF($A37="","",SUMIFS('Calculator Cost per Bucata'!$W$10:$W$509,'Calculator Cost per Bucata'!$A$10:$A$509,$A37))</f>
        <v/>
      </c>
      <c r="AR37" s="21" t="str">
        <f t="shared" si="13"/>
        <v/>
      </c>
      <c r="AS37" s="22" t="str">
        <f t="shared" si="14"/>
        <v/>
      </c>
      <c r="AT37" s="23" t="str">
        <f t="shared" si="15"/>
        <v/>
      </c>
    </row>
    <row r="38" spans="1:46" x14ac:dyDescent="0.3">
      <c r="A38" s="12"/>
      <c r="B38" s="13"/>
      <c r="C38" s="2"/>
      <c r="D38" s="2"/>
      <c r="E38" s="2"/>
      <c r="F38" s="2"/>
      <c r="G38" s="12"/>
      <c r="H38" s="7"/>
      <c r="I38" s="7"/>
      <c r="J38" s="12"/>
      <c r="K38" s="12"/>
      <c r="L38" s="4"/>
      <c r="M38" s="4"/>
      <c r="N38" s="12"/>
      <c r="O38" s="4"/>
      <c r="P38" s="5"/>
      <c r="Q38" s="14"/>
      <c r="R38" s="5"/>
      <c r="S38" s="14"/>
      <c r="T38" s="4"/>
      <c r="U38" s="11"/>
      <c r="V38" s="11"/>
      <c r="W38" s="12"/>
      <c r="X38" s="15" t="str">
        <f>IF($A38="","",COUNTIFS('PI Furnizor'!$A$7:$A$506,$A38,'PI Furnizor'!$D$7:$D$506,"&gt;0"))</f>
        <v/>
      </c>
      <c r="Y38" s="16" t="str">
        <f>IF($A38="","",SUMIFS('PI Furnizor'!$D$7:$D$506,'PI Furnizor'!$A$7:$A$506,$A38))</f>
        <v/>
      </c>
      <c r="Z38" s="9" t="str">
        <f>IF($A38="","",SUMIFS('PI Furnizor'!$O$7:$O$506,'PI Furnizor'!$A$7:$A$506,$A38))</f>
        <v/>
      </c>
      <c r="AA38" s="10" t="str">
        <f>IF($A38="","",SUMIFS('PI Furnizor'!$Q$7:$Q$506,'PI Furnizor'!$A$7:$A$506,$A38))</f>
        <v/>
      </c>
      <c r="AB38" s="56" t="str">
        <f>IF($A38="","",SUMIFS('PI Furnizor'!$N$7:$N$506,'PI Furnizor'!$A$7:$A$506,$A38))</f>
        <v/>
      </c>
      <c r="AC38" s="55" t="str">
        <f t="shared" si="0"/>
        <v/>
      </c>
      <c r="AD38" s="9" t="str">
        <f t="shared" si="1"/>
        <v/>
      </c>
      <c r="AE38" s="9" t="str">
        <f t="shared" si="2"/>
        <v/>
      </c>
      <c r="AF38" s="9" t="str">
        <f t="shared" si="3"/>
        <v/>
      </c>
      <c r="AG38" s="18" t="str">
        <f t="shared" si="4"/>
        <v/>
      </c>
      <c r="AH38" s="17" t="str">
        <f t="shared" si="5"/>
        <v/>
      </c>
      <c r="AI38" s="17" t="str">
        <f t="shared" si="6"/>
        <v/>
      </c>
      <c r="AJ38" s="17" t="str">
        <f t="shared" si="7"/>
        <v/>
      </c>
      <c r="AK38" s="17" t="str">
        <f t="shared" si="8"/>
        <v/>
      </c>
      <c r="AL38" s="19" t="str">
        <f t="shared" si="9"/>
        <v/>
      </c>
      <c r="AM38" s="19" t="str">
        <f t="shared" si="10"/>
        <v/>
      </c>
      <c r="AN38" s="9" t="str">
        <f t="shared" si="11"/>
        <v/>
      </c>
      <c r="AO38" s="18" t="str">
        <f>IF($A38="","",SUMIFS('Calculator Cost per Bucata'!$V$10:$V$509,'Calculator Cost per Bucata'!$A$10:$A$509,$A38))</f>
        <v/>
      </c>
      <c r="AP38" s="17" t="str">
        <f t="shared" si="12"/>
        <v/>
      </c>
      <c r="AQ38" s="20" t="str">
        <f>IF($A38="","",SUMIFS('Calculator Cost per Bucata'!$W$10:$W$509,'Calculator Cost per Bucata'!$A$10:$A$509,$A38))</f>
        <v/>
      </c>
      <c r="AR38" s="21" t="str">
        <f t="shared" si="13"/>
        <v/>
      </c>
      <c r="AS38" s="22" t="str">
        <f t="shared" si="14"/>
        <v/>
      </c>
      <c r="AT38" s="23" t="str">
        <f t="shared" si="15"/>
        <v/>
      </c>
    </row>
    <row r="39" spans="1:46" x14ac:dyDescent="0.3">
      <c r="A39" s="12"/>
      <c r="B39" s="13"/>
      <c r="C39" s="2"/>
      <c r="D39" s="2"/>
      <c r="E39" s="2"/>
      <c r="F39" s="2"/>
      <c r="G39" s="12"/>
      <c r="H39" s="7"/>
      <c r="I39" s="7"/>
      <c r="J39" s="12"/>
      <c r="K39" s="12"/>
      <c r="L39" s="4"/>
      <c r="M39" s="4"/>
      <c r="N39" s="12"/>
      <c r="O39" s="4"/>
      <c r="P39" s="5"/>
      <c r="Q39" s="14"/>
      <c r="R39" s="5"/>
      <c r="S39" s="14"/>
      <c r="T39" s="4"/>
      <c r="U39" s="11"/>
      <c r="V39" s="11"/>
      <c r="W39" s="12"/>
      <c r="X39" s="15" t="str">
        <f>IF($A39="","",COUNTIFS('PI Furnizor'!$A$7:$A$506,$A39,'PI Furnizor'!$D$7:$D$506,"&gt;0"))</f>
        <v/>
      </c>
      <c r="Y39" s="16" t="str">
        <f>IF($A39="","",SUMIFS('PI Furnizor'!$D$7:$D$506,'PI Furnizor'!$A$7:$A$506,$A39))</f>
        <v/>
      </c>
      <c r="Z39" s="9" t="str">
        <f>IF($A39="","",SUMIFS('PI Furnizor'!$O$7:$O$506,'PI Furnizor'!$A$7:$A$506,$A39))</f>
        <v/>
      </c>
      <c r="AA39" s="10" t="str">
        <f>IF($A39="","",SUMIFS('PI Furnizor'!$Q$7:$Q$506,'PI Furnizor'!$A$7:$A$506,$A39))</f>
        <v/>
      </c>
      <c r="AB39" s="56" t="str">
        <f>IF($A39="","",SUMIFS('PI Furnizor'!$N$7:$N$506,'PI Furnizor'!$A$7:$A$506,$A39))</f>
        <v/>
      </c>
      <c r="AC39" s="55" t="str">
        <f t="shared" si="0"/>
        <v/>
      </c>
      <c r="AD39" s="9" t="str">
        <f t="shared" si="1"/>
        <v/>
      </c>
      <c r="AE39" s="9" t="str">
        <f t="shared" si="2"/>
        <v/>
      </c>
      <c r="AF39" s="9" t="str">
        <f t="shared" si="3"/>
        <v/>
      </c>
      <c r="AG39" s="18" t="str">
        <f t="shared" si="4"/>
        <v/>
      </c>
      <c r="AH39" s="17" t="str">
        <f t="shared" si="5"/>
        <v/>
      </c>
      <c r="AI39" s="17" t="str">
        <f t="shared" si="6"/>
        <v/>
      </c>
      <c r="AJ39" s="17" t="str">
        <f t="shared" si="7"/>
        <v/>
      </c>
      <c r="AK39" s="17" t="str">
        <f t="shared" si="8"/>
        <v/>
      </c>
      <c r="AL39" s="19" t="str">
        <f t="shared" si="9"/>
        <v/>
      </c>
      <c r="AM39" s="19" t="str">
        <f t="shared" si="10"/>
        <v/>
      </c>
      <c r="AN39" s="9" t="str">
        <f t="shared" si="11"/>
        <v/>
      </c>
      <c r="AO39" s="18" t="str">
        <f>IF($A39="","",SUMIFS('Calculator Cost per Bucata'!$V$10:$V$509,'Calculator Cost per Bucata'!$A$10:$A$509,$A39))</f>
        <v/>
      </c>
      <c r="AP39" s="17" t="str">
        <f t="shared" si="12"/>
        <v/>
      </c>
      <c r="AQ39" s="20" t="str">
        <f>IF($A39="","",SUMIFS('Calculator Cost per Bucata'!$W$10:$W$509,'Calculator Cost per Bucata'!$A$10:$A$509,$A39))</f>
        <v/>
      </c>
      <c r="AR39" s="21" t="str">
        <f t="shared" si="13"/>
        <v/>
      </c>
      <c r="AS39" s="22" t="str">
        <f t="shared" si="14"/>
        <v/>
      </c>
      <c r="AT39" s="23" t="str">
        <f t="shared" si="15"/>
        <v/>
      </c>
    </row>
    <row r="40" spans="1:46" x14ac:dyDescent="0.3">
      <c r="A40" s="12"/>
      <c r="B40" s="13"/>
      <c r="C40" s="2"/>
      <c r="D40" s="2"/>
      <c r="E40" s="2"/>
      <c r="F40" s="2"/>
      <c r="G40" s="12"/>
      <c r="H40" s="7"/>
      <c r="I40" s="7"/>
      <c r="J40" s="12"/>
      <c r="K40" s="12"/>
      <c r="L40" s="4"/>
      <c r="M40" s="4"/>
      <c r="N40" s="12"/>
      <c r="O40" s="4"/>
      <c r="P40" s="5"/>
      <c r="Q40" s="14"/>
      <c r="R40" s="5"/>
      <c r="S40" s="14"/>
      <c r="T40" s="4"/>
      <c r="U40" s="11"/>
      <c r="V40" s="11"/>
      <c r="W40" s="12"/>
      <c r="X40" s="15" t="str">
        <f>IF($A40="","",COUNTIFS('PI Furnizor'!$A$7:$A$506,$A40,'PI Furnizor'!$D$7:$D$506,"&gt;0"))</f>
        <v/>
      </c>
      <c r="Y40" s="16" t="str">
        <f>IF($A40="","",SUMIFS('PI Furnizor'!$D$7:$D$506,'PI Furnizor'!$A$7:$A$506,$A40))</f>
        <v/>
      </c>
      <c r="Z40" s="9" t="str">
        <f>IF($A40="","",SUMIFS('PI Furnizor'!$O$7:$O$506,'PI Furnizor'!$A$7:$A$506,$A40))</f>
        <v/>
      </c>
      <c r="AA40" s="10" t="str">
        <f>IF($A40="","",SUMIFS('PI Furnizor'!$Q$7:$Q$506,'PI Furnizor'!$A$7:$A$506,$A40))</f>
        <v/>
      </c>
      <c r="AB40" s="56" t="str">
        <f>IF($A40="","",SUMIFS('PI Furnizor'!$N$7:$N$506,'PI Furnizor'!$A$7:$A$506,$A40))</f>
        <v/>
      </c>
      <c r="AC40" s="55" t="str">
        <f t="shared" si="0"/>
        <v/>
      </c>
      <c r="AD40" s="9" t="str">
        <f t="shared" si="1"/>
        <v/>
      </c>
      <c r="AE40" s="9" t="str">
        <f t="shared" si="2"/>
        <v/>
      </c>
      <c r="AF40" s="9" t="str">
        <f t="shared" si="3"/>
        <v/>
      </c>
      <c r="AG40" s="18" t="str">
        <f t="shared" si="4"/>
        <v/>
      </c>
      <c r="AH40" s="17" t="str">
        <f t="shared" si="5"/>
        <v/>
      </c>
      <c r="AI40" s="17" t="str">
        <f t="shared" si="6"/>
        <v/>
      </c>
      <c r="AJ40" s="17" t="str">
        <f t="shared" si="7"/>
        <v/>
      </c>
      <c r="AK40" s="17" t="str">
        <f t="shared" si="8"/>
        <v/>
      </c>
      <c r="AL40" s="19" t="str">
        <f t="shared" si="9"/>
        <v/>
      </c>
      <c r="AM40" s="19" t="str">
        <f t="shared" si="10"/>
        <v/>
      </c>
      <c r="AN40" s="9" t="str">
        <f t="shared" si="11"/>
        <v/>
      </c>
      <c r="AO40" s="18" t="str">
        <f>IF($A40="","",SUMIFS('Calculator Cost per Bucata'!$V$10:$V$509,'Calculator Cost per Bucata'!$A$10:$A$509,$A40))</f>
        <v/>
      </c>
      <c r="AP40" s="17" t="str">
        <f t="shared" si="12"/>
        <v/>
      </c>
      <c r="AQ40" s="20" t="str">
        <f>IF($A40="","",SUMIFS('Calculator Cost per Bucata'!$W$10:$W$509,'Calculator Cost per Bucata'!$A$10:$A$509,$A40))</f>
        <v/>
      </c>
      <c r="AR40" s="21" t="str">
        <f t="shared" si="13"/>
        <v/>
      </c>
      <c r="AS40" s="22" t="str">
        <f t="shared" si="14"/>
        <v/>
      </c>
      <c r="AT40" s="23" t="str">
        <f t="shared" si="15"/>
        <v/>
      </c>
    </row>
    <row r="41" spans="1:46" x14ac:dyDescent="0.3">
      <c r="A41" s="12"/>
      <c r="B41" s="13"/>
      <c r="C41" s="2"/>
      <c r="D41" s="2"/>
      <c r="E41" s="2"/>
      <c r="F41" s="2"/>
      <c r="G41" s="12"/>
      <c r="H41" s="7"/>
      <c r="I41" s="7"/>
      <c r="J41" s="12"/>
      <c r="K41" s="12"/>
      <c r="L41" s="4"/>
      <c r="M41" s="4"/>
      <c r="N41" s="12"/>
      <c r="O41" s="4"/>
      <c r="P41" s="5"/>
      <c r="Q41" s="14"/>
      <c r="R41" s="5"/>
      <c r="S41" s="14"/>
      <c r="T41" s="4"/>
      <c r="U41" s="11"/>
      <c r="V41" s="11"/>
      <c r="W41" s="12"/>
      <c r="X41" s="15" t="str">
        <f>IF($A41="","",COUNTIFS('PI Furnizor'!$A$7:$A$506,$A41,'PI Furnizor'!$D$7:$D$506,"&gt;0"))</f>
        <v/>
      </c>
      <c r="Y41" s="16" t="str">
        <f>IF($A41="","",SUMIFS('PI Furnizor'!$D$7:$D$506,'PI Furnizor'!$A$7:$A$506,$A41))</f>
        <v/>
      </c>
      <c r="Z41" s="9" t="str">
        <f>IF($A41="","",SUMIFS('PI Furnizor'!$O$7:$O$506,'PI Furnizor'!$A$7:$A$506,$A41))</f>
        <v/>
      </c>
      <c r="AA41" s="10" t="str">
        <f>IF($A41="","",SUMIFS('PI Furnizor'!$Q$7:$Q$506,'PI Furnizor'!$A$7:$A$506,$A41))</f>
        <v/>
      </c>
      <c r="AB41" s="56" t="str">
        <f>IF($A41="","",SUMIFS('PI Furnizor'!$N$7:$N$506,'PI Furnizor'!$A$7:$A$506,$A41))</f>
        <v/>
      </c>
      <c r="AC41" s="55" t="str">
        <f t="shared" ref="AC41:AC72" si="16">IF($A41="","",$AB41*IF($G41="USD",N($H41),IF($G41="EUR",N($I41),1)))</f>
        <v/>
      </c>
      <c r="AD41" s="9" t="str">
        <f t="shared" ref="AD41:AD72" si="17">IF($A41="","",IF($N41="Da",$AA41*1000000/$D$5,0))</f>
        <v/>
      </c>
      <c r="AE41" s="9" t="str">
        <f t="shared" ref="AE41:AE72" si="18">IF($A41="","",IF($K41="CBM",MAX($AA41,N($M41)),IF($K41="kg",MAX($Z41,IF($N41="Da",$AD41,0),N($M41)),1)))</f>
        <v/>
      </c>
      <c r="AF41" s="9" t="str">
        <f t="shared" ref="AF41:AF72" si="19">IF($A41="","",IF($K41="Total fix",N($L41),N($L41)*$AE41)+N($O41))</f>
        <v/>
      </c>
      <c r="AG41" s="18" t="str">
        <f t="shared" ref="AG41:AG72" si="20">IF($A41="","",$AF41*IF($J41="USD",N($H41),IF($J41="EUR",N($I41),1)))</f>
        <v/>
      </c>
      <c r="AH41" s="17" t="str">
        <f t="shared" ref="AH41:AH72" si="21">IF($A41="","",IF($Z41&gt;0,$AG41/$Z41,""))</f>
        <v/>
      </c>
      <c r="AI41" s="17" t="str">
        <f t="shared" ref="AI41:AI72" si="22">IF($A41="","",IF($AA41&gt;0,$AG41/$AA41,""))</f>
        <v/>
      </c>
      <c r="AJ41" s="17" t="str">
        <f t="shared" ref="AJ41:AJ72" si="23">IF($A41="","",N($P41)*N($Q41)*N($I41))</f>
        <v/>
      </c>
      <c r="AK41" s="17" t="str">
        <f t="shared" ref="AK41:AK72" si="24">IF($A41="","",N($R41)*N($S41))</f>
        <v/>
      </c>
      <c r="AL41" s="19" t="str">
        <f t="shared" ref="AL41:AL72" si="25">IF($A41="","",IF(OR($W41="",$W41="Automat"),IF($K41="CBM","Volum (CBM)","Greutate"),$W41))</f>
        <v/>
      </c>
      <c r="AM41" s="19" t="str">
        <f t="shared" ref="AM41:AM72" si="26">IF($A41="","",IF($AL41="Greutate",IF($Z41&gt;0,"Greutate","Egal pe bucata"),IF($AL41="Volum (CBM)",IF($AA41&gt;0,"Volum (CBM)","Egal pe bucata"),IF($AL41="Valoare marfa",IF($AB41&gt;0,"Valoare marfa","Egal pe bucata"),"Egal pe bucata"))))</f>
        <v/>
      </c>
      <c r="AN41" s="9" t="str">
        <f t="shared" ref="AN41:AN72" si="27">IF($A41="","",IF($AM41="Greutate",$Z41,IF($AM41="Volum (CBM)",$AA41,IF($AM41="Valoare marfa",$AB41,$Y41))))</f>
        <v/>
      </c>
      <c r="AO41" s="18" t="str">
        <f>IF($A41="","",SUMIFS('Calculator Cost per Bucata'!$V$10:$V$509,'Calculator Cost per Bucata'!$A$10:$A$509,$A41))</f>
        <v/>
      </c>
      <c r="AP41" s="17" t="str">
        <f t="shared" ref="AP41:AP72" si="28">IF($A41="","",$AQ41-$AO41)</f>
        <v/>
      </c>
      <c r="AQ41" s="20" t="str">
        <f>IF($A41="","",SUMIFS('Calculator Cost per Bucata'!$W$10:$W$509,'Calculator Cost per Bucata'!$A$10:$A$509,$A41))</f>
        <v/>
      </c>
      <c r="AR41" s="21" t="str">
        <f t="shared" ref="AR41:AR72" si="29">IF($A41="","",IF(N($I41)&gt;0,$AQ41/$I41,""))</f>
        <v/>
      </c>
      <c r="AS41" s="22" t="str">
        <f t="shared" ref="AS41:AS72" si="30">IF($A41="","",IF(N($H41)&gt;0,$AQ41/$H41,""))</f>
        <v/>
      </c>
      <c r="AT41" s="23" t="str">
        <f t="shared" ref="AT41:AT72" si="31">IF($A41="","",IF((N($H41)&lt;=0)+(N($I41)&lt;=0)+($X41=0)+(OR($G41="",$J41="",$K41=""))+(AND($K41="CBM",$AA41=0))+(AND($K41="kg",$Z41=0))+($AL41&lt;&gt;$AM41)=0,"OK",IF(N($H41)&lt;=0,"Lipseste cursul USD. ","")&amp;IF(N($I41)&lt;=0,"Lipseste cursul EUR. ","")&amp;IF($X41=0,"Nicio linie de produs in 'PI Furnizor'. ","")&amp;IF(OR($G41="",$J41="",$K41=""),"Lipseste moneda marfa / moneda transport / baza tarif. ","")&amp;IF(AND($K41="CBM",$AA41=0),"Tarif pe CBM dar lipsesc dimensiunile/volumul. ","")&amp;IF(AND($K41="kg",$Z41=0),"Tarif pe kg dar lipsesc greutatile. ","")&amp;IF($AL41&lt;&gt;$AM41,"Cheia de alocare lipseste - costurile se impart egal pe bucata. ","")))</f>
        <v/>
      </c>
    </row>
    <row r="42" spans="1:46" x14ac:dyDescent="0.3">
      <c r="A42" s="12"/>
      <c r="B42" s="13"/>
      <c r="C42" s="2"/>
      <c r="D42" s="2"/>
      <c r="E42" s="2"/>
      <c r="F42" s="2"/>
      <c r="G42" s="12"/>
      <c r="H42" s="7"/>
      <c r="I42" s="7"/>
      <c r="J42" s="12"/>
      <c r="K42" s="12"/>
      <c r="L42" s="4"/>
      <c r="M42" s="4"/>
      <c r="N42" s="12"/>
      <c r="O42" s="4"/>
      <c r="P42" s="5"/>
      <c r="Q42" s="14"/>
      <c r="R42" s="5"/>
      <c r="S42" s="14"/>
      <c r="T42" s="4"/>
      <c r="U42" s="11"/>
      <c r="V42" s="11"/>
      <c r="W42" s="12"/>
      <c r="X42" s="15" t="str">
        <f>IF($A42="","",COUNTIFS('PI Furnizor'!$A$7:$A$506,$A42,'PI Furnizor'!$D$7:$D$506,"&gt;0"))</f>
        <v/>
      </c>
      <c r="Y42" s="16" t="str">
        <f>IF($A42="","",SUMIFS('PI Furnizor'!$D$7:$D$506,'PI Furnizor'!$A$7:$A$506,$A42))</f>
        <v/>
      </c>
      <c r="Z42" s="9" t="str">
        <f>IF($A42="","",SUMIFS('PI Furnizor'!$O$7:$O$506,'PI Furnizor'!$A$7:$A$506,$A42))</f>
        <v/>
      </c>
      <c r="AA42" s="10" t="str">
        <f>IF($A42="","",SUMIFS('PI Furnizor'!$Q$7:$Q$506,'PI Furnizor'!$A$7:$A$506,$A42))</f>
        <v/>
      </c>
      <c r="AB42" s="56" t="str">
        <f>IF($A42="","",SUMIFS('PI Furnizor'!$N$7:$N$506,'PI Furnizor'!$A$7:$A$506,$A42))</f>
        <v/>
      </c>
      <c r="AC42" s="55" t="str">
        <f t="shared" si="16"/>
        <v/>
      </c>
      <c r="AD42" s="9" t="str">
        <f t="shared" si="17"/>
        <v/>
      </c>
      <c r="AE42" s="9" t="str">
        <f t="shared" si="18"/>
        <v/>
      </c>
      <c r="AF42" s="9" t="str">
        <f t="shared" si="19"/>
        <v/>
      </c>
      <c r="AG42" s="18" t="str">
        <f t="shared" si="20"/>
        <v/>
      </c>
      <c r="AH42" s="17" t="str">
        <f t="shared" si="21"/>
        <v/>
      </c>
      <c r="AI42" s="17" t="str">
        <f t="shared" si="22"/>
        <v/>
      </c>
      <c r="AJ42" s="17" t="str">
        <f t="shared" si="23"/>
        <v/>
      </c>
      <c r="AK42" s="17" t="str">
        <f t="shared" si="24"/>
        <v/>
      </c>
      <c r="AL42" s="19" t="str">
        <f t="shared" si="25"/>
        <v/>
      </c>
      <c r="AM42" s="19" t="str">
        <f t="shared" si="26"/>
        <v/>
      </c>
      <c r="AN42" s="9" t="str">
        <f t="shared" si="27"/>
        <v/>
      </c>
      <c r="AO42" s="18" t="str">
        <f>IF($A42="","",SUMIFS('Calculator Cost per Bucata'!$V$10:$V$509,'Calculator Cost per Bucata'!$A$10:$A$509,$A42))</f>
        <v/>
      </c>
      <c r="AP42" s="17" t="str">
        <f t="shared" si="28"/>
        <v/>
      </c>
      <c r="AQ42" s="20" t="str">
        <f>IF($A42="","",SUMIFS('Calculator Cost per Bucata'!$W$10:$W$509,'Calculator Cost per Bucata'!$A$10:$A$509,$A42))</f>
        <v/>
      </c>
      <c r="AR42" s="21" t="str">
        <f t="shared" si="29"/>
        <v/>
      </c>
      <c r="AS42" s="22" t="str">
        <f t="shared" si="30"/>
        <v/>
      </c>
      <c r="AT42" s="23" t="str">
        <f t="shared" si="31"/>
        <v/>
      </c>
    </row>
    <row r="43" spans="1:46" x14ac:dyDescent="0.3">
      <c r="A43" s="12"/>
      <c r="B43" s="13"/>
      <c r="C43" s="2"/>
      <c r="D43" s="2"/>
      <c r="E43" s="2"/>
      <c r="F43" s="2"/>
      <c r="G43" s="12"/>
      <c r="H43" s="7"/>
      <c r="I43" s="7"/>
      <c r="J43" s="12"/>
      <c r="K43" s="12"/>
      <c r="L43" s="4"/>
      <c r="M43" s="4"/>
      <c r="N43" s="12"/>
      <c r="O43" s="4"/>
      <c r="P43" s="5"/>
      <c r="Q43" s="14"/>
      <c r="R43" s="5"/>
      <c r="S43" s="14"/>
      <c r="T43" s="4"/>
      <c r="U43" s="11"/>
      <c r="V43" s="11"/>
      <c r="W43" s="12"/>
      <c r="X43" s="15" t="str">
        <f>IF($A43="","",COUNTIFS('PI Furnizor'!$A$7:$A$506,$A43,'PI Furnizor'!$D$7:$D$506,"&gt;0"))</f>
        <v/>
      </c>
      <c r="Y43" s="16" t="str">
        <f>IF($A43="","",SUMIFS('PI Furnizor'!$D$7:$D$506,'PI Furnizor'!$A$7:$A$506,$A43))</f>
        <v/>
      </c>
      <c r="Z43" s="9" t="str">
        <f>IF($A43="","",SUMIFS('PI Furnizor'!$O$7:$O$506,'PI Furnizor'!$A$7:$A$506,$A43))</f>
        <v/>
      </c>
      <c r="AA43" s="10" t="str">
        <f>IF($A43="","",SUMIFS('PI Furnizor'!$Q$7:$Q$506,'PI Furnizor'!$A$7:$A$506,$A43))</f>
        <v/>
      </c>
      <c r="AB43" s="56" t="str">
        <f>IF($A43="","",SUMIFS('PI Furnizor'!$N$7:$N$506,'PI Furnizor'!$A$7:$A$506,$A43))</f>
        <v/>
      </c>
      <c r="AC43" s="55" t="str">
        <f t="shared" si="16"/>
        <v/>
      </c>
      <c r="AD43" s="9" t="str">
        <f t="shared" si="17"/>
        <v/>
      </c>
      <c r="AE43" s="9" t="str">
        <f t="shared" si="18"/>
        <v/>
      </c>
      <c r="AF43" s="9" t="str">
        <f t="shared" si="19"/>
        <v/>
      </c>
      <c r="AG43" s="18" t="str">
        <f t="shared" si="20"/>
        <v/>
      </c>
      <c r="AH43" s="17" t="str">
        <f t="shared" si="21"/>
        <v/>
      </c>
      <c r="AI43" s="17" t="str">
        <f t="shared" si="22"/>
        <v/>
      </c>
      <c r="AJ43" s="17" t="str">
        <f t="shared" si="23"/>
        <v/>
      </c>
      <c r="AK43" s="17" t="str">
        <f t="shared" si="24"/>
        <v/>
      </c>
      <c r="AL43" s="19" t="str">
        <f t="shared" si="25"/>
        <v/>
      </c>
      <c r="AM43" s="19" t="str">
        <f t="shared" si="26"/>
        <v/>
      </c>
      <c r="AN43" s="9" t="str">
        <f t="shared" si="27"/>
        <v/>
      </c>
      <c r="AO43" s="18" t="str">
        <f>IF($A43="","",SUMIFS('Calculator Cost per Bucata'!$V$10:$V$509,'Calculator Cost per Bucata'!$A$10:$A$509,$A43))</f>
        <v/>
      </c>
      <c r="AP43" s="17" t="str">
        <f t="shared" si="28"/>
        <v/>
      </c>
      <c r="AQ43" s="20" t="str">
        <f>IF($A43="","",SUMIFS('Calculator Cost per Bucata'!$W$10:$W$509,'Calculator Cost per Bucata'!$A$10:$A$509,$A43))</f>
        <v/>
      </c>
      <c r="AR43" s="21" t="str">
        <f t="shared" si="29"/>
        <v/>
      </c>
      <c r="AS43" s="22" t="str">
        <f t="shared" si="30"/>
        <v/>
      </c>
      <c r="AT43" s="23" t="str">
        <f t="shared" si="31"/>
        <v/>
      </c>
    </row>
    <row r="44" spans="1:46" x14ac:dyDescent="0.3">
      <c r="A44" s="12"/>
      <c r="B44" s="13"/>
      <c r="C44" s="2"/>
      <c r="D44" s="2"/>
      <c r="E44" s="2"/>
      <c r="F44" s="2"/>
      <c r="G44" s="12"/>
      <c r="H44" s="7"/>
      <c r="I44" s="7"/>
      <c r="J44" s="12"/>
      <c r="K44" s="12"/>
      <c r="L44" s="4"/>
      <c r="M44" s="4"/>
      <c r="N44" s="12"/>
      <c r="O44" s="4"/>
      <c r="P44" s="5"/>
      <c r="Q44" s="14"/>
      <c r="R44" s="5"/>
      <c r="S44" s="14"/>
      <c r="T44" s="4"/>
      <c r="U44" s="11"/>
      <c r="V44" s="11"/>
      <c r="W44" s="12"/>
      <c r="X44" s="15" t="str">
        <f>IF($A44="","",COUNTIFS('PI Furnizor'!$A$7:$A$506,$A44,'PI Furnizor'!$D$7:$D$506,"&gt;0"))</f>
        <v/>
      </c>
      <c r="Y44" s="16" t="str">
        <f>IF($A44="","",SUMIFS('PI Furnizor'!$D$7:$D$506,'PI Furnizor'!$A$7:$A$506,$A44))</f>
        <v/>
      </c>
      <c r="Z44" s="9" t="str">
        <f>IF($A44="","",SUMIFS('PI Furnizor'!$O$7:$O$506,'PI Furnizor'!$A$7:$A$506,$A44))</f>
        <v/>
      </c>
      <c r="AA44" s="10" t="str">
        <f>IF($A44="","",SUMIFS('PI Furnizor'!$Q$7:$Q$506,'PI Furnizor'!$A$7:$A$506,$A44))</f>
        <v/>
      </c>
      <c r="AB44" s="56" t="str">
        <f>IF($A44="","",SUMIFS('PI Furnizor'!$N$7:$N$506,'PI Furnizor'!$A$7:$A$506,$A44))</f>
        <v/>
      </c>
      <c r="AC44" s="55" t="str">
        <f t="shared" si="16"/>
        <v/>
      </c>
      <c r="AD44" s="9" t="str">
        <f t="shared" si="17"/>
        <v/>
      </c>
      <c r="AE44" s="9" t="str">
        <f t="shared" si="18"/>
        <v/>
      </c>
      <c r="AF44" s="9" t="str">
        <f t="shared" si="19"/>
        <v/>
      </c>
      <c r="AG44" s="18" t="str">
        <f t="shared" si="20"/>
        <v/>
      </c>
      <c r="AH44" s="17" t="str">
        <f t="shared" si="21"/>
        <v/>
      </c>
      <c r="AI44" s="17" t="str">
        <f t="shared" si="22"/>
        <v/>
      </c>
      <c r="AJ44" s="17" t="str">
        <f t="shared" si="23"/>
        <v/>
      </c>
      <c r="AK44" s="17" t="str">
        <f t="shared" si="24"/>
        <v/>
      </c>
      <c r="AL44" s="19" t="str">
        <f t="shared" si="25"/>
        <v/>
      </c>
      <c r="AM44" s="19" t="str">
        <f t="shared" si="26"/>
        <v/>
      </c>
      <c r="AN44" s="9" t="str">
        <f t="shared" si="27"/>
        <v/>
      </c>
      <c r="AO44" s="18" t="str">
        <f>IF($A44="","",SUMIFS('Calculator Cost per Bucata'!$V$10:$V$509,'Calculator Cost per Bucata'!$A$10:$A$509,$A44))</f>
        <v/>
      </c>
      <c r="AP44" s="17" t="str">
        <f t="shared" si="28"/>
        <v/>
      </c>
      <c r="AQ44" s="20" t="str">
        <f>IF($A44="","",SUMIFS('Calculator Cost per Bucata'!$W$10:$W$509,'Calculator Cost per Bucata'!$A$10:$A$509,$A44))</f>
        <v/>
      </c>
      <c r="AR44" s="21" t="str">
        <f t="shared" si="29"/>
        <v/>
      </c>
      <c r="AS44" s="22" t="str">
        <f t="shared" si="30"/>
        <v/>
      </c>
      <c r="AT44" s="23" t="str">
        <f t="shared" si="31"/>
        <v/>
      </c>
    </row>
    <row r="45" spans="1:46" x14ac:dyDescent="0.3">
      <c r="A45" s="12"/>
      <c r="B45" s="13"/>
      <c r="C45" s="2"/>
      <c r="D45" s="2"/>
      <c r="E45" s="2"/>
      <c r="F45" s="2"/>
      <c r="G45" s="12"/>
      <c r="H45" s="7"/>
      <c r="I45" s="7"/>
      <c r="J45" s="12"/>
      <c r="K45" s="12"/>
      <c r="L45" s="4"/>
      <c r="M45" s="4"/>
      <c r="N45" s="12"/>
      <c r="O45" s="4"/>
      <c r="P45" s="5"/>
      <c r="Q45" s="14"/>
      <c r="R45" s="5"/>
      <c r="S45" s="14"/>
      <c r="T45" s="4"/>
      <c r="U45" s="11"/>
      <c r="V45" s="11"/>
      <c r="W45" s="12"/>
      <c r="X45" s="15" t="str">
        <f>IF($A45="","",COUNTIFS('PI Furnizor'!$A$7:$A$506,$A45,'PI Furnizor'!$D$7:$D$506,"&gt;0"))</f>
        <v/>
      </c>
      <c r="Y45" s="16" t="str">
        <f>IF($A45="","",SUMIFS('PI Furnizor'!$D$7:$D$506,'PI Furnizor'!$A$7:$A$506,$A45))</f>
        <v/>
      </c>
      <c r="Z45" s="9" t="str">
        <f>IF($A45="","",SUMIFS('PI Furnizor'!$O$7:$O$506,'PI Furnizor'!$A$7:$A$506,$A45))</f>
        <v/>
      </c>
      <c r="AA45" s="10" t="str">
        <f>IF($A45="","",SUMIFS('PI Furnizor'!$Q$7:$Q$506,'PI Furnizor'!$A$7:$A$506,$A45))</f>
        <v/>
      </c>
      <c r="AB45" s="56" t="str">
        <f>IF($A45="","",SUMIFS('PI Furnizor'!$N$7:$N$506,'PI Furnizor'!$A$7:$A$506,$A45))</f>
        <v/>
      </c>
      <c r="AC45" s="55" t="str">
        <f t="shared" si="16"/>
        <v/>
      </c>
      <c r="AD45" s="9" t="str">
        <f t="shared" si="17"/>
        <v/>
      </c>
      <c r="AE45" s="9" t="str">
        <f t="shared" si="18"/>
        <v/>
      </c>
      <c r="AF45" s="9" t="str">
        <f t="shared" si="19"/>
        <v/>
      </c>
      <c r="AG45" s="18" t="str">
        <f t="shared" si="20"/>
        <v/>
      </c>
      <c r="AH45" s="17" t="str">
        <f t="shared" si="21"/>
        <v/>
      </c>
      <c r="AI45" s="17" t="str">
        <f t="shared" si="22"/>
        <v/>
      </c>
      <c r="AJ45" s="17" t="str">
        <f t="shared" si="23"/>
        <v/>
      </c>
      <c r="AK45" s="17" t="str">
        <f t="shared" si="24"/>
        <v/>
      </c>
      <c r="AL45" s="19" t="str">
        <f t="shared" si="25"/>
        <v/>
      </c>
      <c r="AM45" s="19" t="str">
        <f t="shared" si="26"/>
        <v/>
      </c>
      <c r="AN45" s="9" t="str">
        <f t="shared" si="27"/>
        <v/>
      </c>
      <c r="AO45" s="18" t="str">
        <f>IF($A45="","",SUMIFS('Calculator Cost per Bucata'!$V$10:$V$509,'Calculator Cost per Bucata'!$A$10:$A$509,$A45))</f>
        <v/>
      </c>
      <c r="AP45" s="17" t="str">
        <f t="shared" si="28"/>
        <v/>
      </c>
      <c r="AQ45" s="20" t="str">
        <f>IF($A45="","",SUMIFS('Calculator Cost per Bucata'!$W$10:$W$509,'Calculator Cost per Bucata'!$A$10:$A$509,$A45))</f>
        <v/>
      </c>
      <c r="AR45" s="21" t="str">
        <f t="shared" si="29"/>
        <v/>
      </c>
      <c r="AS45" s="22" t="str">
        <f t="shared" si="30"/>
        <v/>
      </c>
      <c r="AT45" s="23" t="str">
        <f t="shared" si="31"/>
        <v/>
      </c>
    </row>
    <row r="46" spans="1:46" x14ac:dyDescent="0.3">
      <c r="A46" s="12"/>
      <c r="B46" s="13"/>
      <c r="C46" s="2"/>
      <c r="D46" s="2"/>
      <c r="E46" s="2"/>
      <c r="F46" s="2"/>
      <c r="G46" s="12"/>
      <c r="H46" s="7"/>
      <c r="I46" s="7"/>
      <c r="J46" s="12"/>
      <c r="K46" s="12"/>
      <c r="L46" s="4"/>
      <c r="M46" s="4"/>
      <c r="N46" s="12"/>
      <c r="O46" s="4"/>
      <c r="P46" s="5"/>
      <c r="Q46" s="14"/>
      <c r="R46" s="5"/>
      <c r="S46" s="14"/>
      <c r="T46" s="4"/>
      <c r="U46" s="11"/>
      <c r="V46" s="11"/>
      <c r="W46" s="12"/>
      <c r="X46" s="15" t="str">
        <f>IF($A46="","",COUNTIFS('PI Furnizor'!$A$7:$A$506,$A46,'PI Furnizor'!$D$7:$D$506,"&gt;0"))</f>
        <v/>
      </c>
      <c r="Y46" s="16" t="str">
        <f>IF($A46="","",SUMIFS('PI Furnizor'!$D$7:$D$506,'PI Furnizor'!$A$7:$A$506,$A46))</f>
        <v/>
      </c>
      <c r="Z46" s="9" t="str">
        <f>IF($A46="","",SUMIFS('PI Furnizor'!$O$7:$O$506,'PI Furnizor'!$A$7:$A$506,$A46))</f>
        <v/>
      </c>
      <c r="AA46" s="10" t="str">
        <f>IF($A46="","",SUMIFS('PI Furnizor'!$Q$7:$Q$506,'PI Furnizor'!$A$7:$A$506,$A46))</f>
        <v/>
      </c>
      <c r="AB46" s="56" t="str">
        <f>IF($A46="","",SUMIFS('PI Furnizor'!$N$7:$N$506,'PI Furnizor'!$A$7:$A$506,$A46))</f>
        <v/>
      </c>
      <c r="AC46" s="55" t="str">
        <f t="shared" si="16"/>
        <v/>
      </c>
      <c r="AD46" s="9" t="str">
        <f t="shared" si="17"/>
        <v/>
      </c>
      <c r="AE46" s="9" t="str">
        <f t="shared" si="18"/>
        <v/>
      </c>
      <c r="AF46" s="9" t="str">
        <f t="shared" si="19"/>
        <v/>
      </c>
      <c r="AG46" s="18" t="str">
        <f t="shared" si="20"/>
        <v/>
      </c>
      <c r="AH46" s="17" t="str">
        <f t="shared" si="21"/>
        <v/>
      </c>
      <c r="AI46" s="17" t="str">
        <f t="shared" si="22"/>
        <v/>
      </c>
      <c r="AJ46" s="17" t="str">
        <f t="shared" si="23"/>
        <v/>
      </c>
      <c r="AK46" s="17" t="str">
        <f t="shared" si="24"/>
        <v/>
      </c>
      <c r="AL46" s="19" t="str">
        <f t="shared" si="25"/>
        <v/>
      </c>
      <c r="AM46" s="19" t="str">
        <f t="shared" si="26"/>
        <v/>
      </c>
      <c r="AN46" s="9" t="str">
        <f t="shared" si="27"/>
        <v/>
      </c>
      <c r="AO46" s="18" t="str">
        <f>IF($A46="","",SUMIFS('Calculator Cost per Bucata'!$V$10:$V$509,'Calculator Cost per Bucata'!$A$10:$A$509,$A46))</f>
        <v/>
      </c>
      <c r="AP46" s="17" t="str">
        <f t="shared" si="28"/>
        <v/>
      </c>
      <c r="AQ46" s="20" t="str">
        <f>IF($A46="","",SUMIFS('Calculator Cost per Bucata'!$W$10:$W$509,'Calculator Cost per Bucata'!$A$10:$A$509,$A46))</f>
        <v/>
      </c>
      <c r="AR46" s="21" t="str">
        <f t="shared" si="29"/>
        <v/>
      </c>
      <c r="AS46" s="22" t="str">
        <f t="shared" si="30"/>
        <v/>
      </c>
      <c r="AT46" s="23" t="str">
        <f t="shared" si="31"/>
        <v/>
      </c>
    </row>
    <row r="47" spans="1:46" x14ac:dyDescent="0.3">
      <c r="A47" s="12"/>
      <c r="B47" s="13"/>
      <c r="C47" s="2"/>
      <c r="D47" s="2"/>
      <c r="E47" s="2"/>
      <c r="F47" s="2"/>
      <c r="G47" s="12"/>
      <c r="H47" s="7"/>
      <c r="I47" s="7"/>
      <c r="J47" s="12"/>
      <c r="K47" s="12"/>
      <c r="L47" s="4"/>
      <c r="M47" s="4"/>
      <c r="N47" s="12"/>
      <c r="O47" s="4"/>
      <c r="P47" s="5"/>
      <c r="Q47" s="14"/>
      <c r="R47" s="5"/>
      <c r="S47" s="14"/>
      <c r="T47" s="4"/>
      <c r="U47" s="11"/>
      <c r="V47" s="11"/>
      <c r="W47" s="12"/>
      <c r="X47" s="15" t="str">
        <f>IF($A47="","",COUNTIFS('PI Furnizor'!$A$7:$A$506,$A47,'PI Furnizor'!$D$7:$D$506,"&gt;0"))</f>
        <v/>
      </c>
      <c r="Y47" s="16" t="str">
        <f>IF($A47="","",SUMIFS('PI Furnizor'!$D$7:$D$506,'PI Furnizor'!$A$7:$A$506,$A47))</f>
        <v/>
      </c>
      <c r="Z47" s="9" t="str">
        <f>IF($A47="","",SUMIFS('PI Furnizor'!$O$7:$O$506,'PI Furnizor'!$A$7:$A$506,$A47))</f>
        <v/>
      </c>
      <c r="AA47" s="10" t="str">
        <f>IF($A47="","",SUMIFS('PI Furnizor'!$Q$7:$Q$506,'PI Furnizor'!$A$7:$A$506,$A47))</f>
        <v/>
      </c>
      <c r="AB47" s="56" t="str">
        <f>IF($A47="","",SUMIFS('PI Furnizor'!$N$7:$N$506,'PI Furnizor'!$A$7:$A$506,$A47))</f>
        <v/>
      </c>
      <c r="AC47" s="55" t="str">
        <f t="shared" si="16"/>
        <v/>
      </c>
      <c r="AD47" s="9" t="str">
        <f t="shared" si="17"/>
        <v/>
      </c>
      <c r="AE47" s="9" t="str">
        <f t="shared" si="18"/>
        <v/>
      </c>
      <c r="AF47" s="9" t="str">
        <f t="shared" si="19"/>
        <v/>
      </c>
      <c r="AG47" s="18" t="str">
        <f t="shared" si="20"/>
        <v/>
      </c>
      <c r="AH47" s="17" t="str">
        <f t="shared" si="21"/>
        <v/>
      </c>
      <c r="AI47" s="17" t="str">
        <f t="shared" si="22"/>
        <v/>
      </c>
      <c r="AJ47" s="17" t="str">
        <f t="shared" si="23"/>
        <v/>
      </c>
      <c r="AK47" s="17" t="str">
        <f t="shared" si="24"/>
        <v/>
      </c>
      <c r="AL47" s="19" t="str">
        <f t="shared" si="25"/>
        <v/>
      </c>
      <c r="AM47" s="19" t="str">
        <f t="shared" si="26"/>
        <v/>
      </c>
      <c r="AN47" s="9" t="str">
        <f t="shared" si="27"/>
        <v/>
      </c>
      <c r="AO47" s="18" t="str">
        <f>IF($A47="","",SUMIFS('Calculator Cost per Bucata'!$V$10:$V$509,'Calculator Cost per Bucata'!$A$10:$A$509,$A47))</f>
        <v/>
      </c>
      <c r="AP47" s="17" t="str">
        <f t="shared" si="28"/>
        <v/>
      </c>
      <c r="AQ47" s="20" t="str">
        <f>IF($A47="","",SUMIFS('Calculator Cost per Bucata'!$W$10:$W$509,'Calculator Cost per Bucata'!$A$10:$A$509,$A47))</f>
        <v/>
      </c>
      <c r="AR47" s="21" t="str">
        <f t="shared" si="29"/>
        <v/>
      </c>
      <c r="AS47" s="22" t="str">
        <f t="shared" si="30"/>
        <v/>
      </c>
      <c r="AT47" s="23" t="str">
        <f t="shared" si="31"/>
        <v/>
      </c>
    </row>
    <row r="48" spans="1:46" x14ac:dyDescent="0.3">
      <c r="A48" s="12"/>
      <c r="B48" s="13"/>
      <c r="C48" s="2"/>
      <c r="D48" s="2"/>
      <c r="E48" s="2"/>
      <c r="F48" s="2"/>
      <c r="G48" s="12"/>
      <c r="H48" s="7"/>
      <c r="I48" s="7"/>
      <c r="J48" s="12"/>
      <c r="K48" s="12"/>
      <c r="L48" s="4"/>
      <c r="M48" s="4"/>
      <c r="N48" s="12"/>
      <c r="O48" s="4"/>
      <c r="P48" s="5"/>
      <c r="Q48" s="14"/>
      <c r="R48" s="5"/>
      <c r="S48" s="14"/>
      <c r="T48" s="4"/>
      <c r="U48" s="11"/>
      <c r="V48" s="11"/>
      <c r="W48" s="12"/>
      <c r="X48" s="15" t="str">
        <f>IF($A48="","",COUNTIFS('PI Furnizor'!$A$7:$A$506,$A48,'PI Furnizor'!$D$7:$D$506,"&gt;0"))</f>
        <v/>
      </c>
      <c r="Y48" s="16" t="str">
        <f>IF($A48="","",SUMIFS('PI Furnizor'!$D$7:$D$506,'PI Furnizor'!$A$7:$A$506,$A48))</f>
        <v/>
      </c>
      <c r="Z48" s="9" t="str">
        <f>IF($A48="","",SUMIFS('PI Furnizor'!$O$7:$O$506,'PI Furnizor'!$A$7:$A$506,$A48))</f>
        <v/>
      </c>
      <c r="AA48" s="10" t="str">
        <f>IF($A48="","",SUMIFS('PI Furnizor'!$Q$7:$Q$506,'PI Furnizor'!$A$7:$A$506,$A48))</f>
        <v/>
      </c>
      <c r="AB48" s="56" t="str">
        <f>IF($A48="","",SUMIFS('PI Furnizor'!$N$7:$N$506,'PI Furnizor'!$A$7:$A$506,$A48))</f>
        <v/>
      </c>
      <c r="AC48" s="55" t="str">
        <f t="shared" si="16"/>
        <v/>
      </c>
      <c r="AD48" s="9" t="str">
        <f t="shared" si="17"/>
        <v/>
      </c>
      <c r="AE48" s="9" t="str">
        <f t="shared" si="18"/>
        <v/>
      </c>
      <c r="AF48" s="9" t="str">
        <f t="shared" si="19"/>
        <v/>
      </c>
      <c r="AG48" s="18" t="str">
        <f t="shared" si="20"/>
        <v/>
      </c>
      <c r="AH48" s="17" t="str">
        <f t="shared" si="21"/>
        <v/>
      </c>
      <c r="AI48" s="17" t="str">
        <f t="shared" si="22"/>
        <v/>
      </c>
      <c r="AJ48" s="17" t="str">
        <f t="shared" si="23"/>
        <v/>
      </c>
      <c r="AK48" s="17" t="str">
        <f t="shared" si="24"/>
        <v/>
      </c>
      <c r="AL48" s="19" t="str">
        <f t="shared" si="25"/>
        <v/>
      </c>
      <c r="AM48" s="19" t="str">
        <f t="shared" si="26"/>
        <v/>
      </c>
      <c r="AN48" s="9" t="str">
        <f t="shared" si="27"/>
        <v/>
      </c>
      <c r="AO48" s="18" t="str">
        <f>IF($A48="","",SUMIFS('Calculator Cost per Bucata'!$V$10:$V$509,'Calculator Cost per Bucata'!$A$10:$A$509,$A48))</f>
        <v/>
      </c>
      <c r="AP48" s="17" t="str">
        <f t="shared" si="28"/>
        <v/>
      </c>
      <c r="AQ48" s="20" t="str">
        <f>IF($A48="","",SUMIFS('Calculator Cost per Bucata'!$W$10:$W$509,'Calculator Cost per Bucata'!$A$10:$A$509,$A48))</f>
        <v/>
      </c>
      <c r="AR48" s="21" t="str">
        <f t="shared" si="29"/>
        <v/>
      </c>
      <c r="AS48" s="22" t="str">
        <f t="shared" si="30"/>
        <v/>
      </c>
      <c r="AT48" s="23" t="str">
        <f t="shared" si="31"/>
        <v/>
      </c>
    </row>
    <row r="49" spans="1:46" x14ac:dyDescent="0.3">
      <c r="A49" s="12"/>
      <c r="B49" s="13"/>
      <c r="C49" s="2"/>
      <c r="D49" s="2"/>
      <c r="E49" s="2"/>
      <c r="F49" s="2"/>
      <c r="G49" s="12"/>
      <c r="H49" s="7"/>
      <c r="I49" s="7"/>
      <c r="J49" s="12"/>
      <c r="K49" s="12"/>
      <c r="L49" s="4"/>
      <c r="M49" s="4"/>
      <c r="N49" s="12"/>
      <c r="O49" s="4"/>
      <c r="P49" s="5"/>
      <c r="Q49" s="14"/>
      <c r="R49" s="5"/>
      <c r="S49" s="14"/>
      <c r="T49" s="4"/>
      <c r="U49" s="11"/>
      <c r="V49" s="11"/>
      <c r="W49" s="12"/>
      <c r="X49" s="15" t="str">
        <f>IF($A49="","",COUNTIFS('PI Furnizor'!$A$7:$A$506,$A49,'PI Furnizor'!$D$7:$D$506,"&gt;0"))</f>
        <v/>
      </c>
      <c r="Y49" s="16" t="str">
        <f>IF($A49="","",SUMIFS('PI Furnizor'!$D$7:$D$506,'PI Furnizor'!$A$7:$A$506,$A49))</f>
        <v/>
      </c>
      <c r="Z49" s="9" t="str">
        <f>IF($A49="","",SUMIFS('PI Furnizor'!$O$7:$O$506,'PI Furnizor'!$A$7:$A$506,$A49))</f>
        <v/>
      </c>
      <c r="AA49" s="10" t="str">
        <f>IF($A49="","",SUMIFS('PI Furnizor'!$Q$7:$Q$506,'PI Furnizor'!$A$7:$A$506,$A49))</f>
        <v/>
      </c>
      <c r="AB49" s="56" t="str">
        <f>IF($A49="","",SUMIFS('PI Furnizor'!$N$7:$N$506,'PI Furnizor'!$A$7:$A$506,$A49))</f>
        <v/>
      </c>
      <c r="AC49" s="55" t="str">
        <f t="shared" si="16"/>
        <v/>
      </c>
      <c r="AD49" s="9" t="str">
        <f t="shared" si="17"/>
        <v/>
      </c>
      <c r="AE49" s="9" t="str">
        <f t="shared" si="18"/>
        <v/>
      </c>
      <c r="AF49" s="9" t="str">
        <f t="shared" si="19"/>
        <v/>
      </c>
      <c r="AG49" s="18" t="str">
        <f t="shared" si="20"/>
        <v/>
      </c>
      <c r="AH49" s="17" t="str">
        <f t="shared" si="21"/>
        <v/>
      </c>
      <c r="AI49" s="17" t="str">
        <f t="shared" si="22"/>
        <v/>
      </c>
      <c r="AJ49" s="17" t="str">
        <f t="shared" si="23"/>
        <v/>
      </c>
      <c r="AK49" s="17" t="str">
        <f t="shared" si="24"/>
        <v/>
      </c>
      <c r="AL49" s="19" t="str">
        <f t="shared" si="25"/>
        <v/>
      </c>
      <c r="AM49" s="19" t="str">
        <f t="shared" si="26"/>
        <v/>
      </c>
      <c r="AN49" s="9" t="str">
        <f t="shared" si="27"/>
        <v/>
      </c>
      <c r="AO49" s="18" t="str">
        <f>IF($A49="","",SUMIFS('Calculator Cost per Bucata'!$V$10:$V$509,'Calculator Cost per Bucata'!$A$10:$A$509,$A49))</f>
        <v/>
      </c>
      <c r="AP49" s="17" t="str">
        <f t="shared" si="28"/>
        <v/>
      </c>
      <c r="AQ49" s="20" t="str">
        <f>IF($A49="","",SUMIFS('Calculator Cost per Bucata'!$W$10:$W$509,'Calculator Cost per Bucata'!$A$10:$A$509,$A49))</f>
        <v/>
      </c>
      <c r="AR49" s="21" t="str">
        <f t="shared" si="29"/>
        <v/>
      </c>
      <c r="AS49" s="22" t="str">
        <f t="shared" si="30"/>
        <v/>
      </c>
      <c r="AT49" s="23" t="str">
        <f t="shared" si="31"/>
        <v/>
      </c>
    </row>
    <row r="50" spans="1:46" x14ac:dyDescent="0.3">
      <c r="A50" s="12"/>
      <c r="B50" s="13"/>
      <c r="C50" s="2"/>
      <c r="D50" s="2"/>
      <c r="E50" s="2"/>
      <c r="F50" s="2"/>
      <c r="G50" s="12"/>
      <c r="H50" s="7"/>
      <c r="I50" s="7"/>
      <c r="J50" s="12"/>
      <c r="K50" s="12"/>
      <c r="L50" s="4"/>
      <c r="M50" s="4"/>
      <c r="N50" s="12"/>
      <c r="O50" s="4"/>
      <c r="P50" s="5"/>
      <c r="Q50" s="14"/>
      <c r="R50" s="5"/>
      <c r="S50" s="14"/>
      <c r="T50" s="4"/>
      <c r="U50" s="11"/>
      <c r="V50" s="11"/>
      <c r="W50" s="12"/>
      <c r="X50" s="15" t="str">
        <f>IF($A50="","",COUNTIFS('PI Furnizor'!$A$7:$A$506,$A50,'PI Furnizor'!$D$7:$D$506,"&gt;0"))</f>
        <v/>
      </c>
      <c r="Y50" s="16" t="str">
        <f>IF($A50="","",SUMIFS('PI Furnizor'!$D$7:$D$506,'PI Furnizor'!$A$7:$A$506,$A50))</f>
        <v/>
      </c>
      <c r="Z50" s="9" t="str">
        <f>IF($A50="","",SUMIFS('PI Furnizor'!$O$7:$O$506,'PI Furnizor'!$A$7:$A$506,$A50))</f>
        <v/>
      </c>
      <c r="AA50" s="10" t="str">
        <f>IF($A50="","",SUMIFS('PI Furnizor'!$Q$7:$Q$506,'PI Furnizor'!$A$7:$A$506,$A50))</f>
        <v/>
      </c>
      <c r="AB50" s="56" t="str">
        <f>IF($A50="","",SUMIFS('PI Furnizor'!$N$7:$N$506,'PI Furnizor'!$A$7:$A$506,$A50))</f>
        <v/>
      </c>
      <c r="AC50" s="55" t="str">
        <f t="shared" si="16"/>
        <v/>
      </c>
      <c r="AD50" s="9" t="str">
        <f t="shared" si="17"/>
        <v/>
      </c>
      <c r="AE50" s="9" t="str">
        <f t="shared" si="18"/>
        <v/>
      </c>
      <c r="AF50" s="9" t="str">
        <f t="shared" si="19"/>
        <v/>
      </c>
      <c r="AG50" s="18" t="str">
        <f t="shared" si="20"/>
        <v/>
      </c>
      <c r="AH50" s="17" t="str">
        <f t="shared" si="21"/>
        <v/>
      </c>
      <c r="AI50" s="17" t="str">
        <f t="shared" si="22"/>
        <v/>
      </c>
      <c r="AJ50" s="17" t="str">
        <f t="shared" si="23"/>
        <v/>
      </c>
      <c r="AK50" s="17" t="str">
        <f t="shared" si="24"/>
        <v/>
      </c>
      <c r="AL50" s="19" t="str">
        <f t="shared" si="25"/>
        <v/>
      </c>
      <c r="AM50" s="19" t="str">
        <f t="shared" si="26"/>
        <v/>
      </c>
      <c r="AN50" s="9" t="str">
        <f t="shared" si="27"/>
        <v/>
      </c>
      <c r="AO50" s="18" t="str">
        <f>IF($A50="","",SUMIFS('Calculator Cost per Bucata'!$V$10:$V$509,'Calculator Cost per Bucata'!$A$10:$A$509,$A50))</f>
        <v/>
      </c>
      <c r="AP50" s="17" t="str">
        <f t="shared" si="28"/>
        <v/>
      </c>
      <c r="AQ50" s="20" t="str">
        <f>IF($A50="","",SUMIFS('Calculator Cost per Bucata'!$W$10:$W$509,'Calculator Cost per Bucata'!$A$10:$A$509,$A50))</f>
        <v/>
      </c>
      <c r="AR50" s="21" t="str">
        <f t="shared" si="29"/>
        <v/>
      </c>
      <c r="AS50" s="22" t="str">
        <f t="shared" si="30"/>
        <v/>
      </c>
      <c r="AT50" s="23" t="str">
        <f t="shared" si="31"/>
        <v/>
      </c>
    </row>
    <row r="51" spans="1:46" x14ac:dyDescent="0.3">
      <c r="A51" s="12"/>
      <c r="B51" s="13"/>
      <c r="C51" s="2"/>
      <c r="D51" s="2"/>
      <c r="E51" s="2"/>
      <c r="F51" s="2"/>
      <c r="G51" s="12"/>
      <c r="H51" s="7"/>
      <c r="I51" s="7"/>
      <c r="J51" s="12"/>
      <c r="K51" s="12"/>
      <c r="L51" s="4"/>
      <c r="M51" s="4"/>
      <c r="N51" s="12"/>
      <c r="O51" s="4"/>
      <c r="P51" s="5"/>
      <c r="Q51" s="14"/>
      <c r="R51" s="5"/>
      <c r="S51" s="14"/>
      <c r="T51" s="4"/>
      <c r="U51" s="11"/>
      <c r="V51" s="11"/>
      <c r="W51" s="12"/>
      <c r="X51" s="15" t="str">
        <f>IF($A51="","",COUNTIFS('PI Furnizor'!$A$7:$A$506,$A51,'PI Furnizor'!$D$7:$D$506,"&gt;0"))</f>
        <v/>
      </c>
      <c r="Y51" s="16" t="str">
        <f>IF($A51="","",SUMIFS('PI Furnizor'!$D$7:$D$506,'PI Furnizor'!$A$7:$A$506,$A51))</f>
        <v/>
      </c>
      <c r="Z51" s="9" t="str">
        <f>IF($A51="","",SUMIFS('PI Furnizor'!$O$7:$O$506,'PI Furnizor'!$A$7:$A$506,$A51))</f>
        <v/>
      </c>
      <c r="AA51" s="10" t="str">
        <f>IF($A51="","",SUMIFS('PI Furnizor'!$Q$7:$Q$506,'PI Furnizor'!$A$7:$A$506,$A51))</f>
        <v/>
      </c>
      <c r="AB51" s="56" t="str">
        <f>IF($A51="","",SUMIFS('PI Furnizor'!$N$7:$N$506,'PI Furnizor'!$A$7:$A$506,$A51))</f>
        <v/>
      </c>
      <c r="AC51" s="55" t="str">
        <f t="shared" si="16"/>
        <v/>
      </c>
      <c r="AD51" s="9" t="str">
        <f t="shared" si="17"/>
        <v/>
      </c>
      <c r="AE51" s="9" t="str">
        <f t="shared" si="18"/>
        <v/>
      </c>
      <c r="AF51" s="9" t="str">
        <f t="shared" si="19"/>
        <v/>
      </c>
      <c r="AG51" s="18" t="str">
        <f t="shared" si="20"/>
        <v/>
      </c>
      <c r="AH51" s="17" t="str">
        <f t="shared" si="21"/>
        <v/>
      </c>
      <c r="AI51" s="17" t="str">
        <f t="shared" si="22"/>
        <v/>
      </c>
      <c r="AJ51" s="17" t="str">
        <f t="shared" si="23"/>
        <v/>
      </c>
      <c r="AK51" s="17" t="str">
        <f t="shared" si="24"/>
        <v/>
      </c>
      <c r="AL51" s="19" t="str">
        <f t="shared" si="25"/>
        <v/>
      </c>
      <c r="AM51" s="19" t="str">
        <f t="shared" si="26"/>
        <v/>
      </c>
      <c r="AN51" s="9" t="str">
        <f t="shared" si="27"/>
        <v/>
      </c>
      <c r="AO51" s="18" t="str">
        <f>IF($A51="","",SUMIFS('Calculator Cost per Bucata'!$V$10:$V$509,'Calculator Cost per Bucata'!$A$10:$A$509,$A51))</f>
        <v/>
      </c>
      <c r="AP51" s="17" t="str">
        <f t="shared" si="28"/>
        <v/>
      </c>
      <c r="AQ51" s="20" t="str">
        <f>IF($A51="","",SUMIFS('Calculator Cost per Bucata'!$W$10:$W$509,'Calculator Cost per Bucata'!$A$10:$A$509,$A51))</f>
        <v/>
      </c>
      <c r="AR51" s="21" t="str">
        <f t="shared" si="29"/>
        <v/>
      </c>
      <c r="AS51" s="22" t="str">
        <f t="shared" si="30"/>
        <v/>
      </c>
      <c r="AT51" s="23" t="str">
        <f t="shared" si="31"/>
        <v/>
      </c>
    </row>
    <row r="52" spans="1:46" x14ac:dyDescent="0.3">
      <c r="A52" s="12"/>
      <c r="B52" s="13"/>
      <c r="C52" s="2"/>
      <c r="D52" s="2"/>
      <c r="E52" s="2"/>
      <c r="F52" s="2"/>
      <c r="G52" s="12"/>
      <c r="H52" s="7"/>
      <c r="I52" s="7"/>
      <c r="J52" s="12"/>
      <c r="K52" s="12"/>
      <c r="L52" s="4"/>
      <c r="M52" s="4"/>
      <c r="N52" s="12"/>
      <c r="O52" s="4"/>
      <c r="P52" s="5"/>
      <c r="Q52" s="14"/>
      <c r="R52" s="5"/>
      <c r="S52" s="14"/>
      <c r="T52" s="4"/>
      <c r="U52" s="11"/>
      <c r="V52" s="11"/>
      <c r="W52" s="12"/>
      <c r="X52" s="15" t="str">
        <f>IF($A52="","",COUNTIFS('PI Furnizor'!$A$7:$A$506,$A52,'PI Furnizor'!$D$7:$D$506,"&gt;0"))</f>
        <v/>
      </c>
      <c r="Y52" s="16" t="str">
        <f>IF($A52="","",SUMIFS('PI Furnizor'!$D$7:$D$506,'PI Furnizor'!$A$7:$A$506,$A52))</f>
        <v/>
      </c>
      <c r="Z52" s="9" t="str">
        <f>IF($A52="","",SUMIFS('PI Furnizor'!$O$7:$O$506,'PI Furnizor'!$A$7:$A$506,$A52))</f>
        <v/>
      </c>
      <c r="AA52" s="10" t="str">
        <f>IF($A52="","",SUMIFS('PI Furnizor'!$Q$7:$Q$506,'PI Furnizor'!$A$7:$A$506,$A52))</f>
        <v/>
      </c>
      <c r="AB52" s="56" t="str">
        <f>IF($A52="","",SUMIFS('PI Furnizor'!$N$7:$N$506,'PI Furnizor'!$A$7:$A$506,$A52))</f>
        <v/>
      </c>
      <c r="AC52" s="55" t="str">
        <f t="shared" si="16"/>
        <v/>
      </c>
      <c r="AD52" s="9" t="str">
        <f t="shared" si="17"/>
        <v/>
      </c>
      <c r="AE52" s="9" t="str">
        <f t="shared" si="18"/>
        <v/>
      </c>
      <c r="AF52" s="9" t="str">
        <f t="shared" si="19"/>
        <v/>
      </c>
      <c r="AG52" s="18" t="str">
        <f t="shared" si="20"/>
        <v/>
      </c>
      <c r="AH52" s="17" t="str">
        <f t="shared" si="21"/>
        <v/>
      </c>
      <c r="AI52" s="17" t="str">
        <f t="shared" si="22"/>
        <v/>
      </c>
      <c r="AJ52" s="17" t="str">
        <f t="shared" si="23"/>
        <v/>
      </c>
      <c r="AK52" s="17" t="str">
        <f t="shared" si="24"/>
        <v/>
      </c>
      <c r="AL52" s="19" t="str">
        <f t="shared" si="25"/>
        <v/>
      </c>
      <c r="AM52" s="19" t="str">
        <f t="shared" si="26"/>
        <v/>
      </c>
      <c r="AN52" s="9" t="str">
        <f t="shared" si="27"/>
        <v/>
      </c>
      <c r="AO52" s="18" t="str">
        <f>IF($A52="","",SUMIFS('Calculator Cost per Bucata'!$V$10:$V$509,'Calculator Cost per Bucata'!$A$10:$A$509,$A52))</f>
        <v/>
      </c>
      <c r="AP52" s="17" t="str">
        <f t="shared" si="28"/>
        <v/>
      </c>
      <c r="AQ52" s="20" t="str">
        <f>IF($A52="","",SUMIFS('Calculator Cost per Bucata'!$W$10:$W$509,'Calculator Cost per Bucata'!$A$10:$A$509,$A52))</f>
        <v/>
      </c>
      <c r="AR52" s="21" t="str">
        <f t="shared" si="29"/>
        <v/>
      </c>
      <c r="AS52" s="22" t="str">
        <f t="shared" si="30"/>
        <v/>
      </c>
      <c r="AT52" s="23" t="str">
        <f t="shared" si="31"/>
        <v/>
      </c>
    </row>
    <row r="53" spans="1:46" x14ac:dyDescent="0.3">
      <c r="A53" s="12"/>
      <c r="B53" s="13"/>
      <c r="C53" s="2"/>
      <c r="D53" s="2"/>
      <c r="E53" s="2"/>
      <c r="F53" s="2"/>
      <c r="G53" s="12"/>
      <c r="H53" s="7"/>
      <c r="I53" s="7"/>
      <c r="J53" s="12"/>
      <c r="K53" s="12"/>
      <c r="L53" s="4"/>
      <c r="M53" s="4"/>
      <c r="N53" s="12"/>
      <c r="O53" s="4"/>
      <c r="P53" s="5"/>
      <c r="Q53" s="14"/>
      <c r="R53" s="5"/>
      <c r="S53" s="14"/>
      <c r="T53" s="4"/>
      <c r="U53" s="11"/>
      <c r="V53" s="11"/>
      <c r="W53" s="12"/>
      <c r="X53" s="15" t="str">
        <f>IF($A53="","",COUNTIFS('PI Furnizor'!$A$7:$A$506,$A53,'PI Furnizor'!$D$7:$D$506,"&gt;0"))</f>
        <v/>
      </c>
      <c r="Y53" s="16" t="str">
        <f>IF($A53="","",SUMIFS('PI Furnizor'!$D$7:$D$506,'PI Furnizor'!$A$7:$A$506,$A53))</f>
        <v/>
      </c>
      <c r="Z53" s="9" t="str">
        <f>IF($A53="","",SUMIFS('PI Furnizor'!$O$7:$O$506,'PI Furnizor'!$A$7:$A$506,$A53))</f>
        <v/>
      </c>
      <c r="AA53" s="10" t="str">
        <f>IF($A53="","",SUMIFS('PI Furnizor'!$Q$7:$Q$506,'PI Furnizor'!$A$7:$A$506,$A53))</f>
        <v/>
      </c>
      <c r="AB53" s="56" t="str">
        <f>IF($A53="","",SUMIFS('PI Furnizor'!$N$7:$N$506,'PI Furnizor'!$A$7:$A$506,$A53))</f>
        <v/>
      </c>
      <c r="AC53" s="55" t="str">
        <f t="shared" si="16"/>
        <v/>
      </c>
      <c r="AD53" s="9" t="str">
        <f t="shared" si="17"/>
        <v/>
      </c>
      <c r="AE53" s="9" t="str">
        <f t="shared" si="18"/>
        <v/>
      </c>
      <c r="AF53" s="9" t="str">
        <f t="shared" si="19"/>
        <v/>
      </c>
      <c r="AG53" s="18" t="str">
        <f t="shared" si="20"/>
        <v/>
      </c>
      <c r="AH53" s="17" t="str">
        <f t="shared" si="21"/>
        <v/>
      </c>
      <c r="AI53" s="17" t="str">
        <f t="shared" si="22"/>
        <v/>
      </c>
      <c r="AJ53" s="17" t="str">
        <f t="shared" si="23"/>
        <v/>
      </c>
      <c r="AK53" s="17" t="str">
        <f t="shared" si="24"/>
        <v/>
      </c>
      <c r="AL53" s="19" t="str">
        <f t="shared" si="25"/>
        <v/>
      </c>
      <c r="AM53" s="19" t="str">
        <f t="shared" si="26"/>
        <v/>
      </c>
      <c r="AN53" s="9" t="str">
        <f t="shared" si="27"/>
        <v/>
      </c>
      <c r="AO53" s="18" t="str">
        <f>IF($A53="","",SUMIFS('Calculator Cost per Bucata'!$V$10:$V$509,'Calculator Cost per Bucata'!$A$10:$A$509,$A53))</f>
        <v/>
      </c>
      <c r="AP53" s="17" t="str">
        <f t="shared" si="28"/>
        <v/>
      </c>
      <c r="AQ53" s="20" t="str">
        <f>IF($A53="","",SUMIFS('Calculator Cost per Bucata'!$W$10:$W$509,'Calculator Cost per Bucata'!$A$10:$A$509,$A53))</f>
        <v/>
      </c>
      <c r="AR53" s="21" t="str">
        <f t="shared" si="29"/>
        <v/>
      </c>
      <c r="AS53" s="22" t="str">
        <f t="shared" si="30"/>
        <v/>
      </c>
      <c r="AT53" s="23" t="str">
        <f t="shared" si="31"/>
        <v/>
      </c>
    </row>
    <row r="54" spans="1:46" x14ac:dyDescent="0.3">
      <c r="A54" s="12"/>
      <c r="B54" s="13"/>
      <c r="C54" s="2"/>
      <c r="D54" s="2"/>
      <c r="E54" s="2"/>
      <c r="F54" s="2"/>
      <c r="G54" s="12"/>
      <c r="H54" s="7"/>
      <c r="I54" s="7"/>
      <c r="J54" s="12"/>
      <c r="K54" s="12"/>
      <c r="L54" s="4"/>
      <c r="M54" s="4"/>
      <c r="N54" s="12"/>
      <c r="O54" s="4"/>
      <c r="P54" s="5"/>
      <c r="Q54" s="14"/>
      <c r="R54" s="5"/>
      <c r="S54" s="14"/>
      <c r="T54" s="4"/>
      <c r="U54" s="11"/>
      <c r="V54" s="11"/>
      <c r="W54" s="12"/>
      <c r="X54" s="15" t="str">
        <f>IF($A54="","",COUNTIFS('PI Furnizor'!$A$7:$A$506,$A54,'PI Furnizor'!$D$7:$D$506,"&gt;0"))</f>
        <v/>
      </c>
      <c r="Y54" s="16" t="str">
        <f>IF($A54="","",SUMIFS('PI Furnizor'!$D$7:$D$506,'PI Furnizor'!$A$7:$A$506,$A54))</f>
        <v/>
      </c>
      <c r="Z54" s="9" t="str">
        <f>IF($A54="","",SUMIFS('PI Furnizor'!$O$7:$O$506,'PI Furnizor'!$A$7:$A$506,$A54))</f>
        <v/>
      </c>
      <c r="AA54" s="10" t="str">
        <f>IF($A54="","",SUMIFS('PI Furnizor'!$Q$7:$Q$506,'PI Furnizor'!$A$7:$A$506,$A54))</f>
        <v/>
      </c>
      <c r="AB54" s="56" t="str">
        <f>IF($A54="","",SUMIFS('PI Furnizor'!$N$7:$N$506,'PI Furnizor'!$A$7:$A$506,$A54))</f>
        <v/>
      </c>
      <c r="AC54" s="55" t="str">
        <f t="shared" si="16"/>
        <v/>
      </c>
      <c r="AD54" s="9" t="str">
        <f t="shared" si="17"/>
        <v/>
      </c>
      <c r="AE54" s="9" t="str">
        <f t="shared" si="18"/>
        <v/>
      </c>
      <c r="AF54" s="9" t="str">
        <f t="shared" si="19"/>
        <v/>
      </c>
      <c r="AG54" s="18" t="str">
        <f t="shared" si="20"/>
        <v/>
      </c>
      <c r="AH54" s="17" t="str">
        <f t="shared" si="21"/>
        <v/>
      </c>
      <c r="AI54" s="17" t="str">
        <f t="shared" si="22"/>
        <v/>
      </c>
      <c r="AJ54" s="17" t="str">
        <f t="shared" si="23"/>
        <v/>
      </c>
      <c r="AK54" s="17" t="str">
        <f t="shared" si="24"/>
        <v/>
      </c>
      <c r="AL54" s="19" t="str">
        <f t="shared" si="25"/>
        <v/>
      </c>
      <c r="AM54" s="19" t="str">
        <f t="shared" si="26"/>
        <v/>
      </c>
      <c r="AN54" s="9" t="str">
        <f t="shared" si="27"/>
        <v/>
      </c>
      <c r="AO54" s="18" t="str">
        <f>IF($A54="","",SUMIFS('Calculator Cost per Bucata'!$V$10:$V$509,'Calculator Cost per Bucata'!$A$10:$A$509,$A54))</f>
        <v/>
      </c>
      <c r="AP54" s="17" t="str">
        <f t="shared" si="28"/>
        <v/>
      </c>
      <c r="AQ54" s="20" t="str">
        <f>IF($A54="","",SUMIFS('Calculator Cost per Bucata'!$W$10:$W$509,'Calculator Cost per Bucata'!$A$10:$A$509,$A54))</f>
        <v/>
      </c>
      <c r="AR54" s="21" t="str">
        <f t="shared" si="29"/>
        <v/>
      </c>
      <c r="AS54" s="22" t="str">
        <f t="shared" si="30"/>
        <v/>
      </c>
      <c r="AT54" s="23" t="str">
        <f t="shared" si="31"/>
        <v/>
      </c>
    </row>
    <row r="55" spans="1:46" x14ac:dyDescent="0.3">
      <c r="A55" s="12"/>
      <c r="B55" s="13"/>
      <c r="C55" s="2"/>
      <c r="D55" s="2"/>
      <c r="E55" s="2"/>
      <c r="F55" s="2"/>
      <c r="G55" s="12"/>
      <c r="H55" s="7"/>
      <c r="I55" s="7"/>
      <c r="J55" s="12"/>
      <c r="K55" s="12"/>
      <c r="L55" s="4"/>
      <c r="M55" s="4"/>
      <c r="N55" s="12"/>
      <c r="O55" s="4"/>
      <c r="P55" s="5"/>
      <c r="Q55" s="14"/>
      <c r="R55" s="5"/>
      <c r="S55" s="14"/>
      <c r="T55" s="4"/>
      <c r="U55" s="11"/>
      <c r="V55" s="11"/>
      <c r="W55" s="12"/>
      <c r="X55" s="15" t="str">
        <f>IF($A55="","",COUNTIFS('PI Furnizor'!$A$7:$A$506,$A55,'PI Furnizor'!$D$7:$D$506,"&gt;0"))</f>
        <v/>
      </c>
      <c r="Y55" s="16" t="str">
        <f>IF($A55="","",SUMIFS('PI Furnizor'!$D$7:$D$506,'PI Furnizor'!$A$7:$A$506,$A55))</f>
        <v/>
      </c>
      <c r="Z55" s="9" t="str">
        <f>IF($A55="","",SUMIFS('PI Furnizor'!$O$7:$O$506,'PI Furnizor'!$A$7:$A$506,$A55))</f>
        <v/>
      </c>
      <c r="AA55" s="10" t="str">
        <f>IF($A55="","",SUMIFS('PI Furnizor'!$Q$7:$Q$506,'PI Furnizor'!$A$7:$A$506,$A55))</f>
        <v/>
      </c>
      <c r="AB55" s="56" t="str">
        <f>IF($A55="","",SUMIFS('PI Furnizor'!$N$7:$N$506,'PI Furnizor'!$A$7:$A$506,$A55))</f>
        <v/>
      </c>
      <c r="AC55" s="55" t="str">
        <f t="shared" si="16"/>
        <v/>
      </c>
      <c r="AD55" s="9" t="str">
        <f t="shared" si="17"/>
        <v/>
      </c>
      <c r="AE55" s="9" t="str">
        <f t="shared" si="18"/>
        <v/>
      </c>
      <c r="AF55" s="9" t="str">
        <f t="shared" si="19"/>
        <v/>
      </c>
      <c r="AG55" s="18" t="str">
        <f t="shared" si="20"/>
        <v/>
      </c>
      <c r="AH55" s="17" t="str">
        <f t="shared" si="21"/>
        <v/>
      </c>
      <c r="AI55" s="17" t="str">
        <f t="shared" si="22"/>
        <v/>
      </c>
      <c r="AJ55" s="17" t="str">
        <f t="shared" si="23"/>
        <v/>
      </c>
      <c r="AK55" s="17" t="str">
        <f t="shared" si="24"/>
        <v/>
      </c>
      <c r="AL55" s="19" t="str">
        <f t="shared" si="25"/>
        <v/>
      </c>
      <c r="AM55" s="19" t="str">
        <f t="shared" si="26"/>
        <v/>
      </c>
      <c r="AN55" s="9" t="str">
        <f t="shared" si="27"/>
        <v/>
      </c>
      <c r="AO55" s="18" t="str">
        <f>IF($A55="","",SUMIFS('Calculator Cost per Bucata'!$V$10:$V$509,'Calculator Cost per Bucata'!$A$10:$A$509,$A55))</f>
        <v/>
      </c>
      <c r="AP55" s="17" t="str">
        <f t="shared" si="28"/>
        <v/>
      </c>
      <c r="AQ55" s="20" t="str">
        <f>IF($A55="","",SUMIFS('Calculator Cost per Bucata'!$W$10:$W$509,'Calculator Cost per Bucata'!$A$10:$A$509,$A55))</f>
        <v/>
      </c>
      <c r="AR55" s="21" t="str">
        <f t="shared" si="29"/>
        <v/>
      </c>
      <c r="AS55" s="22" t="str">
        <f t="shared" si="30"/>
        <v/>
      </c>
      <c r="AT55" s="23" t="str">
        <f t="shared" si="31"/>
        <v/>
      </c>
    </row>
    <row r="56" spans="1:46" x14ac:dyDescent="0.3">
      <c r="A56" s="12"/>
      <c r="B56" s="13"/>
      <c r="C56" s="2"/>
      <c r="D56" s="2"/>
      <c r="E56" s="2"/>
      <c r="F56" s="2"/>
      <c r="G56" s="12"/>
      <c r="H56" s="7"/>
      <c r="I56" s="7"/>
      <c r="J56" s="12"/>
      <c r="K56" s="12"/>
      <c r="L56" s="4"/>
      <c r="M56" s="4"/>
      <c r="N56" s="12"/>
      <c r="O56" s="4"/>
      <c r="P56" s="5"/>
      <c r="Q56" s="14"/>
      <c r="R56" s="5"/>
      <c r="S56" s="14"/>
      <c r="T56" s="4"/>
      <c r="U56" s="11"/>
      <c r="V56" s="11"/>
      <c r="W56" s="12"/>
      <c r="X56" s="15" t="str">
        <f>IF($A56="","",COUNTIFS('PI Furnizor'!$A$7:$A$506,$A56,'PI Furnizor'!$D$7:$D$506,"&gt;0"))</f>
        <v/>
      </c>
      <c r="Y56" s="16" t="str">
        <f>IF($A56="","",SUMIFS('PI Furnizor'!$D$7:$D$506,'PI Furnizor'!$A$7:$A$506,$A56))</f>
        <v/>
      </c>
      <c r="Z56" s="9" t="str">
        <f>IF($A56="","",SUMIFS('PI Furnizor'!$O$7:$O$506,'PI Furnizor'!$A$7:$A$506,$A56))</f>
        <v/>
      </c>
      <c r="AA56" s="10" t="str">
        <f>IF($A56="","",SUMIFS('PI Furnizor'!$Q$7:$Q$506,'PI Furnizor'!$A$7:$A$506,$A56))</f>
        <v/>
      </c>
      <c r="AB56" s="56" t="str">
        <f>IF($A56="","",SUMIFS('PI Furnizor'!$N$7:$N$506,'PI Furnizor'!$A$7:$A$506,$A56))</f>
        <v/>
      </c>
      <c r="AC56" s="55" t="str">
        <f t="shared" si="16"/>
        <v/>
      </c>
      <c r="AD56" s="9" t="str">
        <f t="shared" si="17"/>
        <v/>
      </c>
      <c r="AE56" s="9" t="str">
        <f t="shared" si="18"/>
        <v/>
      </c>
      <c r="AF56" s="9" t="str">
        <f t="shared" si="19"/>
        <v/>
      </c>
      <c r="AG56" s="18" t="str">
        <f t="shared" si="20"/>
        <v/>
      </c>
      <c r="AH56" s="17" t="str">
        <f t="shared" si="21"/>
        <v/>
      </c>
      <c r="AI56" s="17" t="str">
        <f t="shared" si="22"/>
        <v/>
      </c>
      <c r="AJ56" s="17" t="str">
        <f t="shared" si="23"/>
        <v/>
      </c>
      <c r="AK56" s="17" t="str">
        <f t="shared" si="24"/>
        <v/>
      </c>
      <c r="AL56" s="19" t="str">
        <f t="shared" si="25"/>
        <v/>
      </c>
      <c r="AM56" s="19" t="str">
        <f t="shared" si="26"/>
        <v/>
      </c>
      <c r="AN56" s="9" t="str">
        <f t="shared" si="27"/>
        <v/>
      </c>
      <c r="AO56" s="18" t="str">
        <f>IF($A56="","",SUMIFS('Calculator Cost per Bucata'!$V$10:$V$509,'Calculator Cost per Bucata'!$A$10:$A$509,$A56))</f>
        <v/>
      </c>
      <c r="AP56" s="17" t="str">
        <f t="shared" si="28"/>
        <v/>
      </c>
      <c r="AQ56" s="20" t="str">
        <f>IF($A56="","",SUMIFS('Calculator Cost per Bucata'!$W$10:$W$509,'Calculator Cost per Bucata'!$A$10:$A$509,$A56))</f>
        <v/>
      </c>
      <c r="AR56" s="21" t="str">
        <f t="shared" si="29"/>
        <v/>
      </c>
      <c r="AS56" s="22" t="str">
        <f t="shared" si="30"/>
        <v/>
      </c>
      <c r="AT56" s="23" t="str">
        <f t="shared" si="31"/>
        <v/>
      </c>
    </row>
    <row r="57" spans="1:46" x14ac:dyDescent="0.3">
      <c r="A57" s="12"/>
      <c r="B57" s="13"/>
      <c r="C57" s="2"/>
      <c r="D57" s="2"/>
      <c r="E57" s="2"/>
      <c r="F57" s="2"/>
      <c r="G57" s="12"/>
      <c r="H57" s="7"/>
      <c r="I57" s="7"/>
      <c r="J57" s="12"/>
      <c r="K57" s="12"/>
      <c r="L57" s="4"/>
      <c r="M57" s="4"/>
      <c r="N57" s="12"/>
      <c r="O57" s="4"/>
      <c r="P57" s="5"/>
      <c r="Q57" s="14"/>
      <c r="R57" s="5"/>
      <c r="S57" s="14"/>
      <c r="T57" s="4"/>
      <c r="U57" s="11"/>
      <c r="V57" s="11"/>
      <c r="W57" s="12"/>
      <c r="X57" s="15" t="str">
        <f>IF($A57="","",COUNTIFS('PI Furnizor'!$A$7:$A$506,$A57,'PI Furnizor'!$D$7:$D$506,"&gt;0"))</f>
        <v/>
      </c>
      <c r="Y57" s="16" t="str">
        <f>IF($A57="","",SUMIFS('PI Furnizor'!$D$7:$D$506,'PI Furnizor'!$A$7:$A$506,$A57))</f>
        <v/>
      </c>
      <c r="Z57" s="9" t="str">
        <f>IF($A57="","",SUMIFS('PI Furnizor'!$O$7:$O$506,'PI Furnizor'!$A$7:$A$506,$A57))</f>
        <v/>
      </c>
      <c r="AA57" s="10" t="str">
        <f>IF($A57="","",SUMIFS('PI Furnizor'!$Q$7:$Q$506,'PI Furnizor'!$A$7:$A$506,$A57))</f>
        <v/>
      </c>
      <c r="AB57" s="56" t="str">
        <f>IF($A57="","",SUMIFS('PI Furnizor'!$N$7:$N$506,'PI Furnizor'!$A$7:$A$506,$A57))</f>
        <v/>
      </c>
      <c r="AC57" s="55" t="str">
        <f t="shared" si="16"/>
        <v/>
      </c>
      <c r="AD57" s="9" t="str">
        <f t="shared" si="17"/>
        <v/>
      </c>
      <c r="AE57" s="9" t="str">
        <f t="shared" si="18"/>
        <v/>
      </c>
      <c r="AF57" s="9" t="str">
        <f t="shared" si="19"/>
        <v/>
      </c>
      <c r="AG57" s="18" t="str">
        <f t="shared" si="20"/>
        <v/>
      </c>
      <c r="AH57" s="17" t="str">
        <f t="shared" si="21"/>
        <v/>
      </c>
      <c r="AI57" s="17" t="str">
        <f t="shared" si="22"/>
        <v/>
      </c>
      <c r="AJ57" s="17" t="str">
        <f t="shared" si="23"/>
        <v/>
      </c>
      <c r="AK57" s="17" t="str">
        <f t="shared" si="24"/>
        <v/>
      </c>
      <c r="AL57" s="19" t="str">
        <f t="shared" si="25"/>
        <v/>
      </c>
      <c r="AM57" s="19" t="str">
        <f t="shared" si="26"/>
        <v/>
      </c>
      <c r="AN57" s="9" t="str">
        <f t="shared" si="27"/>
        <v/>
      </c>
      <c r="AO57" s="18" t="str">
        <f>IF($A57="","",SUMIFS('Calculator Cost per Bucata'!$V$10:$V$509,'Calculator Cost per Bucata'!$A$10:$A$509,$A57))</f>
        <v/>
      </c>
      <c r="AP57" s="17" t="str">
        <f t="shared" si="28"/>
        <v/>
      </c>
      <c r="AQ57" s="20" t="str">
        <f>IF($A57="","",SUMIFS('Calculator Cost per Bucata'!$W$10:$W$509,'Calculator Cost per Bucata'!$A$10:$A$509,$A57))</f>
        <v/>
      </c>
      <c r="AR57" s="21" t="str">
        <f t="shared" si="29"/>
        <v/>
      </c>
      <c r="AS57" s="22" t="str">
        <f t="shared" si="30"/>
        <v/>
      </c>
      <c r="AT57" s="23" t="str">
        <f t="shared" si="31"/>
        <v/>
      </c>
    </row>
    <row r="58" spans="1:46" x14ac:dyDescent="0.3">
      <c r="A58" s="12"/>
      <c r="B58" s="13"/>
      <c r="C58" s="2"/>
      <c r="D58" s="2"/>
      <c r="E58" s="2"/>
      <c r="F58" s="2"/>
      <c r="G58" s="12"/>
      <c r="H58" s="7"/>
      <c r="I58" s="7"/>
      <c r="J58" s="12"/>
      <c r="K58" s="12"/>
      <c r="L58" s="4"/>
      <c r="M58" s="4"/>
      <c r="N58" s="12"/>
      <c r="O58" s="4"/>
      <c r="P58" s="5"/>
      <c r="Q58" s="14"/>
      <c r="R58" s="5"/>
      <c r="S58" s="14"/>
      <c r="T58" s="4"/>
      <c r="U58" s="11"/>
      <c r="V58" s="11"/>
      <c r="W58" s="12"/>
      <c r="X58" s="15" t="str">
        <f>IF($A58="","",COUNTIFS('PI Furnizor'!$A$7:$A$506,$A58,'PI Furnizor'!$D$7:$D$506,"&gt;0"))</f>
        <v/>
      </c>
      <c r="Y58" s="16" t="str">
        <f>IF($A58="","",SUMIFS('PI Furnizor'!$D$7:$D$506,'PI Furnizor'!$A$7:$A$506,$A58))</f>
        <v/>
      </c>
      <c r="Z58" s="9" t="str">
        <f>IF($A58="","",SUMIFS('PI Furnizor'!$O$7:$O$506,'PI Furnizor'!$A$7:$A$506,$A58))</f>
        <v/>
      </c>
      <c r="AA58" s="10" t="str">
        <f>IF($A58="","",SUMIFS('PI Furnizor'!$Q$7:$Q$506,'PI Furnizor'!$A$7:$A$506,$A58))</f>
        <v/>
      </c>
      <c r="AB58" s="56" t="str">
        <f>IF($A58="","",SUMIFS('PI Furnizor'!$N$7:$N$506,'PI Furnizor'!$A$7:$A$506,$A58))</f>
        <v/>
      </c>
      <c r="AC58" s="55" t="str">
        <f t="shared" si="16"/>
        <v/>
      </c>
      <c r="AD58" s="9" t="str">
        <f t="shared" si="17"/>
        <v/>
      </c>
      <c r="AE58" s="9" t="str">
        <f t="shared" si="18"/>
        <v/>
      </c>
      <c r="AF58" s="9" t="str">
        <f t="shared" si="19"/>
        <v/>
      </c>
      <c r="AG58" s="18" t="str">
        <f t="shared" si="20"/>
        <v/>
      </c>
      <c r="AH58" s="17" t="str">
        <f t="shared" si="21"/>
        <v/>
      </c>
      <c r="AI58" s="17" t="str">
        <f t="shared" si="22"/>
        <v/>
      </c>
      <c r="AJ58" s="17" t="str">
        <f t="shared" si="23"/>
        <v/>
      </c>
      <c r="AK58" s="17" t="str">
        <f t="shared" si="24"/>
        <v/>
      </c>
      <c r="AL58" s="19" t="str">
        <f t="shared" si="25"/>
        <v/>
      </c>
      <c r="AM58" s="19" t="str">
        <f t="shared" si="26"/>
        <v/>
      </c>
      <c r="AN58" s="9" t="str">
        <f t="shared" si="27"/>
        <v/>
      </c>
      <c r="AO58" s="18" t="str">
        <f>IF($A58="","",SUMIFS('Calculator Cost per Bucata'!$V$10:$V$509,'Calculator Cost per Bucata'!$A$10:$A$509,$A58))</f>
        <v/>
      </c>
      <c r="AP58" s="17" t="str">
        <f t="shared" si="28"/>
        <v/>
      </c>
      <c r="AQ58" s="20" t="str">
        <f>IF($A58="","",SUMIFS('Calculator Cost per Bucata'!$W$10:$W$509,'Calculator Cost per Bucata'!$A$10:$A$509,$A58))</f>
        <v/>
      </c>
      <c r="AR58" s="21" t="str">
        <f t="shared" si="29"/>
        <v/>
      </c>
      <c r="AS58" s="22" t="str">
        <f t="shared" si="30"/>
        <v/>
      </c>
      <c r="AT58" s="23" t="str">
        <f t="shared" si="31"/>
        <v/>
      </c>
    </row>
    <row r="59" spans="1:46" x14ac:dyDescent="0.3">
      <c r="A59" s="12"/>
      <c r="B59" s="13"/>
      <c r="C59" s="2"/>
      <c r="D59" s="2"/>
      <c r="E59" s="2"/>
      <c r="F59" s="2"/>
      <c r="G59" s="12"/>
      <c r="H59" s="7"/>
      <c r="I59" s="7"/>
      <c r="J59" s="12"/>
      <c r="K59" s="12"/>
      <c r="L59" s="4"/>
      <c r="M59" s="4"/>
      <c r="N59" s="12"/>
      <c r="O59" s="4"/>
      <c r="P59" s="5"/>
      <c r="Q59" s="14"/>
      <c r="R59" s="5"/>
      <c r="S59" s="14"/>
      <c r="T59" s="4"/>
      <c r="U59" s="11"/>
      <c r="V59" s="11"/>
      <c r="W59" s="12"/>
      <c r="X59" s="15" t="str">
        <f>IF($A59="","",COUNTIFS('PI Furnizor'!$A$7:$A$506,$A59,'PI Furnizor'!$D$7:$D$506,"&gt;0"))</f>
        <v/>
      </c>
      <c r="Y59" s="16" t="str">
        <f>IF($A59="","",SUMIFS('PI Furnizor'!$D$7:$D$506,'PI Furnizor'!$A$7:$A$506,$A59))</f>
        <v/>
      </c>
      <c r="Z59" s="9" t="str">
        <f>IF($A59="","",SUMIFS('PI Furnizor'!$O$7:$O$506,'PI Furnizor'!$A$7:$A$506,$A59))</f>
        <v/>
      </c>
      <c r="AA59" s="10" t="str">
        <f>IF($A59="","",SUMIFS('PI Furnizor'!$Q$7:$Q$506,'PI Furnizor'!$A$7:$A$506,$A59))</f>
        <v/>
      </c>
      <c r="AB59" s="56" t="str">
        <f>IF($A59="","",SUMIFS('PI Furnizor'!$N$7:$N$506,'PI Furnizor'!$A$7:$A$506,$A59))</f>
        <v/>
      </c>
      <c r="AC59" s="55" t="str">
        <f t="shared" si="16"/>
        <v/>
      </c>
      <c r="AD59" s="9" t="str">
        <f t="shared" si="17"/>
        <v/>
      </c>
      <c r="AE59" s="9" t="str">
        <f t="shared" si="18"/>
        <v/>
      </c>
      <c r="AF59" s="9" t="str">
        <f t="shared" si="19"/>
        <v/>
      </c>
      <c r="AG59" s="18" t="str">
        <f t="shared" si="20"/>
        <v/>
      </c>
      <c r="AH59" s="17" t="str">
        <f t="shared" si="21"/>
        <v/>
      </c>
      <c r="AI59" s="17" t="str">
        <f t="shared" si="22"/>
        <v/>
      </c>
      <c r="AJ59" s="17" t="str">
        <f t="shared" si="23"/>
        <v/>
      </c>
      <c r="AK59" s="17" t="str">
        <f t="shared" si="24"/>
        <v/>
      </c>
      <c r="AL59" s="19" t="str">
        <f t="shared" si="25"/>
        <v/>
      </c>
      <c r="AM59" s="19" t="str">
        <f t="shared" si="26"/>
        <v/>
      </c>
      <c r="AN59" s="9" t="str">
        <f t="shared" si="27"/>
        <v/>
      </c>
      <c r="AO59" s="18" t="str">
        <f>IF($A59="","",SUMIFS('Calculator Cost per Bucata'!$V$10:$V$509,'Calculator Cost per Bucata'!$A$10:$A$509,$A59))</f>
        <v/>
      </c>
      <c r="AP59" s="17" t="str">
        <f t="shared" si="28"/>
        <v/>
      </c>
      <c r="AQ59" s="20" t="str">
        <f>IF($A59="","",SUMIFS('Calculator Cost per Bucata'!$W$10:$W$509,'Calculator Cost per Bucata'!$A$10:$A$509,$A59))</f>
        <v/>
      </c>
      <c r="AR59" s="21" t="str">
        <f t="shared" si="29"/>
        <v/>
      </c>
      <c r="AS59" s="22" t="str">
        <f t="shared" si="30"/>
        <v/>
      </c>
      <c r="AT59" s="23" t="str">
        <f t="shared" si="31"/>
        <v/>
      </c>
    </row>
    <row r="60" spans="1:46" x14ac:dyDescent="0.3">
      <c r="A60" s="12"/>
      <c r="B60" s="13"/>
      <c r="C60" s="2"/>
      <c r="D60" s="2"/>
      <c r="E60" s="2"/>
      <c r="F60" s="2"/>
      <c r="G60" s="12"/>
      <c r="H60" s="7"/>
      <c r="I60" s="7"/>
      <c r="J60" s="12"/>
      <c r="K60" s="12"/>
      <c r="L60" s="4"/>
      <c r="M60" s="4"/>
      <c r="N60" s="12"/>
      <c r="O60" s="4"/>
      <c r="P60" s="5"/>
      <c r="Q60" s="14"/>
      <c r="R60" s="5"/>
      <c r="S60" s="14"/>
      <c r="T60" s="4"/>
      <c r="U60" s="11"/>
      <c r="V60" s="11"/>
      <c r="W60" s="12"/>
      <c r="X60" s="15" t="str">
        <f>IF($A60="","",COUNTIFS('PI Furnizor'!$A$7:$A$506,$A60,'PI Furnizor'!$D$7:$D$506,"&gt;0"))</f>
        <v/>
      </c>
      <c r="Y60" s="16" t="str">
        <f>IF($A60="","",SUMIFS('PI Furnizor'!$D$7:$D$506,'PI Furnizor'!$A$7:$A$506,$A60))</f>
        <v/>
      </c>
      <c r="Z60" s="9" t="str">
        <f>IF($A60="","",SUMIFS('PI Furnizor'!$O$7:$O$506,'PI Furnizor'!$A$7:$A$506,$A60))</f>
        <v/>
      </c>
      <c r="AA60" s="10" t="str">
        <f>IF($A60="","",SUMIFS('PI Furnizor'!$Q$7:$Q$506,'PI Furnizor'!$A$7:$A$506,$A60))</f>
        <v/>
      </c>
      <c r="AB60" s="56" t="str">
        <f>IF($A60="","",SUMIFS('PI Furnizor'!$N$7:$N$506,'PI Furnizor'!$A$7:$A$506,$A60))</f>
        <v/>
      </c>
      <c r="AC60" s="55" t="str">
        <f t="shared" si="16"/>
        <v/>
      </c>
      <c r="AD60" s="9" t="str">
        <f t="shared" si="17"/>
        <v/>
      </c>
      <c r="AE60" s="9" t="str">
        <f t="shared" si="18"/>
        <v/>
      </c>
      <c r="AF60" s="9" t="str">
        <f t="shared" si="19"/>
        <v/>
      </c>
      <c r="AG60" s="18" t="str">
        <f t="shared" si="20"/>
        <v/>
      </c>
      <c r="AH60" s="17" t="str">
        <f t="shared" si="21"/>
        <v/>
      </c>
      <c r="AI60" s="17" t="str">
        <f t="shared" si="22"/>
        <v/>
      </c>
      <c r="AJ60" s="17" t="str">
        <f t="shared" si="23"/>
        <v/>
      </c>
      <c r="AK60" s="17" t="str">
        <f t="shared" si="24"/>
        <v/>
      </c>
      <c r="AL60" s="19" t="str">
        <f t="shared" si="25"/>
        <v/>
      </c>
      <c r="AM60" s="19" t="str">
        <f t="shared" si="26"/>
        <v/>
      </c>
      <c r="AN60" s="9" t="str">
        <f t="shared" si="27"/>
        <v/>
      </c>
      <c r="AO60" s="18" t="str">
        <f>IF($A60="","",SUMIFS('Calculator Cost per Bucata'!$V$10:$V$509,'Calculator Cost per Bucata'!$A$10:$A$509,$A60))</f>
        <v/>
      </c>
      <c r="AP60" s="17" t="str">
        <f t="shared" si="28"/>
        <v/>
      </c>
      <c r="AQ60" s="20" t="str">
        <f>IF($A60="","",SUMIFS('Calculator Cost per Bucata'!$W$10:$W$509,'Calculator Cost per Bucata'!$A$10:$A$509,$A60))</f>
        <v/>
      </c>
      <c r="AR60" s="21" t="str">
        <f t="shared" si="29"/>
        <v/>
      </c>
      <c r="AS60" s="22" t="str">
        <f t="shared" si="30"/>
        <v/>
      </c>
      <c r="AT60" s="23" t="str">
        <f t="shared" si="31"/>
        <v/>
      </c>
    </row>
    <row r="61" spans="1:46" x14ac:dyDescent="0.3">
      <c r="A61" s="12"/>
      <c r="B61" s="13"/>
      <c r="C61" s="2"/>
      <c r="D61" s="2"/>
      <c r="E61" s="2"/>
      <c r="F61" s="2"/>
      <c r="G61" s="12"/>
      <c r="H61" s="7"/>
      <c r="I61" s="7"/>
      <c r="J61" s="12"/>
      <c r="K61" s="12"/>
      <c r="L61" s="4"/>
      <c r="M61" s="4"/>
      <c r="N61" s="12"/>
      <c r="O61" s="4"/>
      <c r="P61" s="5"/>
      <c r="Q61" s="14"/>
      <c r="R61" s="5"/>
      <c r="S61" s="14"/>
      <c r="T61" s="4"/>
      <c r="U61" s="11"/>
      <c r="V61" s="11"/>
      <c r="W61" s="12"/>
      <c r="X61" s="15" t="str">
        <f>IF($A61="","",COUNTIFS('PI Furnizor'!$A$7:$A$506,$A61,'PI Furnizor'!$D$7:$D$506,"&gt;0"))</f>
        <v/>
      </c>
      <c r="Y61" s="16" t="str">
        <f>IF($A61="","",SUMIFS('PI Furnizor'!$D$7:$D$506,'PI Furnizor'!$A$7:$A$506,$A61))</f>
        <v/>
      </c>
      <c r="Z61" s="9" t="str">
        <f>IF($A61="","",SUMIFS('PI Furnizor'!$O$7:$O$506,'PI Furnizor'!$A$7:$A$506,$A61))</f>
        <v/>
      </c>
      <c r="AA61" s="10" t="str">
        <f>IF($A61="","",SUMIFS('PI Furnizor'!$Q$7:$Q$506,'PI Furnizor'!$A$7:$A$506,$A61))</f>
        <v/>
      </c>
      <c r="AB61" s="56" t="str">
        <f>IF($A61="","",SUMIFS('PI Furnizor'!$N$7:$N$506,'PI Furnizor'!$A$7:$A$506,$A61))</f>
        <v/>
      </c>
      <c r="AC61" s="55" t="str">
        <f t="shared" si="16"/>
        <v/>
      </c>
      <c r="AD61" s="9" t="str">
        <f t="shared" si="17"/>
        <v/>
      </c>
      <c r="AE61" s="9" t="str">
        <f t="shared" si="18"/>
        <v/>
      </c>
      <c r="AF61" s="9" t="str">
        <f t="shared" si="19"/>
        <v/>
      </c>
      <c r="AG61" s="18" t="str">
        <f t="shared" si="20"/>
        <v/>
      </c>
      <c r="AH61" s="17" t="str">
        <f t="shared" si="21"/>
        <v/>
      </c>
      <c r="AI61" s="17" t="str">
        <f t="shared" si="22"/>
        <v/>
      </c>
      <c r="AJ61" s="17" t="str">
        <f t="shared" si="23"/>
        <v/>
      </c>
      <c r="AK61" s="17" t="str">
        <f t="shared" si="24"/>
        <v/>
      </c>
      <c r="AL61" s="19" t="str">
        <f t="shared" si="25"/>
        <v/>
      </c>
      <c r="AM61" s="19" t="str">
        <f t="shared" si="26"/>
        <v/>
      </c>
      <c r="AN61" s="9" t="str">
        <f t="shared" si="27"/>
        <v/>
      </c>
      <c r="AO61" s="18" t="str">
        <f>IF($A61="","",SUMIFS('Calculator Cost per Bucata'!$V$10:$V$509,'Calculator Cost per Bucata'!$A$10:$A$509,$A61))</f>
        <v/>
      </c>
      <c r="AP61" s="17" t="str">
        <f t="shared" si="28"/>
        <v/>
      </c>
      <c r="AQ61" s="20" t="str">
        <f>IF($A61="","",SUMIFS('Calculator Cost per Bucata'!$W$10:$W$509,'Calculator Cost per Bucata'!$A$10:$A$509,$A61))</f>
        <v/>
      </c>
      <c r="AR61" s="21" t="str">
        <f t="shared" si="29"/>
        <v/>
      </c>
      <c r="AS61" s="22" t="str">
        <f t="shared" si="30"/>
        <v/>
      </c>
      <c r="AT61" s="23" t="str">
        <f t="shared" si="31"/>
        <v/>
      </c>
    </row>
    <row r="62" spans="1:46" x14ac:dyDescent="0.3">
      <c r="A62" s="12"/>
      <c r="B62" s="13"/>
      <c r="C62" s="2"/>
      <c r="D62" s="2"/>
      <c r="E62" s="2"/>
      <c r="F62" s="2"/>
      <c r="G62" s="12"/>
      <c r="H62" s="7"/>
      <c r="I62" s="7"/>
      <c r="J62" s="12"/>
      <c r="K62" s="12"/>
      <c r="L62" s="4"/>
      <c r="M62" s="4"/>
      <c r="N62" s="12"/>
      <c r="O62" s="4"/>
      <c r="P62" s="5"/>
      <c r="Q62" s="14"/>
      <c r="R62" s="5"/>
      <c r="S62" s="14"/>
      <c r="T62" s="4"/>
      <c r="U62" s="11"/>
      <c r="V62" s="11"/>
      <c r="W62" s="12"/>
      <c r="X62" s="15" t="str">
        <f>IF($A62="","",COUNTIFS('PI Furnizor'!$A$7:$A$506,$A62,'PI Furnizor'!$D$7:$D$506,"&gt;0"))</f>
        <v/>
      </c>
      <c r="Y62" s="16" t="str">
        <f>IF($A62="","",SUMIFS('PI Furnizor'!$D$7:$D$506,'PI Furnizor'!$A$7:$A$506,$A62))</f>
        <v/>
      </c>
      <c r="Z62" s="9" t="str">
        <f>IF($A62="","",SUMIFS('PI Furnizor'!$O$7:$O$506,'PI Furnizor'!$A$7:$A$506,$A62))</f>
        <v/>
      </c>
      <c r="AA62" s="10" t="str">
        <f>IF($A62="","",SUMIFS('PI Furnizor'!$Q$7:$Q$506,'PI Furnizor'!$A$7:$A$506,$A62))</f>
        <v/>
      </c>
      <c r="AB62" s="56" t="str">
        <f>IF($A62="","",SUMIFS('PI Furnizor'!$N$7:$N$506,'PI Furnizor'!$A$7:$A$506,$A62))</f>
        <v/>
      </c>
      <c r="AC62" s="55" t="str">
        <f t="shared" si="16"/>
        <v/>
      </c>
      <c r="AD62" s="9" t="str">
        <f t="shared" si="17"/>
        <v/>
      </c>
      <c r="AE62" s="9" t="str">
        <f t="shared" si="18"/>
        <v/>
      </c>
      <c r="AF62" s="9" t="str">
        <f t="shared" si="19"/>
        <v/>
      </c>
      <c r="AG62" s="18" t="str">
        <f t="shared" si="20"/>
        <v/>
      </c>
      <c r="AH62" s="17" t="str">
        <f t="shared" si="21"/>
        <v/>
      </c>
      <c r="AI62" s="17" t="str">
        <f t="shared" si="22"/>
        <v/>
      </c>
      <c r="AJ62" s="17" t="str">
        <f t="shared" si="23"/>
        <v/>
      </c>
      <c r="AK62" s="17" t="str">
        <f t="shared" si="24"/>
        <v/>
      </c>
      <c r="AL62" s="19" t="str">
        <f t="shared" si="25"/>
        <v/>
      </c>
      <c r="AM62" s="19" t="str">
        <f t="shared" si="26"/>
        <v/>
      </c>
      <c r="AN62" s="9" t="str">
        <f t="shared" si="27"/>
        <v/>
      </c>
      <c r="AO62" s="18" t="str">
        <f>IF($A62="","",SUMIFS('Calculator Cost per Bucata'!$V$10:$V$509,'Calculator Cost per Bucata'!$A$10:$A$509,$A62))</f>
        <v/>
      </c>
      <c r="AP62" s="17" t="str">
        <f t="shared" si="28"/>
        <v/>
      </c>
      <c r="AQ62" s="20" t="str">
        <f>IF($A62="","",SUMIFS('Calculator Cost per Bucata'!$W$10:$W$509,'Calculator Cost per Bucata'!$A$10:$A$509,$A62))</f>
        <v/>
      </c>
      <c r="AR62" s="21" t="str">
        <f t="shared" si="29"/>
        <v/>
      </c>
      <c r="AS62" s="22" t="str">
        <f t="shared" si="30"/>
        <v/>
      </c>
      <c r="AT62" s="23" t="str">
        <f t="shared" si="31"/>
        <v/>
      </c>
    </row>
    <row r="63" spans="1:46" x14ac:dyDescent="0.3">
      <c r="A63" s="12"/>
      <c r="B63" s="13"/>
      <c r="C63" s="2"/>
      <c r="D63" s="2"/>
      <c r="E63" s="2"/>
      <c r="F63" s="2"/>
      <c r="G63" s="12"/>
      <c r="H63" s="7"/>
      <c r="I63" s="7"/>
      <c r="J63" s="12"/>
      <c r="K63" s="12"/>
      <c r="L63" s="4"/>
      <c r="M63" s="4"/>
      <c r="N63" s="12"/>
      <c r="O63" s="4"/>
      <c r="P63" s="5"/>
      <c r="Q63" s="14"/>
      <c r="R63" s="5"/>
      <c r="S63" s="14"/>
      <c r="T63" s="4"/>
      <c r="U63" s="11"/>
      <c r="V63" s="11"/>
      <c r="W63" s="12"/>
      <c r="X63" s="15" t="str">
        <f>IF($A63="","",COUNTIFS('PI Furnizor'!$A$7:$A$506,$A63,'PI Furnizor'!$D$7:$D$506,"&gt;0"))</f>
        <v/>
      </c>
      <c r="Y63" s="16" t="str">
        <f>IF($A63="","",SUMIFS('PI Furnizor'!$D$7:$D$506,'PI Furnizor'!$A$7:$A$506,$A63))</f>
        <v/>
      </c>
      <c r="Z63" s="9" t="str">
        <f>IF($A63="","",SUMIFS('PI Furnizor'!$O$7:$O$506,'PI Furnizor'!$A$7:$A$506,$A63))</f>
        <v/>
      </c>
      <c r="AA63" s="10" t="str">
        <f>IF($A63="","",SUMIFS('PI Furnizor'!$Q$7:$Q$506,'PI Furnizor'!$A$7:$A$506,$A63))</f>
        <v/>
      </c>
      <c r="AB63" s="56" t="str">
        <f>IF($A63="","",SUMIFS('PI Furnizor'!$N$7:$N$506,'PI Furnizor'!$A$7:$A$506,$A63))</f>
        <v/>
      </c>
      <c r="AC63" s="55" t="str">
        <f t="shared" si="16"/>
        <v/>
      </c>
      <c r="AD63" s="9" t="str">
        <f t="shared" si="17"/>
        <v/>
      </c>
      <c r="AE63" s="9" t="str">
        <f t="shared" si="18"/>
        <v/>
      </c>
      <c r="AF63" s="9" t="str">
        <f t="shared" si="19"/>
        <v/>
      </c>
      <c r="AG63" s="18" t="str">
        <f t="shared" si="20"/>
        <v/>
      </c>
      <c r="AH63" s="17" t="str">
        <f t="shared" si="21"/>
        <v/>
      </c>
      <c r="AI63" s="17" t="str">
        <f t="shared" si="22"/>
        <v/>
      </c>
      <c r="AJ63" s="17" t="str">
        <f t="shared" si="23"/>
        <v/>
      </c>
      <c r="AK63" s="17" t="str">
        <f t="shared" si="24"/>
        <v/>
      </c>
      <c r="AL63" s="19" t="str">
        <f t="shared" si="25"/>
        <v/>
      </c>
      <c r="AM63" s="19" t="str">
        <f t="shared" si="26"/>
        <v/>
      </c>
      <c r="AN63" s="9" t="str">
        <f t="shared" si="27"/>
        <v/>
      </c>
      <c r="AO63" s="18" t="str">
        <f>IF($A63="","",SUMIFS('Calculator Cost per Bucata'!$V$10:$V$509,'Calculator Cost per Bucata'!$A$10:$A$509,$A63))</f>
        <v/>
      </c>
      <c r="AP63" s="17" t="str">
        <f t="shared" si="28"/>
        <v/>
      </c>
      <c r="AQ63" s="20" t="str">
        <f>IF($A63="","",SUMIFS('Calculator Cost per Bucata'!$W$10:$W$509,'Calculator Cost per Bucata'!$A$10:$A$509,$A63))</f>
        <v/>
      </c>
      <c r="AR63" s="21" t="str">
        <f t="shared" si="29"/>
        <v/>
      </c>
      <c r="AS63" s="22" t="str">
        <f t="shared" si="30"/>
        <v/>
      </c>
      <c r="AT63" s="23" t="str">
        <f t="shared" si="31"/>
        <v/>
      </c>
    </row>
    <row r="64" spans="1:46" x14ac:dyDescent="0.3">
      <c r="A64" s="12"/>
      <c r="B64" s="13"/>
      <c r="C64" s="2"/>
      <c r="D64" s="2"/>
      <c r="E64" s="2"/>
      <c r="F64" s="2"/>
      <c r="G64" s="12"/>
      <c r="H64" s="7"/>
      <c r="I64" s="7"/>
      <c r="J64" s="12"/>
      <c r="K64" s="12"/>
      <c r="L64" s="4"/>
      <c r="M64" s="4"/>
      <c r="N64" s="12"/>
      <c r="O64" s="4"/>
      <c r="P64" s="5"/>
      <c r="Q64" s="14"/>
      <c r="R64" s="5"/>
      <c r="S64" s="14"/>
      <c r="T64" s="4"/>
      <c r="U64" s="11"/>
      <c r="V64" s="11"/>
      <c r="W64" s="12"/>
      <c r="X64" s="15" t="str">
        <f>IF($A64="","",COUNTIFS('PI Furnizor'!$A$7:$A$506,$A64,'PI Furnizor'!$D$7:$D$506,"&gt;0"))</f>
        <v/>
      </c>
      <c r="Y64" s="16" t="str">
        <f>IF($A64="","",SUMIFS('PI Furnizor'!$D$7:$D$506,'PI Furnizor'!$A$7:$A$506,$A64))</f>
        <v/>
      </c>
      <c r="Z64" s="9" t="str">
        <f>IF($A64="","",SUMIFS('PI Furnizor'!$O$7:$O$506,'PI Furnizor'!$A$7:$A$506,$A64))</f>
        <v/>
      </c>
      <c r="AA64" s="10" t="str">
        <f>IF($A64="","",SUMIFS('PI Furnizor'!$Q$7:$Q$506,'PI Furnizor'!$A$7:$A$506,$A64))</f>
        <v/>
      </c>
      <c r="AB64" s="56" t="str">
        <f>IF($A64="","",SUMIFS('PI Furnizor'!$N$7:$N$506,'PI Furnizor'!$A$7:$A$506,$A64))</f>
        <v/>
      </c>
      <c r="AC64" s="55" t="str">
        <f t="shared" si="16"/>
        <v/>
      </c>
      <c r="AD64" s="9" t="str">
        <f t="shared" si="17"/>
        <v/>
      </c>
      <c r="AE64" s="9" t="str">
        <f t="shared" si="18"/>
        <v/>
      </c>
      <c r="AF64" s="9" t="str">
        <f t="shared" si="19"/>
        <v/>
      </c>
      <c r="AG64" s="18" t="str">
        <f t="shared" si="20"/>
        <v/>
      </c>
      <c r="AH64" s="17" t="str">
        <f t="shared" si="21"/>
        <v/>
      </c>
      <c r="AI64" s="17" t="str">
        <f t="shared" si="22"/>
        <v/>
      </c>
      <c r="AJ64" s="17" t="str">
        <f t="shared" si="23"/>
        <v/>
      </c>
      <c r="AK64" s="17" t="str">
        <f t="shared" si="24"/>
        <v/>
      </c>
      <c r="AL64" s="19" t="str">
        <f t="shared" si="25"/>
        <v/>
      </c>
      <c r="AM64" s="19" t="str">
        <f t="shared" si="26"/>
        <v/>
      </c>
      <c r="AN64" s="9" t="str">
        <f t="shared" si="27"/>
        <v/>
      </c>
      <c r="AO64" s="18" t="str">
        <f>IF($A64="","",SUMIFS('Calculator Cost per Bucata'!$V$10:$V$509,'Calculator Cost per Bucata'!$A$10:$A$509,$A64))</f>
        <v/>
      </c>
      <c r="AP64" s="17" t="str">
        <f t="shared" si="28"/>
        <v/>
      </c>
      <c r="AQ64" s="20" t="str">
        <f>IF($A64="","",SUMIFS('Calculator Cost per Bucata'!$W$10:$W$509,'Calculator Cost per Bucata'!$A$10:$A$509,$A64))</f>
        <v/>
      </c>
      <c r="AR64" s="21" t="str">
        <f t="shared" si="29"/>
        <v/>
      </c>
      <c r="AS64" s="22" t="str">
        <f t="shared" si="30"/>
        <v/>
      </c>
      <c r="AT64" s="23" t="str">
        <f t="shared" si="31"/>
        <v/>
      </c>
    </row>
    <row r="65" spans="1:46" x14ac:dyDescent="0.3">
      <c r="A65" s="12"/>
      <c r="B65" s="13"/>
      <c r="C65" s="2"/>
      <c r="D65" s="2"/>
      <c r="E65" s="2"/>
      <c r="F65" s="2"/>
      <c r="G65" s="12"/>
      <c r="H65" s="7"/>
      <c r="I65" s="7"/>
      <c r="J65" s="12"/>
      <c r="K65" s="12"/>
      <c r="L65" s="4"/>
      <c r="M65" s="4"/>
      <c r="N65" s="12"/>
      <c r="O65" s="4"/>
      <c r="P65" s="5"/>
      <c r="Q65" s="14"/>
      <c r="R65" s="5"/>
      <c r="S65" s="14"/>
      <c r="T65" s="4"/>
      <c r="U65" s="11"/>
      <c r="V65" s="11"/>
      <c r="W65" s="12"/>
      <c r="X65" s="15" t="str">
        <f>IF($A65="","",COUNTIFS('PI Furnizor'!$A$7:$A$506,$A65,'PI Furnizor'!$D$7:$D$506,"&gt;0"))</f>
        <v/>
      </c>
      <c r="Y65" s="16" t="str">
        <f>IF($A65="","",SUMIFS('PI Furnizor'!$D$7:$D$506,'PI Furnizor'!$A$7:$A$506,$A65))</f>
        <v/>
      </c>
      <c r="Z65" s="9" t="str">
        <f>IF($A65="","",SUMIFS('PI Furnizor'!$O$7:$O$506,'PI Furnizor'!$A$7:$A$506,$A65))</f>
        <v/>
      </c>
      <c r="AA65" s="10" t="str">
        <f>IF($A65="","",SUMIFS('PI Furnizor'!$Q$7:$Q$506,'PI Furnizor'!$A$7:$A$506,$A65))</f>
        <v/>
      </c>
      <c r="AB65" s="56" t="str">
        <f>IF($A65="","",SUMIFS('PI Furnizor'!$N$7:$N$506,'PI Furnizor'!$A$7:$A$506,$A65))</f>
        <v/>
      </c>
      <c r="AC65" s="55" t="str">
        <f t="shared" si="16"/>
        <v/>
      </c>
      <c r="AD65" s="9" t="str">
        <f t="shared" si="17"/>
        <v/>
      </c>
      <c r="AE65" s="9" t="str">
        <f t="shared" si="18"/>
        <v/>
      </c>
      <c r="AF65" s="9" t="str">
        <f t="shared" si="19"/>
        <v/>
      </c>
      <c r="AG65" s="18" t="str">
        <f t="shared" si="20"/>
        <v/>
      </c>
      <c r="AH65" s="17" t="str">
        <f t="shared" si="21"/>
        <v/>
      </c>
      <c r="AI65" s="17" t="str">
        <f t="shared" si="22"/>
        <v/>
      </c>
      <c r="AJ65" s="17" t="str">
        <f t="shared" si="23"/>
        <v/>
      </c>
      <c r="AK65" s="17" t="str">
        <f t="shared" si="24"/>
        <v/>
      </c>
      <c r="AL65" s="19" t="str">
        <f t="shared" si="25"/>
        <v/>
      </c>
      <c r="AM65" s="19" t="str">
        <f t="shared" si="26"/>
        <v/>
      </c>
      <c r="AN65" s="9" t="str">
        <f t="shared" si="27"/>
        <v/>
      </c>
      <c r="AO65" s="18" t="str">
        <f>IF($A65="","",SUMIFS('Calculator Cost per Bucata'!$V$10:$V$509,'Calculator Cost per Bucata'!$A$10:$A$509,$A65))</f>
        <v/>
      </c>
      <c r="AP65" s="17" t="str">
        <f t="shared" si="28"/>
        <v/>
      </c>
      <c r="AQ65" s="20" t="str">
        <f>IF($A65="","",SUMIFS('Calculator Cost per Bucata'!$W$10:$W$509,'Calculator Cost per Bucata'!$A$10:$A$509,$A65))</f>
        <v/>
      </c>
      <c r="AR65" s="21" t="str">
        <f t="shared" si="29"/>
        <v/>
      </c>
      <c r="AS65" s="22" t="str">
        <f t="shared" si="30"/>
        <v/>
      </c>
      <c r="AT65" s="23" t="str">
        <f t="shared" si="31"/>
        <v/>
      </c>
    </row>
    <row r="66" spans="1:46" x14ac:dyDescent="0.3">
      <c r="A66" s="12"/>
      <c r="B66" s="13"/>
      <c r="C66" s="2"/>
      <c r="D66" s="2"/>
      <c r="E66" s="2"/>
      <c r="F66" s="2"/>
      <c r="G66" s="12"/>
      <c r="H66" s="7"/>
      <c r="I66" s="7"/>
      <c r="J66" s="12"/>
      <c r="K66" s="12"/>
      <c r="L66" s="4"/>
      <c r="M66" s="4"/>
      <c r="N66" s="12"/>
      <c r="O66" s="4"/>
      <c r="P66" s="5"/>
      <c r="Q66" s="14"/>
      <c r="R66" s="5"/>
      <c r="S66" s="14"/>
      <c r="T66" s="4"/>
      <c r="U66" s="11"/>
      <c r="V66" s="11"/>
      <c r="W66" s="12"/>
      <c r="X66" s="15" t="str">
        <f>IF($A66="","",COUNTIFS('PI Furnizor'!$A$7:$A$506,$A66,'PI Furnizor'!$D$7:$D$506,"&gt;0"))</f>
        <v/>
      </c>
      <c r="Y66" s="16" t="str">
        <f>IF($A66="","",SUMIFS('PI Furnizor'!$D$7:$D$506,'PI Furnizor'!$A$7:$A$506,$A66))</f>
        <v/>
      </c>
      <c r="Z66" s="9" t="str">
        <f>IF($A66="","",SUMIFS('PI Furnizor'!$O$7:$O$506,'PI Furnizor'!$A$7:$A$506,$A66))</f>
        <v/>
      </c>
      <c r="AA66" s="10" t="str">
        <f>IF($A66="","",SUMIFS('PI Furnizor'!$Q$7:$Q$506,'PI Furnizor'!$A$7:$A$506,$A66))</f>
        <v/>
      </c>
      <c r="AB66" s="56" t="str">
        <f>IF($A66="","",SUMIFS('PI Furnizor'!$N$7:$N$506,'PI Furnizor'!$A$7:$A$506,$A66))</f>
        <v/>
      </c>
      <c r="AC66" s="55" t="str">
        <f t="shared" si="16"/>
        <v/>
      </c>
      <c r="AD66" s="9" t="str">
        <f t="shared" si="17"/>
        <v/>
      </c>
      <c r="AE66" s="9" t="str">
        <f t="shared" si="18"/>
        <v/>
      </c>
      <c r="AF66" s="9" t="str">
        <f t="shared" si="19"/>
        <v/>
      </c>
      <c r="AG66" s="18" t="str">
        <f t="shared" si="20"/>
        <v/>
      </c>
      <c r="AH66" s="17" t="str">
        <f t="shared" si="21"/>
        <v/>
      </c>
      <c r="AI66" s="17" t="str">
        <f t="shared" si="22"/>
        <v/>
      </c>
      <c r="AJ66" s="17" t="str">
        <f t="shared" si="23"/>
        <v/>
      </c>
      <c r="AK66" s="17" t="str">
        <f t="shared" si="24"/>
        <v/>
      </c>
      <c r="AL66" s="19" t="str">
        <f t="shared" si="25"/>
        <v/>
      </c>
      <c r="AM66" s="19" t="str">
        <f t="shared" si="26"/>
        <v/>
      </c>
      <c r="AN66" s="9" t="str">
        <f t="shared" si="27"/>
        <v/>
      </c>
      <c r="AO66" s="18" t="str">
        <f>IF($A66="","",SUMIFS('Calculator Cost per Bucata'!$V$10:$V$509,'Calculator Cost per Bucata'!$A$10:$A$509,$A66))</f>
        <v/>
      </c>
      <c r="AP66" s="17" t="str">
        <f t="shared" si="28"/>
        <v/>
      </c>
      <c r="AQ66" s="20" t="str">
        <f>IF($A66="","",SUMIFS('Calculator Cost per Bucata'!$W$10:$W$509,'Calculator Cost per Bucata'!$A$10:$A$509,$A66))</f>
        <v/>
      </c>
      <c r="AR66" s="21" t="str">
        <f t="shared" si="29"/>
        <v/>
      </c>
      <c r="AS66" s="22" t="str">
        <f t="shared" si="30"/>
        <v/>
      </c>
      <c r="AT66" s="23" t="str">
        <f t="shared" si="31"/>
        <v/>
      </c>
    </row>
    <row r="67" spans="1:46" x14ac:dyDescent="0.3">
      <c r="A67" s="12"/>
      <c r="B67" s="13"/>
      <c r="C67" s="2"/>
      <c r="D67" s="2"/>
      <c r="E67" s="2"/>
      <c r="F67" s="2"/>
      <c r="G67" s="12"/>
      <c r="H67" s="7"/>
      <c r="I67" s="7"/>
      <c r="J67" s="12"/>
      <c r="K67" s="12"/>
      <c r="L67" s="4"/>
      <c r="M67" s="4"/>
      <c r="N67" s="12"/>
      <c r="O67" s="4"/>
      <c r="P67" s="5"/>
      <c r="Q67" s="14"/>
      <c r="R67" s="5"/>
      <c r="S67" s="14"/>
      <c r="T67" s="4"/>
      <c r="U67" s="11"/>
      <c r="V67" s="11"/>
      <c r="W67" s="12"/>
      <c r="X67" s="15" t="str">
        <f>IF($A67="","",COUNTIFS('PI Furnizor'!$A$7:$A$506,$A67,'PI Furnizor'!$D$7:$D$506,"&gt;0"))</f>
        <v/>
      </c>
      <c r="Y67" s="16" t="str">
        <f>IF($A67="","",SUMIFS('PI Furnizor'!$D$7:$D$506,'PI Furnizor'!$A$7:$A$506,$A67))</f>
        <v/>
      </c>
      <c r="Z67" s="9" t="str">
        <f>IF($A67="","",SUMIFS('PI Furnizor'!$O$7:$O$506,'PI Furnizor'!$A$7:$A$506,$A67))</f>
        <v/>
      </c>
      <c r="AA67" s="10" t="str">
        <f>IF($A67="","",SUMIFS('PI Furnizor'!$Q$7:$Q$506,'PI Furnizor'!$A$7:$A$506,$A67))</f>
        <v/>
      </c>
      <c r="AB67" s="56" t="str">
        <f>IF($A67="","",SUMIFS('PI Furnizor'!$N$7:$N$506,'PI Furnizor'!$A$7:$A$506,$A67))</f>
        <v/>
      </c>
      <c r="AC67" s="55" t="str">
        <f t="shared" si="16"/>
        <v/>
      </c>
      <c r="AD67" s="9" t="str">
        <f t="shared" si="17"/>
        <v/>
      </c>
      <c r="AE67" s="9" t="str">
        <f t="shared" si="18"/>
        <v/>
      </c>
      <c r="AF67" s="9" t="str">
        <f t="shared" si="19"/>
        <v/>
      </c>
      <c r="AG67" s="18" t="str">
        <f t="shared" si="20"/>
        <v/>
      </c>
      <c r="AH67" s="17" t="str">
        <f t="shared" si="21"/>
        <v/>
      </c>
      <c r="AI67" s="17" t="str">
        <f t="shared" si="22"/>
        <v/>
      </c>
      <c r="AJ67" s="17" t="str">
        <f t="shared" si="23"/>
        <v/>
      </c>
      <c r="AK67" s="17" t="str">
        <f t="shared" si="24"/>
        <v/>
      </c>
      <c r="AL67" s="19" t="str">
        <f t="shared" si="25"/>
        <v/>
      </c>
      <c r="AM67" s="19" t="str">
        <f t="shared" si="26"/>
        <v/>
      </c>
      <c r="AN67" s="9" t="str">
        <f t="shared" si="27"/>
        <v/>
      </c>
      <c r="AO67" s="18" t="str">
        <f>IF($A67="","",SUMIFS('Calculator Cost per Bucata'!$V$10:$V$509,'Calculator Cost per Bucata'!$A$10:$A$509,$A67))</f>
        <v/>
      </c>
      <c r="AP67" s="17" t="str">
        <f t="shared" si="28"/>
        <v/>
      </c>
      <c r="AQ67" s="20" t="str">
        <f>IF($A67="","",SUMIFS('Calculator Cost per Bucata'!$W$10:$W$509,'Calculator Cost per Bucata'!$A$10:$A$509,$A67))</f>
        <v/>
      </c>
      <c r="AR67" s="21" t="str">
        <f t="shared" si="29"/>
        <v/>
      </c>
      <c r="AS67" s="22" t="str">
        <f t="shared" si="30"/>
        <v/>
      </c>
      <c r="AT67" s="23" t="str">
        <f t="shared" si="31"/>
        <v/>
      </c>
    </row>
    <row r="68" spans="1:46" x14ac:dyDescent="0.3">
      <c r="A68" s="12"/>
      <c r="B68" s="13"/>
      <c r="C68" s="2"/>
      <c r="D68" s="2"/>
      <c r="E68" s="2"/>
      <c r="F68" s="2"/>
      <c r="G68" s="12"/>
      <c r="H68" s="7"/>
      <c r="I68" s="7"/>
      <c r="J68" s="12"/>
      <c r="K68" s="12"/>
      <c r="L68" s="4"/>
      <c r="M68" s="4"/>
      <c r="N68" s="12"/>
      <c r="O68" s="4"/>
      <c r="P68" s="5"/>
      <c r="Q68" s="14"/>
      <c r="R68" s="5"/>
      <c r="S68" s="14"/>
      <c r="T68" s="4"/>
      <c r="U68" s="11"/>
      <c r="V68" s="11"/>
      <c r="W68" s="12"/>
      <c r="X68" s="15" t="str">
        <f>IF($A68="","",COUNTIFS('PI Furnizor'!$A$7:$A$506,$A68,'PI Furnizor'!$D$7:$D$506,"&gt;0"))</f>
        <v/>
      </c>
      <c r="Y68" s="16" t="str">
        <f>IF($A68="","",SUMIFS('PI Furnizor'!$D$7:$D$506,'PI Furnizor'!$A$7:$A$506,$A68))</f>
        <v/>
      </c>
      <c r="Z68" s="9" t="str">
        <f>IF($A68="","",SUMIFS('PI Furnizor'!$O$7:$O$506,'PI Furnizor'!$A$7:$A$506,$A68))</f>
        <v/>
      </c>
      <c r="AA68" s="10" t="str">
        <f>IF($A68="","",SUMIFS('PI Furnizor'!$Q$7:$Q$506,'PI Furnizor'!$A$7:$A$506,$A68))</f>
        <v/>
      </c>
      <c r="AB68" s="56" t="str">
        <f>IF($A68="","",SUMIFS('PI Furnizor'!$N$7:$N$506,'PI Furnizor'!$A$7:$A$506,$A68))</f>
        <v/>
      </c>
      <c r="AC68" s="55" t="str">
        <f t="shared" si="16"/>
        <v/>
      </c>
      <c r="AD68" s="9" t="str">
        <f t="shared" si="17"/>
        <v/>
      </c>
      <c r="AE68" s="9" t="str">
        <f t="shared" si="18"/>
        <v/>
      </c>
      <c r="AF68" s="9" t="str">
        <f t="shared" si="19"/>
        <v/>
      </c>
      <c r="AG68" s="18" t="str">
        <f t="shared" si="20"/>
        <v/>
      </c>
      <c r="AH68" s="17" t="str">
        <f t="shared" si="21"/>
        <v/>
      </c>
      <c r="AI68" s="17" t="str">
        <f t="shared" si="22"/>
        <v/>
      </c>
      <c r="AJ68" s="17" t="str">
        <f t="shared" si="23"/>
        <v/>
      </c>
      <c r="AK68" s="17" t="str">
        <f t="shared" si="24"/>
        <v/>
      </c>
      <c r="AL68" s="19" t="str">
        <f t="shared" si="25"/>
        <v/>
      </c>
      <c r="AM68" s="19" t="str">
        <f t="shared" si="26"/>
        <v/>
      </c>
      <c r="AN68" s="9" t="str">
        <f t="shared" si="27"/>
        <v/>
      </c>
      <c r="AO68" s="18" t="str">
        <f>IF($A68="","",SUMIFS('Calculator Cost per Bucata'!$V$10:$V$509,'Calculator Cost per Bucata'!$A$10:$A$509,$A68))</f>
        <v/>
      </c>
      <c r="AP68" s="17" t="str">
        <f t="shared" si="28"/>
        <v/>
      </c>
      <c r="AQ68" s="20" t="str">
        <f>IF($A68="","",SUMIFS('Calculator Cost per Bucata'!$W$10:$W$509,'Calculator Cost per Bucata'!$A$10:$A$509,$A68))</f>
        <v/>
      </c>
      <c r="AR68" s="21" t="str">
        <f t="shared" si="29"/>
        <v/>
      </c>
      <c r="AS68" s="22" t="str">
        <f t="shared" si="30"/>
        <v/>
      </c>
      <c r="AT68" s="23" t="str">
        <f t="shared" si="31"/>
        <v/>
      </c>
    </row>
    <row r="69" spans="1:46" x14ac:dyDescent="0.3">
      <c r="A69" s="12"/>
      <c r="B69" s="13"/>
      <c r="C69" s="2"/>
      <c r="D69" s="2"/>
      <c r="E69" s="2"/>
      <c r="F69" s="2"/>
      <c r="G69" s="12"/>
      <c r="H69" s="7"/>
      <c r="I69" s="7"/>
      <c r="J69" s="12"/>
      <c r="K69" s="12"/>
      <c r="L69" s="4"/>
      <c r="M69" s="4"/>
      <c r="N69" s="12"/>
      <c r="O69" s="4"/>
      <c r="P69" s="5"/>
      <c r="Q69" s="14"/>
      <c r="R69" s="5"/>
      <c r="S69" s="14"/>
      <c r="T69" s="4"/>
      <c r="U69" s="11"/>
      <c r="V69" s="11"/>
      <c r="W69" s="12"/>
      <c r="X69" s="15" t="str">
        <f>IF($A69="","",COUNTIFS('PI Furnizor'!$A$7:$A$506,$A69,'PI Furnizor'!$D$7:$D$506,"&gt;0"))</f>
        <v/>
      </c>
      <c r="Y69" s="16" t="str">
        <f>IF($A69="","",SUMIFS('PI Furnizor'!$D$7:$D$506,'PI Furnizor'!$A$7:$A$506,$A69))</f>
        <v/>
      </c>
      <c r="Z69" s="9" t="str">
        <f>IF($A69="","",SUMIFS('PI Furnizor'!$O$7:$O$506,'PI Furnizor'!$A$7:$A$506,$A69))</f>
        <v/>
      </c>
      <c r="AA69" s="10" t="str">
        <f>IF($A69="","",SUMIFS('PI Furnizor'!$Q$7:$Q$506,'PI Furnizor'!$A$7:$A$506,$A69))</f>
        <v/>
      </c>
      <c r="AB69" s="56" t="str">
        <f>IF($A69="","",SUMIFS('PI Furnizor'!$N$7:$N$506,'PI Furnizor'!$A$7:$A$506,$A69))</f>
        <v/>
      </c>
      <c r="AC69" s="55" t="str">
        <f t="shared" si="16"/>
        <v/>
      </c>
      <c r="AD69" s="9" t="str">
        <f t="shared" si="17"/>
        <v/>
      </c>
      <c r="AE69" s="9" t="str">
        <f t="shared" si="18"/>
        <v/>
      </c>
      <c r="AF69" s="9" t="str">
        <f t="shared" si="19"/>
        <v/>
      </c>
      <c r="AG69" s="18" t="str">
        <f t="shared" si="20"/>
        <v/>
      </c>
      <c r="AH69" s="17" t="str">
        <f t="shared" si="21"/>
        <v/>
      </c>
      <c r="AI69" s="17" t="str">
        <f t="shared" si="22"/>
        <v/>
      </c>
      <c r="AJ69" s="17" t="str">
        <f t="shared" si="23"/>
        <v/>
      </c>
      <c r="AK69" s="17" t="str">
        <f t="shared" si="24"/>
        <v/>
      </c>
      <c r="AL69" s="19" t="str">
        <f t="shared" si="25"/>
        <v/>
      </c>
      <c r="AM69" s="19" t="str">
        <f t="shared" si="26"/>
        <v/>
      </c>
      <c r="AN69" s="9" t="str">
        <f t="shared" si="27"/>
        <v/>
      </c>
      <c r="AO69" s="18" t="str">
        <f>IF($A69="","",SUMIFS('Calculator Cost per Bucata'!$V$10:$V$509,'Calculator Cost per Bucata'!$A$10:$A$509,$A69))</f>
        <v/>
      </c>
      <c r="AP69" s="17" t="str">
        <f t="shared" si="28"/>
        <v/>
      </c>
      <c r="AQ69" s="20" t="str">
        <f>IF($A69="","",SUMIFS('Calculator Cost per Bucata'!$W$10:$W$509,'Calculator Cost per Bucata'!$A$10:$A$509,$A69))</f>
        <v/>
      </c>
      <c r="AR69" s="21" t="str">
        <f t="shared" si="29"/>
        <v/>
      </c>
      <c r="AS69" s="22" t="str">
        <f t="shared" si="30"/>
        <v/>
      </c>
      <c r="AT69" s="23" t="str">
        <f t="shared" si="31"/>
        <v/>
      </c>
    </row>
    <row r="70" spans="1:46" x14ac:dyDescent="0.3">
      <c r="A70" s="12"/>
      <c r="B70" s="13"/>
      <c r="C70" s="2"/>
      <c r="D70" s="2"/>
      <c r="E70" s="2"/>
      <c r="F70" s="2"/>
      <c r="G70" s="12"/>
      <c r="H70" s="7"/>
      <c r="I70" s="7"/>
      <c r="J70" s="12"/>
      <c r="K70" s="12"/>
      <c r="L70" s="4"/>
      <c r="M70" s="4"/>
      <c r="N70" s="12"/>
      <c r="O70" s="4"/>
      <c r="P70" s="5"/>
      <c r="Q70" s="14"/>
      <c r="R70" s="5"/>
      <c r="S70" s="14"/>
      <c r="T70" s="4"/>
      <c r="U70" s="11"/>
      <c r="V70" s="11"/>
      <c r="W70" s="12"/>
      <c r="X70" s="15" t="str">
        <f>IF($A70="","",COUNTIFS('PI Furnizor'!$A$7:$A$506,$A70,'PI Furnizor'!$D$7:$D$506,"&gt;0"))</f>
        <v/>
      </c>
      <c r="Y70" s="16" t="str">
        <f>IF($A70="","",SUMIFS('PI Furnizor'!$D$7:$D$506,'PI Furnizor'!$A$7:$A$506,$A70))</f>
        <v/>
      </c>
      <c r="Z70" s="9" t="str">
        <f>IF($A70="","",SUMIFS('PI Furnizor'!$O$7:$O$506,'PI Furnizor'!$A$7:$A$506,$A70))</f>
        <v/>
      </c>
      <c r="AA70" s="10" t="str">
        <f>IF($A70="","",SUMIFS('PI Furnizor'!$Q$7:$Q$506,'PI Furnizor'!$A$7:$A$506,$A70))</f>
        <v/>
      </c>
      <c r="AB70" s="56" t="str">
        <f>IF($A70="","",SUMIFS('PI Furnizor'!$N$7:$N$506,'PI Furnizor'!$A$7:$A$506,$A70))</f>
        <v/>
      </c>
      <c r="AC70" s="55" t="str">
        <f t="shared" si="16"/>
        <v/>
      </c>
      <c r="AD70" s="9" t="str">
        <f t="shared" si="17"/>
        <v/>
      </c>
      <c r="AE70" s="9" t="str">
        <f t="shared" si="18"/>
        <v/>
      </c>
      <c r="AF70" s="9" t="str">
        <f t="shared" si="19"/>
        <v/>
      </c>
      <c r="AG70" s="18" t="str">
        <f t="shared" si="20"/>
        <v/>
      </c>
      <c r="AH70" s="17" t="str">
        <f t="shared" si="21"/>
        <v/>
      </c>
      <c r="AI70" s="17" t="str">
        <f t="shared" si="22"/>
        <v/>
      </c>
      <c r="AJ70" s="17" t="str">
        <f t="shared" si="23"/>
        <v/>
      </c>
      <c r="AK70" s="17" t="str">
        <f t="shared" si="24"/>
        <v/>
      </c>
      <c r="AL70" s="19" t="str">
        <f t="shared" si="25"/>
        <v/>
      </c>
      <c r="AM70" s="19" t="str">
        <f t="shared" si="26"/>
        <v/>
      </c>
      <c r="AN70" s="9" t="str">
        <f t="shared" si="27"/>
        <v/>
      </c>
      <c r="AO70" s="18" t="str">
        <f>IF($A70="","",SUMIFS('Calculator Cost per Bucata'!$V$10:$V$509,'Calculator Cost per Bucata'!$A$10:$A$509,$A70))</f>
        <v/>
      </c>
      <c r="AP70" s="17" t="str">
        <f t="shared" si="28"/>
        <v/>
      </c>
      <c r="AQ70" s="20" t="str">
        <f>IF($A70="","",SUMIFS('Calculator Cost per Bucata'!$W$10:$W$509,'Calculator Cost per Bucata'!$A$10:$A$509,$A70))</f>
        <v/>
      </c>
      <c r="AR70" s="21" t="str">
        <f t="shared" si="29"/>
        <v/>
      </c>
      <c r="AS70" s="22" t="str">
        <f t="shared" si="30"/>
        <v/>
      </c>
      <c r="AT70" s="23" t="str">
        <f t="shared" si="31"/>
        <v/>
      </c>
    </row>
    <row r="71" spans="1:46" x14ac:dyDescent="0.3">
      <c r="A71" s="12"/>
      <c r="B71" s="13"/>
      <c r="C71" s="2"/>
      <c r="D71" s="2"/>
      <c r="E71" s="2"/>
      <c r="F71" s="2"/>
      <c r="G71" s="12"/>
      <c r="H71" s="7"/>
      <c r="I71" s="7"/>
      <c r="J71" s="12"/>
      <c r="K71" s="12"/>
      <c r="L71" s="4"/>
      <c r="M71" s="4"/>
      <c r="N71" s="12"/>
      <c r="O71" s="4"/>
      <c r="P71" s="5"/>
      <c r="Q71" s="14"/>
      <c r="R71" s="5"/>
      <c r="S71" s="14"/>
      <c r="T71" s="4"/>
      <c r="U71" s="11"/>
      <c r="V71" s="11"/>
      <c r="W71" s="12"/>
      <c r="X71" s="15" t="str">
        <f>IF($A71="","",COUNTIFS('PI Furnizor'!$A$7:$A$506,$A71,'PI Furnizor'!$D$7:$D$506,"&gt;0"))</f>
        <v/>
      </c>
      <c r="Y71" s="16" t="str">
        <f>IF($A71="","",SUMIFS('PI Furnizor'!$D$7:$D$506,'PI Furnizor'!$A$7:$A$506,$A71))</f>
        <v/>
      </c>
      <c r="Z71" s="9" t="str">
        <f>IF($A71="","",SUMIFS('PI Furnizor'!$O$7:$O$506,'PI Furnizor'!$A$7:$A$506,$A71))</f>
        <v/>
      </c>
      <c r="AA71" s="10" t="str">
        <f>IF($A71="","",SUMIFS('PI Furnizor'!$Q$7:$Q$506,'PI Furnizor'!$A$7:$A$506,$A71))</f>
        <v/>
      </c>
      <c r="AB71" s="56" t="str">
        <f>IF($A71="","",SUMIFS('PI Furnizor'!$N$7:$N$506,'PI Furnizor'!$A$7:$A$506,$A71))</f>
        <v/>
      </c>
      <c r="AC71" s="55" t="str">
        <f t="shared" si="16"/>
        <v/>
      </c>
      <c r="AD71" s="9" t="str">
        <f t="shared" si="17"/>
        <v/>
      </c>
      <c r="AE71" s="9" t="str">
        <f t="shared" si="18"/>
        <v/>
      </c>
      <c r="AF71" s="9" t="str">
        <f t="shared" si="19"/>
        <v/>
      </c>
      <c r="AG71" s="18" t="str">
        <f t="shared" si="20"/>
        <v/>
      </c>
      <c r="AH71" s="17" t="str">
        <f t="shared" si="21"/>
        <v/>
      </c>
      <c r="AI71" s="17" t="str">
        <f t="shared" si="22"/>
        <v/>
      </c>
      <c r="AJ71" s="17" t="str">
        <f t="shared" si="23"/>
        <v/>
      </c>
      <c r="AK71" s="17" t="str">
        <f t="shared" si="24"/>
        <v/>
      </c>
      <c r="AL71" s="19" t="str">
        <f t="shared" si="25"/>
        <v/>
      </c>
      <c r="AM71" s="19" t="str">
        <f t="shared" si="26"/>
        <v/>
      </c>
      <c r="AN71" s="9" t="str">
        <f t="shared" si="27"/>
        <v/>
      </c>
      <c r="AO71" s="18" t="str">
        <f>IF($A71="","",SUMIFS('Calculator Cost per Bucata'!$V$10:$V$509,'Calculator Cost per Bucata'!$A$10:$A$509,$A71))</f>
        <v/>
      </c>
      <c r="AP71" s="17" t="str">
        <f t="shared" si="28"/>
        <v/>
      </c>
      <c r="AQ71" s="20" t="str">
        <f>IF($A71="","",SUMIFS('Calculator Cost per Bucata'!$W$10:$W$509,'Calculator Cost per Bucata'!$A$10:$A$509,$A71))</f>
        <v/>
      </c>
      <c r="AR71" s="21" t="str">
        <f t="shared" si="29"/>
        <v/>
      </c>
      <c r="AS71" s="22" t="str">
        <f t="shared" si="30"/>
        <v/>
      </c>
      <c r="AT71" s="23" t="str">
        <f t="shared" si="31"/>
        <v/>
      </c>
    </row>
    <row r="72" spans="1:46" x14ac:dyDescent="0.3">
      <c r="A72" s="12"/>
      <c r="B72" s="13"/>
      <c r="C72" s="2"/>
      <c r="D72" s="2"/>
      <c r="E72" s="2"/>
      <c r="F72" s="2"/>
      <c r="G72" s="12"/>
      <c r="H72" s="7"/>
      <c r="I72" s="7"/>
      <c r="J72" s="12"/>
      <c r="K72" s="12"/>
      <c r="L72" s="4"/>
      <c r="M72" s="4"/>
      <c r="N72" s="12"/>
      <c r="O72" s="4"/>
      <c r="P72" s="5"/>
      <c r="Q72" s="14"/>
      <c r="R72" s="5"/>
      <c r="S72" s="14"/>
      <c r="T72" s="4"/>
      <c r="U72" s="11"/>
      <c r="V72" s="11"/>
      <c r="W72" s="12"/>
      <c r="X72" s="15" t="str">
        <f>IF($A72="","",COUNTIFS('PI Furnizor'!$A$7:$A$506,$A72,'PI Furnizor'!$D$7:$D$506,"&gt;0"))</f>
        <v/>
      </c>
      <c r="Y72" s="16" t="str">
        <f>IF($A72="","",SUMIFS('PI Furnizor'!$D$7:$D$506,'PI Furnizor'!$A$7:$A$506,$A72))</f>
        <v/>
      </c>
      <c r="Z72" s="9" t="str">
        <f>IF($A72="","",SUMIFS('PI Furnizor'!$O$7:$O$506,'PI Furnizor'!$A$7:$A$506,$A72))</f>
        <v/>
      </c>
      <c r="AA72" s="10" t="str">
        <f>IF($A72="","",SUMIFS('PI Furnizor'!$Q$7:$Q$506,'PI Furnizor'!$A$7:$A$506,$A72))</f>
        <v/>
      </c>
      <c r="AB72" s="56" t="str">
        <f>IF($A72="","",SUMIFS('PI Furnizor'!$N$7:$N$506,'PI Furnizor'!$A$7:$A$506,$A72))</f>
        <v/>
      </c>
      <c r="AC72" s="55" t="str">
        <f t="shared" si="16"/>
        <v/>
      </c>
      <c r="AD72" s="9" t="str">
        <f t="shared" si="17"/>
        <v/>
      </c>
      <c r="AE72" s="9" t="str">
        <f t="shared" si="18"/>
        <v/>
      </c>
      <c r="AF72" s="9" t="str">
        <f t="shared" si="19"/>
        <v/>
      </c>
      <c r="AG72" s="18" t="str">
        <f t="shared" si="20"/>
        <v/>
      </c>
      <c r="AH72" s="17" t="str">
        <f t="shared" si="21"/>
        <v/>
      </c>
      <c r="AI72" s="17" t="str">
        <f t="shared" si="22"/>
        <v/>
      </c>
      <c r="AJ72" s="17" t="str">
        <f t="shared" si="23"/>
        <v/>
      </c>
      <c r="AK72" s="17" t="str">
        <f t="shared" si="24"/>
        <v/>
      </c>
      <c r="AL72" s="19" t="str">
        <f t="shared" si="25"/>
        <v/>
      </c>
      <c r="AM72" s="19" t="str">
        <f t="shared" si="26"/>
        <v/>
      </c>
      <c r="AN72" s="9" t="str">
        <f t="shared" si="27"/>
        <v/>
      </c>
      <c r="AO72" s="18" t="str">
        <f>IF($A72="","",SUMIFS('Calculator Cost per Bucata'!$V$10:$V$509,'Calculator Cost per Bucata'!$A$10:$A$509,$A72))</f>
        <v/>
      </c>
      <c r="AP72" s="17" t="str">
        <f t="shared" si="28"/>
        <v/>
      </c>
      <c r="AQ72" s="20" t="str">
        <f>IF($A72="","",SUMIFS('Calculator Cost per Bucata'!$W$10:$W$509,'Calculator Cost per Bucata'!$A$10:$A$509,$A72))</f>
        <v/>
      </c>
      <c r="AR72" s="21" t="str">
        <f t="shared" si="29"/>
        <v/>
      </c>
      <c r="AS72" s="22" t="str">
        <f t="shared" si="30"/>
        <v/>
      </c>
      <c r="AT72" s="23" t="str">
        <f t="shared" si="31"/>
        <v/>
      </c>
    </row>
    <row r="73" spans="1:46" x14ac:dyDescent="0.3">
      <c r="A73" s="12"/>
      <c r="B73" s="13"/>
      <c r="C73" s="2"/>
      <c r="D73" s="2"/>
      <c r="E73" s="2"/>
      <c r="F73" s="2"/>
      <c r="G73" s="12"/>
      <c r="H73" s="7"/>
      <c r="I73" s="7"/>
      <c r="J73" s="12"/>
      <c r="K73" s="12"/>
      <c r="L73" s="4"/>
      <c r="M73" s="4"/>
      <c r="N73" s="12"/>
      <c r="O73" s="4"/>
      <c r="P73" s="5"/>
      <c r="Q73" s="14"/>
      <c r="R73" s="5"/>
      <c r="S73" s="14"/>
      <c r="T73" s="4"/>
      <c r="U73" s="11"/>
      <c r="V73" s="11"/>
      <c r="W73" s="12"/>
      <c r="X73" s="15" t="str">
        <f>IF($A73="","",COUNTIFS('PI Furnizor'!$A$7:$A$506,$A73,'PI Furnizor'!$D$7:$D$506,"&gt;0"))</f>
        <v/>
      </c>
      <c r="Y73" s="16" t="str">
        <f>IF($A73="","",SUMIFS('PI Furnizor'!$D$7:$D$506,'PI Furnizor'!$A$7:$A$506,$A73))</f>
        <v/>
      </c>
      <c r="Z73" s="9" t="str">
        <f>IF($A73="","",SUMIFS('PI Furnizor'!$O$7:$O$506,'PI Furnizor'!$A$7:$A$506,$A73))</f>
        <v/>
      </c>
      <c r="AA73" s="10" t="str">
        <f>IF($A73="","",SUMIFS('PI Furnizor'!$Q$7:$Q$506,'PI Furnizor'!$A$7:$A$506,$A73))</f>
        <v/>
      </c>
      <c r="AB73" s="56" t="str">
        <f>IF($A73="","",SUMIFS('PI Furnizor'!$N$7:$N$506,'PI Furnizor'!$A$7:$A$506,$A73))</f>
        <v/>
      </c>
      <c r="AC73" s="55" t="str">
        <f t="shared" ref="AC73:AC108" si="32">IF($A73="","",$AB73*IF($G73="USD",N($H73),IF($G73="EUR",N($I73),1)))</f>
        <v/>
      </c>
      <c r="AD73" s="9" t="str">
        <f t="shared" ref="AD73:AD108" si="33">IF($A73="","",IF($N73="Da",$AA73*1000000/$D$5,0))</f>
        <v/>
      </c>
      <c r="AE73" s="9" t="str">
        <f t="shared" ref="AE73:AE108" si="34">IF($A73="","",IF($K73="CBM",MAX($AA73,N($M73)),IF($K73="kg",MAX($Z73,IF($N73="Da",$AD73,0),N($M73)),1)))</f>
        <v/>
      </c>
      <c r="AF73" s="9" t="str">
        <f t="shared" ref="AF73:AF108" si="35">IF($A73="","",IF($K73="Total fix",N($L73),N($L73)*$AE73)+N($O73))</f>
        <v/>
      </c>
      <c r="AG73" s="18" t="str">
        <f t="shared" ref="AG73:AG108" si="36">IF($A73="","",$AF73*IF($J73="USD",N($H73),IF($J73="EUR",N($I73),1)))</f>
        <v/>
      </c>
      <c r="AH73" s="17" t="str">
        <f t="shared" ref="AH73:AH108" si="37">IF($A73="","",IF($Z73&gt;0,$AG73/$Z73,""))</f>
        <v/>
      </c>
      <c r="AI73" s="17" t="str">
        <f t="shared" ref="AI73:AI108" si="38">IF($A73="","",IF($AA73&gt;0,$AG73/$AA73,""))</f>
        <v/>
      </c>
      <c r="AJ73" s="17" t="str">
        <f t="shared" ref="AJ73:AJ108" si="39">IF($A73="","",N($P73)*N($Q73)*N($I73))</f>
        <v/>
      </c>
      <c r="AK73" s="17" t="str">
        <f t="shared" ref="AK73:AK108" si="40">IF($A73="","",N($R73)*N($S73))</f>
        <v/>
      </c>
      <c r="AL73" s="19" t="str">
        <f t="shared" ref="AL73:AL108" si="41">IF($A73="","",IF(OR($W73="",$W73="Automat"),IF($K73="CBM","Volum (CBM)","Greutate"),$W73))</f>
        <v/>
      </c>
      <c r="AM73" s="19" t="str">
        <f t="shared" ref="AM73:AM108" si="42">IF($A73="","",IF($AL73="Greutate",IF($Z73&gt;0,"Greutate","Egal pe bucata"),IF($AL73="Volum (CBM)",IF($AA73&gt;0,"Volum (CBM)","Egal pe bucata"),IF($AL73="Valoare marfa",IF($AB73&gt;0,"Valoare marfa","Egal pe bucata"),"Egal pe bucata"))))</f>
        <v/>
      </c>
      <c r="AN73" s="9" t="str">
        <f t="shared" ref="AN73:AN108" si="43">IF($A73="","",IF($AM73="Greutate",$Z73,IF($AM73="Volum (CBM)",$AA73,IF($AM73="Valoare marfa",$AB73,$Y73))))</f>
        <v/>
      </c>
      <c r="AO73" s="18" t="str">
        <f>IF($A73="","",SUMIFS('Calculator Cost per Bucata'!$V$10:$V$509,'Calculator Cost per Bucata'!$A$10:$A$509,$A73))</f>
        <v/>
      </c>
      <c r="AP73" s="17" t="str">
        <f t="shared" ref="AP73:AP108" si="44">IF($A73="","",$AQ73-$AO73)</f>
        <v/>
      </c>
      <c r="AQ73" s="20" t="str">
        <f>IF($A73="","",SUMIFS('Calculator Cost per Bucata'!$W$10:$W$509,'Calculator Cost per Bucata'!$A$10:$A$509,$A73))</f>
        <v/>
      </c>
      <c r="AR73" s="21" t="str">
        <f t="shared" ref="AR73:AR108" si="45">IF($A73="","",IF(N($I73)&gt;0,$AQ73/$I73,""))</f>
        <v/>
      </c>
      <c r="AS73" s="22" t="str">
        <f t="shared" ref="AS73:AS108" si="46">IF($A73="","",IF(N($H73)&gt;0,$AQ73/$H73,""))</f>
        <v/>
      </c>
      <c r="AT73" s="23" t="str">
        <f t="shared" ref="AT73:AT108" si="47">IF($A73="","",IF((N($H73)&lt;=0)+(N($I73)&lt;=0)+($X73=0)+(OR($G73="",$J73="",$K73=""))+(AND($K73="CBM",$AA73=0))+(AND($K73="kg",$Z73=0))+($AL73&lt;&gt;$AM73)=0,"OK",IF(N($H73)&lt;=0,"Lipseste cursul USD. ","")&amp;IF(N($I73)&lt;=0,"Lipseste cursul EUR. ","")&amp;IF($X73=0,"Nicio linie de produs in 'PI Furnizor'. ","")&amp;IF(OR($G73="",$J73="",$K73=""),"Lipseste moneda marfa / moneda transport / baza tarif. ","")&amp;IF(AND($K73="CBM",$AA73=0),"Tarif pe CBM dar lipsesc dimensiunile/volumul. ","")&amp;IF(AND($K73="kg",$Z73=0),"Tarif pe kg dar lipsesc greutatile. ","")&amp;IF($AL73&lt;&gt;$AM73,"Cheia de alocare lipseste - costurile se impart egal pe bucata. ","")))</f>
        <v/>
      </c>
    </row>
    <row r="74" spans="1:46" x14ac:dyDescent="0.3">
      <c r="A74" s="12"/>
      <c r="B74" s="13"/>
      <c r="C74" s="2"/>
      <c r="D74" s="2"/>
      <c r="E74" s="2"/>
      <c r="F74" s="2"/>
      <c r="G74" s="12"/>
      <c r="H74" s="7"/>
      <c r="I74" s="7"/>
      <c r="J74" s="12"/>
      <c r="K74" s="12"/>
      <c r="L74" s="4"/>
      <c r="M74" s="4"/>
      <c r="N74" s="12"/>
      <c r="O74" s="4"/>
      <c r="P74" s="5"/>
      <c r="Q74" s="14"/>
      <c r="R74" s="5"/>
      <c r="S74" s="14"/>
      <c r="T74" s="4"/>
      <c r="U74" s="11"/>
      <c r="V74" s="11"/>
      <c r="W74" s="12"/>
      <c r="X74" s="15" t="str">
        <f>IF($A74="","",COUNTIFS('PI Furnizor'!$A$7:$A$506,$A74,'PI Furnizor'!$D$7:$D$506,"&gt;0"))</f>
        <v/>
      </c>
      <c r="Y74" s="16" t="str">
        <f>IF($A74="","",SUMIFS('PI Furnizor'!$D$7:$D$506,'PI Furnizor'!$A$7:$A$506,$A74))</f>
        <v/>
      </c>
      <c r="Z74" s="9" t="str">
        <f>IF($A74="","",SUMIFS('PI Furnizor'!$O$7:$O$506,'PI Furnizor'!$A$7:$A$506,$A74))</f>
        <v/>
      </c>
      <c r="AA74" s="10" t="str">
        <f>IF($A74="","",SUMIFS('PI Furnizor'!$Q$7:$Q$506,'PI Furnizor'!$A$7:$A$506,$A74))</f>
        <v/>
      </c>
      <c r="AB74" s="56" t="str">
        <f>IF($A74="","",SUMIFS('PI Furnizor'!$N$7:$N$506,'PI Furnizor'!$A$7:$A$506,$A74))</f>
        <v/>
      </c>
      <c r="AC74" s="55" t="str">
        <f t="shared" si="32"/>
        <v/>
      </c>
      <c r="AD74" s="9" t="str">
        <f t="shared" si="33"/>
        <v/>
      </c>
      <c r="AE74" s="9" t="str">
        <f t="shared" si="34"/>
        <v/>
      </c>
      <c r="AF74" s="9" t="str">
        <f t="shared" si="35"/>
        <v/>
      </c>
      <c r="AG74" s="18" t="str">
        <f t="shared" si="36"/>
        <v/>
      </c>
      <c r="AH74" s="17" t="str">
        <f t="shared" si="37"/>
        <v/>
      </c>
      <c r="AI74" s="17" t="str">
        <f t="shared" si="38"/>
        <v/>
      </c>
      <c r="AJ74" s="17" t="str">
        <f t="shared" si="39"/>
        <v/>
      </c>
      <c r="AK74" s="17" t="str">
        <f t="shared" si="40"/>
        <v/>
      </c>
      <c r="AL74" s="19" t="str">
        <f t="shared" si="41"/>
        <v/>
      </c>
      <c r="AM74" s="19" t="str">
        <f t="shared" si="42"/>
        <v/>
      </c>
      <c r="AN74" s="9" t="str">
        <f t="shared" si="43"/>
        <v/>
      </c>
      <c r="AO74" s="18" t="str">
        <f>IF($A74="","",SUMIFS('Calculator Cost per Bucata'!$V$10:$V$509,'Calculator Cost per Bucata'!$A$10:$A$509,$A74))</f>
        <v/>
      </c>
      <c r="AP74" s="17" t="str">
        <f t="shared" si="44"/>
        <v/>
      </c>
      <c r="AQ74" s="20" t="str">
        <f>IF($A74="","",SUMIFS('Calculator Cost per Bucata'!$W$10:$W$509,'Calculator Cost per Bucata'!$A$10:$A$509,$A74))</f>
        <v/>
      </c>
      <c r="AR74" s="21" t="str">
        <f t="shared" si="45"/>
        <v/>
      </c>
      <c r="AS74" s="22" t="str">
        <f t="shared" si="46"/>
        <v/>
      </c>
      <c r="AT74" s="23" t="str">
        <f t="shared" si="47"/>
        <v/>
      </c>
    </row>
    <row r="75" spans="1:46" x14ac:dyDescent="0.3">
      <c r="A75" s="12"/>
      <c r="B75" s="13"/>
      <c r="C75" s="2"/>
      <c r="D75" s="2"/>
      <c r="E75" s="2"/>
      <c r="F75" s="2"/>
      <c r="G75" s="12"/>
      <c r="H75" s="7"/>
      <c r="I75" s="7"/>
      <c r="J75" s="12"/>
      <c r="K75" s="12"/>
      <c r="L75" s="4"/>
      <c r="M75" s="4"/>
      <c r="N75" s="12"/>
      <c r="O75" s="4"/>
      <c r="P75" s="5"/>
      <c r="Q75" s="14"/>
      <c r="R75" s="5"/>
      <c r="S75" s="14"/>
      <c r="T75" s="4"/>
      <c r="U75" s="11"/>
      <c r="V75" s="11"/>
      <c r="W75" s="12"/>
      <c r="X75" s="15" t="str">
        <f>IF($A75="","",COUNTIFS('PI Furnizor'!$A$7:$A$506,$A75,'PI Furnizor'!$D$7:$D$506,"&gt;0"))</f>
        <v/>
      </c>
      <c r="Y75" s="16" t="str">
        <f>IF($A75="","",SUMIFS('PI Furnizor'!$D$7:$D$506,'PI Furnizor'!$A$7:$A$506,$A75))</f>
        <v/>
      </c>
      <c r="Z75" s="9" t="str">
        <f>IF($A75="","",SUMIFS('PI Furnizor'!$O$7:$O$506,'PI Furnizor'!$A$7:$A$506,$A75))</f>
        <v/>
      </c>
      <c r="AA75" s="10" t="str">
        <f>IF($A75="","",SUMIFS('PI Furnizor'!$Q$7:$Q$506,'PI Furnizor'!$A$7:$A$506,$A75))</f>
        <v/>
      </c>
      <c r="AB75" s="56" t="str">
        <f>IF($A75="","",SUMIFS('PI Furnizor'!$N$7:$N$506,'PI Furnizor'!$A$7:$A$506,$A75))</f>
        <v/>
      </c>
      <c r="AC75" s="55" t="str">
        <f t="shared" si="32"/>
        <v/>
      </c>
      <c r="AD75" s="9" t="str">
        <f t="shared" si="33"/>
        <v/>
      </c>
      <c r="AE75" s="9" t="str">
        <f t="shared" si="34"/>
        <v/>
      </c>
      <c r="AF75" s="9" t="str">
        <f t="shared" si="35"/>
        <v/>
      </c>
      <c r="AG75" s="18" t="str">
        <f t="shared" si="36"/>
        <v/>
      </c>
      <c r="AH75" s="17" t="str">
        <f t="shared" si="37"/>
        <v/>
      </c>
      <c r="AI75" s="17" t="str">
        <f t="shared" si="38"/>
        <v/>
      </c>
      <c r="AJ75" s="17" t="str">
        <f t="shared" si="39"/>
        <v/>
      </c>
      <c r="AK75" s="17" t="str">
        <f t="shared" si="40"/>
        <v/>
      </c>
      <c r="AL75" s="19" t="str">
        <f t="shared" si="41"/>
        <v/>
      </c>
      <c r="AM75" s="19" t="str">
        <f t="shared" si="42"/>
        <v/>
      </c>
      <c r="AN75" s="9" t="str">
        <f t="shared" si="43"/>
        <v/>
      </c>
      <c r="AO75" s="18" t="str">
        <f>IF($A75="","",SUMIFS('Calculator Cost per Bucata'!$V$10:$V$509,'Calculator Cost per Bucata'!$A$10:$A$509,$A75))</f>
        <v/>
      </c>
      <c r="AP75" s="17" t="str">
        <f t="shared" si="44"/>
        <v/>
      </c>
      <c r="AQ75" s="20" t="str">
        <f>IF($A75="","",SUMIFS('Calculator Cost per Bucata'!$W$10:$W$509,'Calculator Cost per Bucata'!$A$10:$A$509,$A75))</f>
        <v/>
      </c>
      <c r="AR75" s="21" t="str">
        <f t="shared" si="45"/>
        <v/>
      </c>
      <c r="AS75" s="22" t="str">
        <f t="shared" si="46"/>
        <v/>
      </c>
      <c r="AT75" s="23" t="str">
        <f t="shared" si="47"/>
        <v/>
      </c>
    </row>
    <row r="76" spans="1:46" x14ac:dyDescent="0.3">
      <c r="A76" s="12"/>
      <c r="B76" s="13"/>
      <c r="C76" s="2"/>
      <c r="D76" s="2"/>
      <c r="E76" s="2"/>
      <c r="F76" s="2"/>
      <c r="G76" s="12"/>
      <c r="H76" s="7"/>
      <c r="I76" s="7"/>
      <c r="J76" s="12"/>
      <c r="K76" s="12"/>
      <c r="L76" s="4"/>
      <c r="M76" s="4"/>
      <c r="N76" s="12"/>
      <c r="O76" s="4"/>
      <c r="P76" s="5"/>
      <c r="Q76" s="14"/>
      <c r="R76" s="5"/>
      <c r="S76" s="14"/>
      <c r="T76" s="4"/>
      <c r="U76" s="11"/>
      <c r="V76" s="11"/>
      <c r="W76" s="12"/>
      <c r="X76" s="15" t="str">
        <f>IF($A76="","",COUNTIFS('PI Furnizor'!$A$7:$A$506,$A76,'PI Furnizor'!$D$7:$D$506,"&gt;0"))</f>
        <v/>
      </c>
      <c r="Y76" s="16" t="str">
        <f>IF($A76="","",SUMIFS('PI Furnizor'!$D$7:$D$506,'PI Furnizor'!$A$7:$A$506,$A76))</f>
        <v/>
      </c>
      <c r="Z76" s="9" t="str">
        <f>IF($A76="","",SUMIFS('PI Furnizor'!$O$7:$O$506,'PI Furnizor'!$A$7:$A$506,$A76))</f>
        <v/>
      </c>
      <c r="AA76" s="10" t="str">
        <f>IF($A76="","",SUMIFS('PI Furnizor'!$Q$7:$Q$506,'PI Furnizor'!$A$7:$A$506,$A76))</f>
        <v/>
      </c>
      <c r="AB76" s="56" t="str">
        <f>IF($A76="","",SUMIFS('PI Furnizor'!$N$7:$N$506,'PI Furnizor'!$A$7:$A$506,$A76))</f>
        <v/>
      </c>
      <c r="AC76" s="55" t="str">
        <f t="shared" si="32"/>
        <v/>
      </c>
      <c r="AD76" s="9" t="str">
        <f t="shared" si="33"/>
        <v/>
      </c>
      <c r="AE76" s="9" t="str">
        <f t="shared" si="34"/>
        <v/>
      </c>
      <c r="AF76" s="9" t="str">
        <f t="shared" si="35"/>
        <v/>
      </c>
      <c r="AG76" s="18" t="str">
        <f t="shared" si="36"/>
        <v/>
      </c>
      <c r="AH76" s="17" t="str">
        <f t="shared" si="37"/>
        <v/>
      </c>
      <c r="AI76" s="17" t="str">
        <f t="shared" si="38"/>
        <v/>
      </c>
      <c r="AJ76" s="17" t="str">
        <f t="shared" si="39"/>
        <v/>
      </c>
      <c r="AK76" s="17" t="str">
        <f t="shared" si="40"/>
        <v/>
      </c>
      <c r="AL76" s="19" t="str">
        <f t="shared" si="41"/>
        <v/>
      </c>
      <c r="AM76" s="19" t="str">
        <f t="shared" si="42"/>
        <v/>
      </c>
      <c r="AN76" s="9" t="str">
        <f t="shared" si="43"/>
        <v/>
      </c>
      <c r="AO76" s="18" t="str">
        <f>IF($A76="","",SUMIFS('Calculator Cost per Bucata'!$V$10:$V$509,'Calculator Cost per Bucata'!$A$10:$A$509,$A76))</f>
        <v/>
      </c>
      <c r="AP76" s="17" t="str">
        <f t="shared" si="44"/>
        <v/>
      </c>
      <c r="AQ76" s="20" t="str">
        <f>IF($A76="","",SUMIFS('Calculator Cost per Bucata'!$W$10:$W$509,'Calculator Cost per Bucata'!$A$10:$A$509,$A76))</f>
        <v/>
      </c>
      <c r="AR76" s="21" t="str">
        <f t="shared" si="45"/>
        <v/>
      </c>
      <c r="AS76" s="22" t="str">
        <f t="shared" si="46"/>
        <v/>
      </c>
      <c r="AT76" s="23" t="str">
        <f t="shared" si="47"/>
        <v/>
      </c>
    </row>
    <row r="77" spans="1:46" x14ac:dyDescent="0.3">
      <c r="A77" s="12"/>
      <c r="B77" s="13"/>
      <c r="C77" s="2"/>
      <c r="D77" s="2"/>
      <c r="E77" s="2"/>
      <c r="F77" s="2"/>
      <c r="G77" s="12"/>
      <c r="H77" s="7"/>
      <c r="I77" s="7"/>
      <c r="J77" s="12"/>
      <c r="K77" s="12"/>
      <c r="L77" s="4"/>
      <c r="M77" s="4"/>
      <c r="N77" s="12"/>
      <c r="O77" s="4"/>
      <c r="P77" s="5"/>
      <c r="Q77" s="14"/>
      <c r="R77" s="5"/>
      <c r="S77" s="14"/>
      <c r="T77" s="4"/>
      <c r="U77" s="11"/>
      <c r="V77" s="11"/>
      <c r="W77" s="12"/>
      <c r="X77" s="15" t="str">
        <f>IF($A77="","",COUNTIFS('PI Furnizor'!$A$7:$A$506,$A77,'PI Furnizor'!$D$7:$D$506,"&gt;0"))</f>
        <v/>
      </c>
      <c r="Y77" s="16" t="str">
        <f>IF($A77="","",SUMIFS('PI Furnizor'!$D$7:$D$506,'PI Furnizor'!$A$7:$A$506,$A77))</f>
        <v/>
      </c>
      <c r="Z77" s="9" t="str">
        <f>IF($A77="","",SUMIFS('PI Furnizor'!$O$7:$O$506,'PI Furnizor'!$A$7:$A$506,$A77))</f>
        <v/>
      </c>
      <c r="AA77" s="10" t="str">
        <f>IF($A77="","",SUMIFS('PI Furnizor'!$Q$7:$Q$506,'PI Furnizor'!$A$7:$A$506,$A77))</f>
        <v/>
      </c>
      <c r="AB77" s="56" t="str">
        <f>IF($A77="","",SUMIFS('PI Furnizor'!$N$7:$N$506,'PI Furnizor'!$A$7:$A$506,$A77))</f>
        <v/>
      </c>
      <c r="AC77" s="55" t="str">
        <f t="shared" si="32"/>
        <v/>
      </c>
      <c r="AD77" s="9" t="str">
        <f t="shared" si="33"/>
        <v/>
      </c>
      <c r="AE77" s="9" t="str">
        <f t="shared" si="34"/>
        <v/>
      </c>
      <c r="AF77" s="9" t="str">
        <f t="shared" si="35"/>
        <v/>
      </c>
      <c r="AG77" s="18" t="str">
        <f t="shared" si="36"/>
        <v/>
      </c>
      <c r="AH77" s="17" t="str">
        <f t="shared" si="37"/>
        <v/>
      </c>
      <c r="AI77" s="17" t="str">
        <f t="shared" si="38"/>
        <v/>
      </c>
      <c r="AJ77" s="17" t="str">
        <f t="shared" si="39"/>
        <v/>
      </c>
      <c r="AK77" s="17" t="str">
        <f t="shared" si="40"/>
        <v/>
      </c>
      <c r="AL77" s="19" t="str">
        <f t="shared" si="41"/>
        <v/>
      </c>
      <c r="AM77" s="19" t="str">
        <f t="shared" si="42"/>
        <v/>
      </c>
      <c r="AN77" s="9" t="str">
        <f t="shared" si="43"/>
        <v/>
      </c>
      <c r="AO77" s="18" t="str">
        <f>IF($A77="","",SUMIFS('Calculator Cost per Bucata'!$V$10:$V$509,'Calculator Cost per Bucata'!$A$10:$A$509,$A77))</f>
        <v/>
      </c>
      <c r="AP77" s="17" t="str">
        <f t="shared" si="44"/>
        <v/>
      </c>
      <c r="AQ77" s="20" t="str">
        <f>IF($A77="","",SUMIFS('Calculator Cost per Bucata'!$W$10:$W$509,'Calculator Cost per Bucata'!$A$10:$A$509,$A77))</f>
        <v/>
      </c>
      <c r="AR77" s="21" t="str">
        <f t="shared" si="45"/>
        <v/>
      </c>
      <c r="AS77" s="22" t="str">
        <f t="shared" si="46"/>
        <v/>
      </c>
      <c r="AT77" s="23" t="str">
        <f t="shared" si="47"/>
        <v/>
      </c>
    </row>
    <row r="78" spans="1:46" x14ac:dyDescent="0.3">
      <c r="A78" s="12"/>
      <c r="B78" s="13"/>
      <c r="C78" s="2"/>
      <c r="D78" s="2"/>
      <c r="E78" s="2"/>
      <c r="F78" s="2"/>
      <c r="G78" s="12"/>
      <c r="H78" s="7"/>
      <c r="I78" s="7"/>
      <c r="J78" s="12"/>
      <c r="K78" s="12"/>
      <c r="L78" s="4"/>
      <c r="M78" s="4"/>
      <c r="N78" s="12"/>
      <c r="O78" s="4"/>
      <c r="P78" s="5"/>
      <c r="Q78" s="14"/>
      <c r="R78" s="5"/>
      <c r="S78" s="14"/>
      <c r="T78" s="4"/>
      <c r="U78" s="11"/>
      <c r="V78" s="11"/>
      <c r="W78" s="12"/>
      <c r="X78" s="15" t="str">
        <f>IF($A78="","",COUNTIFS('PI Furnizor'!$A$7:$A$506,$A78,'PI Furnizor'!$D$7:$D$506,"&gt;0"))</f>
        <v/>
      </c>
      <c r="Y78" s="16" t="str">
        <f>IF($A78="","",SUMIFS('PI Furnizor'!$D$7:$D$506,'PI Furnizor'!$A$7:$A$506,$A78))</f>
        <v/>
      </c>
      <c r="Z78" s="9" t="str">
        <f>IF($A78="","",SUMIFS('PI Furnizor'!$O$7:$O$506,'PI Furnizor'!$A$7:$A$506,$A78))</f>
        <v/>
      </c>
      <c r="AA78" s="10" t="str">
        <f>IF($A78="","",SUMIFS('PI Furnizor'!$Q$7:$Q$506,'PI Furnizor'!$A$7:$A$506,$A78))</f>
        <v/>
      </c>
      <c r="AB78" s="56" t="str">
        <f>IF($A78="","",SUMIFS('PI Furnizor'!$N$7:$N$506,'PI Furnizor'!$A$7:$A$506,$A78))</f>
        <v/>
      </c>
      <c r="AC78" s="55" t="str">
        <f t="shared" si="32"/>
        <v/>
      </c>
      <c r="AD78" s="9" t="str">
        <f t="shared" si="33"/>
        <v/>
      </c>
      <c r="AE78" s="9" t="str">
        <f t="shared" si="34"/>
        <v/>
      </c>
      <c r="AF78" s="9" t="str">
        <f t="shared" si="35"/>
        <v/>
      </c>
      <c r="AG78" s="18" t="str">
        <f t="shared" si="36"/>
        <v/>
      </c>
      <c r="AH78" s="17" t="str">
        <f t="shared" si="37"/>
        <v/>
      </c>
      <c r="AI78" s="17" t="str">
        <f t="shared" si="38"/>
        <v/>
      </c>
      <c r="AJ78" s="17" t="str">
        <f t="shared" si="39"/>
        <v/>
      </c>
      <c r="AK78" s="17" t="str">
        <f t="shared" si="40"/>
        <v/>
      </c>
      <c r="AL78" s="19" t="str">
        <f t="shared" si="41"/>
        <v/>
      </c>
      <c r="AM78" s="19" t="str">
        <f t="shared" si="42"/>
        <v/>
      </c>
      <c r="AN78" s="9" t="str">
        <f t="shared" si="43"/>
        <v/>
      </c>
      <c r="AO78" s="18" t="str">
        <f>IF($A78="","",SUMIFS('Calculator Cost per Bucata'!$V$10:$V$509,'Calculator Cost per Bucata'!$A$10:$A$509,$A78))</f>
        <v/>
      </c>
      <c r="AP78" s="17" t="str">
        <f t="shared" si="44"/>
        <v/>
      </c>
      <c r="AQ78" s="20" t="str">
        <f>IF($A78="","",SUMIFS('Calculator Cost per Bucata'!$W$10:$W$509,'Calculator Cost per Bucata'!$A$10:$A$509,$A78))</f>
        <v/>
      </c>
      <c r="AR78" s="21" t="str">
        <f t="shared" si="45"/>
        <v/>
      </c>
      <c r="AS78" s="22" t="str">
        <f t="shared" si="46"/>
        <v/>
      </c>
      <c r="AT78" s="23" t="str">
        <f t="shared" si="47"/>
        <v/>
      </c>
    </row>
    <row r="79" spans="1:46" x14ac:dyDescent="0.3">
      <c r="A79" s="12"/>
      <c r="B79" s="13"/>
      <c r="C79" s="2"/>
      <c r="D79" s="2"/>
      <c r="E79" s="2"/>
      <c r="F79" s="2"/>
      <c r="G79" s="12"/>
      <c r="H79" s="7"/>
      <c r="I79" s="7"/>
      <c r="J79" s="12"/>
      <c r="K79" s="12"/>
      <c r="L79" s="4"/>
      <c r="M79" s="4"/>
      <c r="N79" s="12"/>
      <c r="O79" s="4"/>
      <c r="P79" s="5"/>
      <c r="Q79" s="14"/>
      <c r="R79" s="5"/>
      <c r="S79" s="14"/>
      <c r="T79" s="4"/>
      <c r="U79" s="11"/>
      <c r="V79" s="11"/>
      <c r="W79" s="12"/>
      <c r="X79" s="15" t="str">
        <f>IF($A79="","",COUNTIFS('PI Furnizor'!$A$7:$A$506,$A79,'PI Furnizor'!$D$7:$D$506,"&gt;0"))</f>
        <v/>
      </c>
      <c r="Y79" s="16" t="str">
        <f>IF($A79="","",SUMIFS('PI Furnizor'!$D$7:$D$506,'PI Furnizor'!$A$7:$A$506,$A79))</f>
        <v/>
      </c>
      <c r="Z79" s="9" t="str">
        <f>IF($A79="","",SUMIFS('PI Furnizor'!$O$7:$O$506,'PI Furnizor'!$A$7:$A$506,$A79))</f>
        <v/>
      </c>
      <c r="AA79" s="10" t="str">
        <f>IF($A79="","",SUMIFS('PI Furnizor'!$Q$7:$Q$506,'PI Furnizor'!$A$7:$A$506,$A79))</f>
        <v/>
      </c>
      <c r="AB79" s="56" t="str">
        <f>IF($A79="","",SUMIFS('PI Furnizor'!$N$7:$N$506,'PI Furnizor'!$A$7:$A$506,$A79))</f>
        <v/>
      </c>
      <c r="AC79" s="55" t="str">
        <f t="shared" si="32"/>
        <v/>
      </c>
      <c r="AD79" s="9" t="str">
        <f t="shared" si="33"/>
        <v/>
      </c>
      <c r="AE79" s="9" t="str">
        <f t="shared" si="34"/>
        <v/>
      </c>
      <c r="AF79" s="9" t="str">
        <f t="shared" si="35"/>
        <v/>
      </c>
      <c r="AG79" s="18" t="str">
        <f t="shared" si="36"/>
        <v/>
      </c>
      <c r="AH79" s="17" t="str">
        <f t="shared" si="37"/>
        <v/>
      </c>
      <c r="AI79" s="17" t="str">
        <f t="shared" si="38"/>
        <v/>
      </c>
      <c r="AJ79" s="17" t="str">
        <f t="shared" si="39"/>
        <v/>
      </c>
      <c r="AK79" s="17" t="str">
        <f t="shared" si="40"/>
        <v/>
      </c>
      <c r="AL79" s="19" t="str">
        <f t="shared" si="41"/>
        <v/>
      </c>
      <c r="AM79" s="19" t="str">
        <f t="shared" si="42"/>
        <v/>
      </c>
      <c r="AN79" s="9" t="str">
        <f t="shared" si="43"/>
        <v/>
      </c>
      <c r="AO79" s="18" t="str">
        <f>IF($A79="","",SUMIFS('Calculator Cost per Bucata'!$V$10:$V$509,'Calculator Cost per Bucata'!$A$10:$A$509,$A79))</f>
        <v/>
      </c>
      <c r="AP79" s="17" t="str">
        <f t="shared" si="44"/>
        <v/>
      </c>
      <c r="AQ79" s="20" t="str">
        <f>IF($A79="","",SUMIFS('Calculator Cost per Bucata'!$W$10:$W$509,'Calculator Cost per Bucata'!$A$10:$A$509,$A79))</f>
        <v/>
      </c>
      <c r="AR79" s="21" t="str">
        <f t="shared" si="45"/>
        <v/>
      </c>
      <c r="AS79" s="22" t="str">
        <f t="shared" si="46"/>
        <v/>
      </c>
      <c r="AT79" s="23" t="str">
        <f t="shared" si="47"/>
        <v/>
      </c>
    </row>
    <row r="80" spans="1:46" x14ac:dyDescent="0.3">
      <c r="A80" s="12"/>
      <c r="B80" s="13"/>
      <c r="C80" s="2"/>
      <c r="D80" s="2"/>
      <c r="E80" s="2"/>
      <c r="F80" s="2"/>
      <c r="G80" s="12"/>
      <c r="H80" s="7"/>
      <c r="I80" s="7"/>
      <c r="J80" s="12"/>
      <c r="K80" s="12"/>
      <c r="L80" s="4"/>
      <c r="M80" s="4"/>
      <c r="N80" s="12"/>
      <c r="O80" s="4"/>
      <c r="P80" s="5"/>
      <c r="Q80" s="14"/>
      <c r="R80" s="5"/>
      <c r="S80" s="14"/>
      <c r="T80" s="4"/>
      <c r="U80" s="11"/>
      <c r="V80" s="11"/>
      <c r="W80" s="12"/>
      <c r="X80" s="15" t="str">
        <f>IF($A80="","",COUNTIFS('PI Furnizor'!$A$7:$A$506,$A80,'PI Furnizor'!$D$7:$D$506,"&gt;0"))</f>
        <v/>
      </c>
      <c r="Y80" s="16" t="str">
        <f>IF($A80="","",SUMIFS('PI Furnizor'!$D$7:$D$506,'PI Furnizor'!$A$7:$A$506,$A80))</f>
        <v/>
      </c>
      <c r="Z80" s="9" t="str">
        <f>IF($A80="","",SUMIFS('PI Furnizor'!$O$7:$O$506,'PI Furnizor'!$A$7:$A$506,$A80))</f>
        <v/>
      </c>
      <c r="AA80" s="10" t="str">
        <f>IF($A80="","",SUMIFS('PI Furnizor'!$Q$7:$Q$506,'PI Furnizor'!$A$7:$A$506,$A80))</f>
        <v/>
      </c>
      <c r="AB80" s="56" t="str">
        <f>IF($A80="","",SUMIFS('PI Furnizor'!$N$7:$N$506,'PI Furnizor'!$A$7:$A$506,$A80))</f>
        <v/>
      </c>
      <c r="AC80" s="55" t="str">
        <f t="shared" si="32"/>
        <v/>
      </c>
      <c r="AD80" s="9" t="str">
        <f t="shared" si="33"/>
        <v/>
      </c>
      <c r="AE80" s="9" t="str">
        <f t="shared" si="34"/>
        <v/>
      </c>
      <c r="AF80" s="9" t="str">
        <f t="shared" si="35"/>
        <v/>
      </c>
      <c r="AG80" s="18" t="str">
        <f t="shared" si="36"/>
        <v/>
      </c>
      <c r="AH80" s="17" t="str">
        <f t="shared" si="37"/>
        <v/>
      </c>
      <c r="AI80" s="17" t="str">
        <f t="shared" si="38"/>
        <v/>
      </c>
      <c r="AJ80" s="17" t="str">
        <f t="shared" si="39"/>
        <v/>
      </c>
      <c r="AK80" s="17" t="str">
        <f t="shared" si="40"/>
        <v/>
      </c>
      <c r="AL80" s="19" t="str">
        <f t="shared" si="41"/>
        <v/>
      </c>
      <c r="AM80" s="19" t="str">
        <f t="shared" si="42"/>
        <v/>
      </c>
      <c r="AN80" s="9" t="str">
        <f t="shared" si="43"/>
        <v/>
      </c>
      <c r="AO80" s="18" t="str">
        <f>IF($A80="","",SUMIFS('Calculator Cost per Bucata'!$V$10:$V$509,'Calculator Cost per Bucata'!$A$10:$A$509,$A80))</f>
        <v/>
      </c>
      <c r="AP80" s="17" t="str">
        <f t="shared" si="44"/>
        <v/>
      </c>
      <c r="AQ80" s="20" t="str">
        <f>IF($A80="","",SUMIFS('Calculator Cost per Bucata'!$W$10:$W$509,'Calculator Cost per Bucata'!$A$10:$A$509,$A80))</f>
        <v/>
      </c>
      <c r="AR80" s="21" t="str">
        <f t="shared" si="45"/>
        <v/>
      </c>
      <c r="AS80" s="22" t="str">
        <f t="shared" si="46"/>
        <v/>
      </c>
      <c r="AT80" s="23" t="str">
        <f t="shared" si="47"/>
        <v/>
      </c>
    </row>
    <row r="81" spans="1:46" x14ac:dyDescent="0.3">
      <c r="A81" s="12"/>
      <c r="B81" s="13"/>
      <c r="C81" s="2"/>
      <c r="D81" s="2"/>
      <c r="E81" s="2"/>
      <c r="F81" s="2"/>
      <c r="G81" s="12"/>
      <c r="H81" s="7"/>
      <c r="I81" s="7"/>
      <c r="J81" s="12"/>
      <c r="K81" s="12"/>
      <c r="L81" s="4"/>
      <c r="M81" s="4"/>
      <c r="N81" s="12"/>
      <c r="O81" s="4"/>
      <c r="P81" s="5"/>
      <c r="Q81" s="14"/>
      <c r="R81" s="5"/>
      <c r="S81" s="14"/>
      <c r="T81" s="4"/>
      <c r="U81" s="11"/>
      <c r="V81" s="11"/>
      <c r="W81" s="12"/>
      <c r="X81" s="15" t="str">
        <f>IF($A81="","",COUNTIFS('PI Furnizor'!$A$7:$A$506,$A81,'PI Furnizor'!$D$7:$D$506,"&gt;0"))</f>
        <v/>
      </c>
      <c r="Y81" s="16" t="str">
        <f>IF($A81="","",SUMIFS('PI Furnizor'!$D$7:$D$506,'PI Furnizor'!$A$7:$A$506,$A81))</f>
        <v/>
      </c>
      <c r="Z81" s="9" t="str">
        <f>IF($A81="","",SUMIFS('PI Furnizor'!$O$7:$O$506,'PI Furnizor'!$A$7:$A$506,$A81))</f>
        <v/>
      </c>
      <c r="AA81" s="10" t="str">
        <f>IF($A81="","",SUMIFS('PI Furnizor'!$Q$7:$Q$506,'PI Furnizor'!$A$7:$A$506,$A81))</f>
        <v/>
      </c>
      <c r="AB81" s="56" t="str">
        <f>IF($A81="","",SUMIFS('PI Furnizor'!$N$7:$N$506,'PI Furnizor'!$A$7:$A$506,$A81))</f>
        <v/>
      </c>
      <c r="AC81" s="55" t="str">
        <f t="shared" si="32"/>
        <v/>
      </c>
      <c r="AD81" s="9" t="str">
        <f t="shared" si="33"/>
        <v/>
      </c>
      <c r="AE81" s="9" t="str">
        <f t="shared" si="34"/>
        <v/>
      </c>
      <c r="AF81" s="9" t="str">
        <f t="shared" si="35"/>
        <v/>
      </c>
      <c r="AG81" s="18" t="str">
        <f t="shared" si="36"/>
        <v/>
      </c>
      <c r="AH81" s="17" t="str">
        <f t="shared" si="37"/>
        <v/>
      </c>
      <c r="AI81" s="17" t="str">
        <f t="shared" si="38"/>
        <v/>
      </c>
      <c r="AJ81" s="17" t="str">
        <f t="shared" si="39"/>
        <v/>
      </c>
      <c r="AK81" s="17" t="str">
        <f t="shared" si="40"/>
        <v/>
      </c>
      <c r="AL81" s="19" t="str">
        <f t="shared" si="41"/>
        <v/>
      </c>
      <c r="AM81" s="19" t="str">
        <f t="shared" si="42"/>
        <v/>
      </c>
      <c r="AN81" s="9" t="str">
        <f t="shared" si="43"/>
        <v/>
      </c>
      <c r="AO81" s="18" t="str">
        <f>IF($A81="","",SUMIFS('Calculator Cost per Bucata'!$V$10:$V$509,'Calculator Cost per Bucata'!$A$10:$A$509,$A81))</f>
        <v/>
      </c>
      <c r="AP81" s="17" t="str">
        <f t="shared" si="44"/>
        <v/>
      </c>
      <c r="AQ81" s="20" t="str">
        <f>IF($A81="","",SUMIFS('Calculator Cost per Bucata'!$W$10:$W$509,'Calculator Cost per Bucata'!$A$10:$A$509,$A81))</f>
        <v/>
      </c>
      <c r="AR81" s="21" t="str">
        <f t="shared" si="45"/>
        <v/>
      </c>
      <c r="AS81" s="22" t="str">
        <f t="shared" si="46"/>
        <v/>
      </c>
      <c r="AT81" s="23" t="str">
        <f t="shared" si="47"/>
        <v/>
      </c>
    </row>
    <row r="82" spans="1:46" x14ac:dyDescent="0.3">
      <c r="A82" s="12"/>
      <c r="B82" s="13"/>
      <c r="C82" s="2"/>
      <c r="D82" s="2"/>
      <c r="E82" s="2"/>
      <c r="F82" s="2"/>
      <c r="G82" s="12"/>
      <c r="H82" s="7"/>
      <c r="I82" s="7"/>
      <c r="J82" s="12"/>
      <c r="K82" s="12"/>
      <c r="L82" s="4"/>
      <c r="M82" s="4"/>
      <c r="N82" s="12"/>
      <c r="O82" s="4"/>
      <c r="P82" s="5"/>
      <c r="Q82" s="14"/>
      <c r="R82" s="5"/>
      <c r="S82" s="14"/>
      <c r="T82" s="4"/>
      <c r="U82" s="11"/>
      <c r="V82" s="11"/>
      <c r="W82" s="12"/>
      <c r="X82" s="15" t="str">
        <f>IF($A82="","",COUNTIFS('PI Furnizor'!$A$7:$A$506,$A82,'PI Furnizor'!$D$7:$D$506,"&gt;0"))</f>
        <v/>
      </c>
      <c r="Y82" s="16" t="str">
        <f>IF($A82="","",SUMIFS('PI Furnizor'!$D$7:$D$506,'PI Furnizor'!$A$7:$A$506,$A82))</f>
        <v/>
      </c>
      <c r="Z82" s="9" t="str">
        <f>IF($A82="","",SUMIFS('PI Furnizor'!$O$7:$O$506,'PI Furnizor'!$A$7:$A$506,$A82))</f>
        <v/>
      </c>
      <c r="AA82" s="10" t="str">
        <f>IF($A82="","",SUMIFS('PI Furnizor'!$Q$7:$Q$506,'PI Furnizor'!$A$7:$A$506,$A82))</f>
        <v/>
      </c>
      <c r="AB82" s="56" t="str">
        <f>IF($A82="","",SUMIFS('PI Furnizor'!$N$7:$N$506,'PI Furnizor'!$A$7:$A$506,$A82))</f>
        <v/>
      </c>
      <c r="AC82" s="55" t="str">
        <f t="shared" si="32"/>
        <v/>
      </c>
      <c r="AD82" s="9" t="str">
        <f t="shared" si="33"/>
        <v/>
      </c>
      <c r="AE82" s="9" t="str">
        <f t="shared" si="34"/>
        <v/>
      </c>
      <c r="AF82" s="9" t="str">
        <f t="shared" si="35"/>
        <v/>
      </c>
      <c r="AG82" s="18" t="str">
        <f t="shared" si="36"/>
        <v/>
      </c>
      <c r="AH82" s="17" t="str">
        <f t="shared" si="37"/>
        <v/>
      </c>
      <c r="AI82" s="17" t="str">
        <f t="shared" si="38"/>
        <v/>
      </c>
      <c r="AJ82" s="17" t="str">
        <f t="shared" si="39"/>
        <v/>
      </c>
      <c r="AK82" s="17" t="str">
        <f t="shared" si="40"/>
        <v/>
      </c>
      <c r="AL82" s="19" t="str">
        <f t="shared" si="41"/>
        <v/>
      </c>
      <c r="AM82" s="19" t="str">
        <f t="shared" si="42"/>
        <v/>
      </c>
      <c r="AN82" s="9" t="str">
        <f t="shared" si="43"/>
        <v/>
      </c>
      <c r="AO82" s="18" t="str">
        <f>IF($A82="","",SUMIFS('Calculator Cost per Bucata'!$V$10:$V$509,'Calculator Cost per Bucata'!$A$10:$A$509,$A82))</f>
        <v/>
      </c>
      <c r="AP82" s="17" t="str">
        <f t="shared" si="44"/>
        <v/>
      </c>
      <c r="AQ82" s="20" t="str">
        <f>IF($A82="","",SUMIFS('Calculator Cost per Bucata'!$W$10:$W$509,'Calculator Cost per Bucata'!$A$10:$A$509,$A82))</f>
        <v/>
      </c>
      <c r="AR82" s="21" t="str">
        <f t="shared" si="45"/>
        <v/>
      </c>
      <c r="AS82" s="22" t="str">
        <f t="shared" si="46"/>
        <v/>
      </c>
      <c r="AT82" s="23" t="str">
        <f t="shared" si="47"/>
        <v/>
      </c>
    </row>
    <row r="83" spans="1:46" x14ac:dyDescent="0.3">
      <c r="A83" s="12"/>
      <c r="B83" s="13"/>
      <c r="C83" s="2"/>
      <c r="D83" s="2"/>
      <c r="E83" s="2"/>
      <c r="F83" s="2"/>
      <c r="G83" s="12"/>
      <c r="H83" s="7"/>
      <c r="I83" s="7"/>
      <c r="J83" s="12"/>
      <c r="K83" s="12"/>
      <c r="L83" s="4"/>
      <c r="M83" s="4"/>
      <c r="N83" s="12"/>
      <c r="O83" s="4"/>
      <c r="P83" s="5"/>
      <c r="Q83" s="14"/>
      <c r="R83" s="5"/>
      <c r="S83" s="14"/>
      <c r="T83" s="4"/>
      <c r="U83" s="11"/>
      <c r="V83" s="11"/>
      <c r="W83" s="12"/>
      <c r="X83" s="15" t="str">
        <f>IF($A83="","",COUNTIFS('PI Furnizor'!$A$7:$A$506,$A83,'PI Furnizor'!$D$7:$D$506,"&gt;0"))</f>
        <v/>
      </c>
      <c r="Y83" s="16" t="str">
        <f>IF($A83="","",SUMIFS('PI Furnizor'!$D$7:$D$506,'PI Furnizor'!$A$7:$A$506,$A83))</f>
        <v/>
      </c>
      <c r="Z83" s="9" t="str">
        <f>IF($A83="","",SUMIFS('PI Furnizor'!$O$7:$O$506,'PI Furnizor'!$A$7:$A$506,$A83))</f>
        <v/>
      </c>
      <c r="AA83" s="10" t="str">
        <f>IF($A83="","",SUMIFS('PI Furnizor'!$Q$7:$Q$506,'PI Furnizor'!$A$7:$A$506,$A83))</f>
        <v/>
      </c>
      <c r="AB83" s="56" t="str">
        <f>IF($A83="","",SUMIFS('PI Furnizor'!$N$7:$N$506,'PI Furnizor'!$A$7:$A$506,$A83))</f>
        <v/>
      </c>
      <c r="AC83" s="55" t="str">
        <f t="shared" si="32"/>
        <v/>
      </c>
      <c r="AD83" s="9" t="str">
        <f t="shared" si="33"/>
        <v/>
      </c>
      <c r="AE83" s="9" t="str">
        <f t="shared" si="34"/>
        <v/>
      </c>
      <c r="AF83" s="9" t="str">
        <f t="shared" si="35"/>
        <v/>
      </c>
      <c r="AG83" s="18" t="str">
        <f t="shared" si="36"/>
        <v/>
      </c>
      <c r="AH83" s="17" t="str">
        <f t="shared" si="37"/>
        <v/>
      </c>
      <c r="AI83" s="17" t="str">
        <f t="shared" si="38"/>
        <v/>
      </c>
      <c r="AJ83" s="17" t="str">
        <f t="shared" si="39"/>
        <v/>
      </c>
      <c r="AK83" s="17" t="str">
        <f t="shared" si="40"/>
        <v/>
      </c>
      <c r="AL83" s="19" t="str">
        <f t="shared" si="41"/>
        <v/>
      </c>
      <c r="AM83" s="19" t="str">
        <f t="shared" si="42"/>
        <v/>
      </c>
      <c r="AN83" s="9" t="str">
        <f t="shared" si="43"/>
        <v/>
      </c>
      <c r="AO83" s="18" t="str">
        <f>IF($A83="","",SUMIFS('Calculator Cost per Bucata'!$V$10:$V$509,'Calculator Cost per Bucata'!$A$10:$A$509,$A83))</f>
        <v/>
      </c>
      <c r="AP83" s="17" t="str">
        <f t="shared" si="44"/>
        <v/>
      </c>
      <c r="AQ83" s="20" t="str">
        <f>IF($A83="","",SUMIFS('Calculator Cost per Bucata'!$W$10:$W$509,'Calculator Cost per Bucata'!$A$10:$A$509,$A83))</f>
        <v/>
      </c>
      <c r="AR83" s="21" t="str">
        <f t="shared" si="45"/>
        <v/>
      </c>
      <c r="AS83" s="22" t="str">
        <f t="shared" si="46"/>
        <v/>
      </c>
      <c r="AT83" s="23" t="str">
        <f t="shared" si="47"/>
        <v/>
      </c>
    </row>
    <row r="84" spans="1:46" x14ac:dyDescent="0.3">
      <c r="A84" s="12"/>
      <c r="B84" s="13"/>
      <c r="C84" s="2"/>
      <c r="D84" s="2"/>
      <c r="E84" s="2"/>
      <c r="F84" s="2"/>
      <c r="G84" s="12"/>
      <c r="H84" s="7"/>
      <c r="I84" s="7"/>
      <c r="J84" s="12"/>
      <c r="K84" s="12"/>
      <c r="L84" s="4"/>
      <c r="M84" s="4"/>
      <c r="N84" s="12"/>
      <c r="O84" s="4"/>
      <c r="P84" s="5"/>
      <c r="Q84" s="14"/>
      <c r="R84" s="5"/>
      <c r="S84" s="14"/>
      <c r="T84" s="4"/>
      <c r="U84" s="11"/>
      <c r="V84" s="11"/>
      <c r="W84" s="12"/>
      <c r="X84" s="15" t="str">
        <f>IF($A84="","",COUNTIFS('PI Furnizor'!$A$7:$A$506,$A84,'PI Furnizor'!$D$7:$D$506,"&gt;0"))</f>
        <v/>
      </c>
      <c r="Y84" s="16" t="str">
        <f>IF($A84="","",SUMIFS('PI Furnizor'!$D$7:$D$506,'PI Furnizor'!$A$7:$A$506,$A84))</f>
        <v/>
      </c>
      <c r="Z84" s="9" t="str">
        <f>IF($A84="","",SUMIFS('PI Furnizor'!$O$7:$O$506,'PI Furnizor'!$A$7:$A$506,$A84))</f>
        <v/>
      </c>
      <c r="AA84" s="10" t="str">
        <f>IF($A84="","",SUMIFS('PI Furnizor'!$Q$7:$Q$506,'PI Furnizor'!$A$7:$A$506,$A84))</f>
        <v/>
      </c>
      <c r="AB84" s="56" t="str">
        <f>IF($A84="","",SUMIFS('PI Furnizor'!$N$7:$N$506,'PI Furnizor'!$A$7:$A$506,$A84))</f>
        <v/>
      </c>
      <c r="AC84" s="55" t="str">
        <f t="shared" si="32"/>
        <v/>
      </c>
      <c r="AD84" s="9" t="str">
        <f t="shared" si="33"/>
        <v/>
      </c>
      <c r="AE84" s="9" t="str">
        <f t="shared" si="34"/>
        <v/>
      </c>
      <c r="AF84" s="9" t="str">
        <f t="shared" si="35"/>
        <v/>
      </c>
      <c r="AG84" s="18" t="str">
        <f t="shared" si="36"/>
        <v/>
      </c>
      <c r="AH84" s="17" t="str">
        <f t="shared" si="37"/>
        <v/>
      </c>
      <c r="AI84" s="17" t="str">
        <f t="shared" si="38"/>
        <v/>
      </c>
      <c r="AJ84" s="17" t="str">
        <f t="shared" si="39"/>
        <v/>
      </c>
      <c r="AK84" s="17" t="str">
        <f t="shared" si="40"/>
        <v/>
      </c>
      <c r="AL84" s="19" t="str">
        <f t="shared" si="41"/>
        <v/>
      </c>
      <c r="AM84" s="19" t="str">
        <f t="shared" si="42"/>
        <v/>
      </c>
      <c r="AN84" s="9" t="str">
        <f t="shared" si="43"/>
        <v/>
      </c>
      <c r="AO84" s="18" t="str">
        <f>IF($A84="","",SUMIFS('Calculator Cost per Bucata'!$V$10:$V$509,'Calculator Cost per Bucata'!$A$10:$A$509,$A84))</f>
        <v/>
      </c>
      <c r="AP84" s="17" t="str">
        <f t="shared" si="44"/>
        <v/>
      </c>
      <c r="AQ84" s="20" t="str">
        <f>IF($A84="","",SUMIFS('Calculator Cost per Bucata'!$W$10:$W$509,'Calculator Cost per Bucata'!$A$10:$A$509,$A84))</f>
        <v/>
      </c>
      <c r="AR84" s="21" t="str">
        <f t="shared" si="45"/>
        <v/>
      </c>
      <c r="AS84" s="22" t="str">
        <f t="shared" si="46"/>
        <v/>
      </c>
      <c r="AT84" s="23" t="str">
        <f t="shared" si="47"/>
        <v/>
      </c>
    </row>
    <row r="85" spans="1:46" x14ac:dyDescent="0.3">
      <c r="A85" s="12"/>
      <c r="B85" s="13"/>
      <c r="C85" s="2"/>
      <c r="D85" s="2"/>
      <c r="E85" s="2"/>
      <c r="F85" s="2"/>
      <c r="G85" s="12"/>
      <c r="H85" s="7"/>
      <c r="I85" s="7"/>
      <c r="J85" s="12"/>
      <c r="K85" s="12"/>
      <c r="L85" s="4"/>
      <c r="M85" s="4"/>
      <c r="N85" s="12"/>
      <c r="O85" s="4"/>
      <c r="P85" s="5"/>
      <c r="Q85" s="14"/>
      <c r="R85" s="5"/>
      <c r="S85" s="14"/>
      <c r="T85" s="4"/>
      <c r="U85" s="11"/>
      <c r="V85" s="11"/>
      <c r="W85" s="12"/>
      <c r="X85" s="15" t="str">
        <f>IF($A85="","",COUNTIFS('PI Furnizor'!$A$7:$A$506,$A85,'PI Furnizor'!$D$7:$D$506,"&gt;0"))</f>
        <v/>
      </c>
      <c r="Y85" s="16" t="str">
        <f>IF($A85="","",SUMIFS('PI Furnizor'!$D$7:$D$506,'PI Furnizor'!$A$7:$A$506,$A85))</f>
        <v/>
      </c>
      <c r="Z85" s="9" t="str">
        <f>IF($A85="","",SUMIFS('PI Furnizor'!$O$7:$O$506,'PI Furnizor'!$A$7:$A$506,$A85))</f>
        <v/>
      </c>
      <c r="AA85" s="10" t="str">
        <f>IF($A85="","",SUMIFS('PI Furnizor'!$Q$7:$Q$506,'PI Furnizor'!$A$7:$A$506,$A85))</f>
        <v/>
      </c>
      <c r="AB85" s="56" t="str">
        <f>IF($A85="","",SUMIFS('PI Furnizor'!$N$7:$N$506,'PI Furnizor'!$A$7:$A$506,$A85))</f>
        <v/>
      </c>
      <c r="AC85" s="55" t="str">
        <f t="shared" si="32"/>
        <v/>
      </c>
      <c r="AD85" s="9" t="str">
        <f t="shared" si="33"/>
        <v/>
      </c>
      <c r="AE85" s="9" t="str">
        <f t="shared" si="34"/>
        <v/>
      </c>
      <c r="AF85" s="9" t="str">
        <f t="shared" si="35"/>
        <v/>
      </c>
      <c r="AG85" s="18" t="str">
        <f t="shared" si="36"/>
        <v/>
      </c>
      <c r="AH85" s="17" t="str">
        <f t="shared" si="37"/>
        <v/>
      </c>
      <c r="AI85" s="17" t="str">
        <f t="shared" si="38"/>
        <v/>
      </c>
      <c r="AJ85" s="17" t="str">
        <f t="shared" si="39"/>
        <v/>
      </c>
      <c r="AK85" s="17" t="str">
        <f t="shared" si="40"/>
        <v/>
      </c>
      <c r="AL85" s="19" t="str">
        <f t="shared" si="41"/>
        <v/>
      </c>
      <c r="AM85" s="19" t="str">
        <f t="shared" si="42"/>
        <v/>
      </c>
      <c r="AN85" s="9" t="str">
        <f t="shared" si="43"/>
        <v/>
      </c>
      <c r="AO85" s="18" t="str">
        <f>IF($A85="","",SUMIFS('Calculator Cost per Bucata'!$V$10:$V$509,'Calculator Cost per Bucata'!$A$10:$A$509,$A85))</f>
        <v/>
      </c>
      <c r="AP85" s="17" t="str">
        <f t="shared" si="44"/>
        <v/>
      </c>
      <c r="AQ85" s="20" t="str">
        <f>IF($A85="","",SUMIFS('Calculator Cost per Bucata'!$W$10:$W$509,'Calculator Cost per Bucata'!$A$10:$A$509,$A85))</f>
        <v/>
      </c>
      <c r="AR85" s="21" t="str">
        <f t="shared" si="45"/>
        <v/>
      </c>
      <c r="AS85" s="22" t="str">
        <f t="shared" si="46"/>
        <v/>
      </c>
      <c r="AT85" s="23" t="str">
        <f t="shared" si="47"/>
        <v/>
      </c>
    </row>
    <row r="86" spans="1:46" x14ac:dyDescent="0.3">
      <c r="A86" s="12"/>
      <c r="B86" s="13"/>
      <c r="C86" s="2"/>
      <c r="D86" s="2"/>
      <c r="E86" s="2"/>
      <c r="F86" s="2"/>
      <c r="G86" s="12"/>
      <c r="H86" s="7"/>
      <c r="I86" s="7"/>
      <c r="J86" s="12"/>
      <c r="K86" s="12"/>
      <c r="L86" s="4"/>
      <c r="M86" s="4"/>
      <c r="N86" s="12"/>
      <c r="O86" s="4"/>
      <c r="P86" s="5"/>
      <c r="Q86" s="14"/>
      <c r="R86" s="5"/>
      <c r="S86" s="14"/>
      <c r="T86" s="4"/>
      <c r="U86" s="11"/>
      <c r="V86" s="11"/>
      <c r="W86" s="12"/>
      <c r="X86" s="15" t="str">
        <f>IF($A86="","",COUNTIFS('PI Furnizor'!$A$7:$A$506,$A86,'PI Furnizor'!$D$7:$D$506,"&gt;0"))</f>
        <v/>
      </c>
      <c r="Y86" s="16" t="str">
        <f>IF($A86="","",SUMIFS('PI Furnizor'!$D$7:$D$506,'PI Furnizor'!$A$7:$A$506,$A86))</f>
        <v/>
      </c>
      <c r="Z86" s="9" t="str">
        <f>IF($A86="","",SUMIFS('PI Furnizor'!$O$7:$O$506,'PI Furnizor'!$A$7:$A$506,$A86))</f>
        <v/>
      </c>
      <c r="AA86" s="10" t="str">
        <f>IF($A86="","",SUMIFS('PI Furnizor'!$Q$7:$Q$506,'PI Furnizor'!$A$7:$A$506,$A86))</f>
        <v/>
      </c>
      <c r="AB86" s="56" t="str">
        <f>IF($A86="","",SUMIFS('PI Furnizor'!$N$7:$N$506,'PI Furnizor'!$A$7:$A$506,$A86))</f>
        <v/>
      </c>
      <c r="AC86" s="55" t="str">
        <f t="shared" si="32"/>
        <v/>
      </c>
      <c r="AD86" s="9" t="str">
        <f t="shared" si="33"/>
        <v/>
      </c>
      <c r="AE86" s="9" t="str">
        <f t="shared" si="34"/>
        <v/>
      </c>
      <c r="AF86" s="9" t="str">
        <f t="shared" si="35"/>
        <v/>
      </c>
      <c r="AG86" s="18" t="str">
        <f t="shared" si="36"/>
        <v/>
      </c>
      <c r="AH86" s="17" t="str">
        <f t="shared" si="37"/>
        <v/>
      </c>
      <c r="AI86" s="17" t="str">
        <f t="shared" si="38"/>
        <v/>
      </c>
      <c r="AJ86" s="17" t="str">
        <f t="shared" si="39"/>
        <v/>
      </c>
      <c r="AK86" s="17" t="str">
        <f t="shared" si="40"/>
        <v/>
      </c>
      <c r="AL86" s="19" t="str">
        <f t="shared" si="41"/>
        <v/>
      </c>
      <c r="AM86" s="19" t="str">
        <f t="shared" si="42"/>
        <v/>
      </c>
      <c r="AN86" s="9" t="str">
        <f t="shared" si="43"/>
        <v/>
      </c>
      <c r="AO86" s="18" t="str">
        <f>IF($A86="","",SUMIFS('Calculator Cost per Bucata'!$V$10:$V$509,'Calculator Cost per Bucata'!$A$10:$A$509,$A86))</f>
        <v/>
      </c>
      <c r="AP86" s="17" t="str">
        <f t="shared" si="44"/>
        <v/>
      </c>
      <c r="AQ86" s="20" t="str">
        <f>IF($A86="","",SUMIFS('Calculator Cost per Bucata'!$W$10:$W$509,'Calculator Cost per Bucata'!$A$10:$A$509,$A86))</f>
        <v/>
      </c>
      <c r="AR86" s="21" t="str">
        <f t="shared" si="45"/>
        <v/>
      </c>
      <c r="AS86" s="22" t="str">
        <f t="shared" si="46"/>
        <v/>
      </c>
      <c r="AT86" s="23" t="str">
        <f t="shared" si="47"/>
        <v/>
      </c>
    </row>
    <row r="87" spans="1:46" x14ac:dyDescent="0.3">
      <c r="A87" s="12"/>
      <c r="B87" s="13"/>
      <c r="C87" s="2"/>
      <c r="D87" s="2"/>
      <c r="E87" s="2"/>
      <c r="F87" s="2"/>
      <c r="G87" s="12"/>
      <c r="H87" s="7"/>
      <c r="I87" s="7"/>
      <c r="J87" s="12"/>
      <c r="K87" s="12"/>
      <c r="L87" s="4"/>
      <c r="M87" s="4"/>
      <c r="N87" s="12"/>
      <c r="O87" s="4"/>
      <c r="P87" s="5"/>
      <c r="Q87" s="14"/>
      <c r="R87" s="5"/>
      <c r="S87" s="14"/>
      <c r="T87" s="4"/>
      <c r="U87" s="11"/>
      <c r="V87" s="11"/>
      <c r="W87" s="12"/>
      <c r="X87" s="15" t="str">
        <f>IF($A87="","",COUNTIFS('PI Furnizor'!$A$7:$A$506,$A87,'PI Furnizor'!$D$7:$D$506,"&gt;0"))</f>
        <v/>
      </c>
      <c r="Y87" s="16" t="str">
        <f>IF($A87="","",SUMIFS('PI Furnizor'!$D$7:$D$506,'PI Furnizor'!$A$7:$A$506,$A87))</f>
        <v/>
      </c>
      <c r="Z87" s="9" t="str">
        <f>IF($A87="","",SUMIFS('PI Furnizor'!$O$7:$O$506,'PI Furnizor'!$A$7:$A$506,$A87))</f>
        <v/>
      </c>
      <c r="AA87" s="10" t="str">
        <f>IF($A87="","",SUMIFS('PI Furnizor'!$Q$7:$Q$506,'PI Furnizor'!$A$7:$A$506,$A87))</f>
        <v/>
      </c>
      <c r="AB87" s="56" t="str">
        <f>IF($A87="","",SUMIFS('PI Furnizor'!$N$7:$N$506,'PI Furnizor'!$A$7:$A$506,$A87))</f>
        <v/>
      </c>
      <c r="AC87" s="55" t="str">
        <f t="shared" si="32"/>
        <v/>
      </c>
      <c r="AD87" s="9" t="str">
        <f t="shared" si="33"/>
        <v/>
      </c>
      <c r="AE87" s="9" t="str">
        <f t="shared" si="34"/>
        <v/>
      </c>
      <c r="AF87" s="9" t="str">
        <f t="shared" si="35"/>
        <v/>
      </c>
      <c r="AG87" s="18" t="str">
        <f t="shared" si="36"/>
        <v/>
      </c>
      <c r="AH87" s="17" t="str">
        <f t="shared" si="37"/>
        <v/>
      </c>
      <c r="AI87" s="17" t="str">
        <f t="shared" si="38"/>
        <v/>
      </c>
      <c r="AJ87" s="17" t="str">
        <f t="shared" si="39"/>
        <v/>
      </c>
      <c r="AK87" s="17" t="str">
        <f t="shared" si="40"/>
        <v/>
      </c>
      <c r="AL87" s="19" t="str">
        <f t="shared" si="41"/>
        <v/>
      </c>
      <c r="AM87" s="19" t="str">
        <f t="shared" si="42"/>
        <v/>
      </c>
      <c r="AN87" s="9" t="str">
        <f t="shared" si="43"/>
        <v/>
      </c>
      <c r="AO87" s="18" t="str">
        <f>IF($A87="","",SUMIFS('Calculator Cost per Bucata'!$V$10:$V$509,'Calculator Cost per Bucata'!$A$10:$A$509,$A87))</f>
        <v/>
      </c>
      <c r="AP87" s="17" t="str">
        <f t="shared" si="44"/>
        <v/>
      </c>
      <c r="AQ87" s="20" t="str">
        <f>IF($A87="","",SUMIFS('Calculator Cost per Bucata'!$W$10:$W$509,'Calculator Cost per Bucata'!$A$10:$A$509,$A87))</f>
        <v/>
      </c>
      <c r="AR87" s="21" t="str">
        <f t="shared" si="45"/>
        <v/>
      </c>
      <c r="AS87" s="22" t="str">
        <f t="shared" si="46"/>
        <v/>
      </c>
      <c r="AT87" s="23" t="str">
        <f t="shared" si="47"/>
        <v/>
      </c>
    </row>
    <row r="88" spans="1:46" x14ac:dyDescent="0.3">
      <c r="A88" s="12"/>
      <c r="B88" s="13"/>
      <c r="C88" s="2"/>
      <c r="D88" s="2"/>
      <c r="E88" s="2"/>
      <c r="F88" s="2"/>
      <c r="G88" s="12"/>
      <c r="H88" s="7"/>
      <c r="I88" s="7"/>
      <c r="J88" s="12"/>
      <c r="K88" s="12"/>
      <c r="L88" s="4"/>
      <c r="M88" s="4"/>
      <c r="N88" s="12"/>
      <c r="O88" s="4"/>
      <c r="P88" s="5"/>
      <c r="Q88" s="14"/>
      <c r="R88" s="5"/>
      <c r="S88" s="14"/>
      <c r="T88" s="4"/>
      <c r="U88" s="11"/>
      <c r="V88" s="11"/>
      <c r="W88" s="12"/>
      <c r="X88" s="15" t="str">
        <f>IF($A88="","",COUNTIFS('PI Furnizor'!$A$7:$A$506,$A88,'PI Furnizor'!$D$7:$D$506,"&gt;0"))</f>
        <v/>
      </c>
      <c r="Y88" s="16" t="str">
        <f>IF($A88="","",SUMIFS('PI Furnizor'!$D$7:$D$506,'PI Furnizor'!$A$7:$A$506,$A88))</f>
        <v/>
      </c>
      <c r="Z88" s="9" t="str">
        <f>IF($A88="","",SUMIFS('PI Furnizor'!$O$7:$O$506,'PI Furnizor'!$A$7:$A$506,$A88))</f>
        <v/>
      </c>
      <c r="AA88" s="10" t="str">
        <f>IF($A88="","",SUMIFS('PI Furnizor'!$Q$7:$Q$506,'PI Furnizor'!$A$7:$A$506,$A88))</f>
        <v/>
      </c>
      <c r="AB88" s="56" t="str">
        <f>IF($A88="","",SUMIFS('PI Furnizor'!$N$7:$N$506,'PI Furnizor'!$A$7:$A$506,$A88))</f>
        <v/>
      </c>
      <c r="AC88" s="55" t="str">
        <f t="shared" si="32"/>
        <v/>
      </c>
      <c r="AD88" s="9" t="str">
        <f t="shared" si="33"/>
        <v/>
      </c>
      <c r="AE88" s="9" t="str">
        <f t="shared" si="34"/>
        <v/>
      </c>
      <c r="AF88" s="9" t="str">
        <f t="shared" si="35"/>
        <v/>
      </c>
      <c r="AG88" s="18" t="str">
        <f t="shared" si="36"/>
        <v/>
      </c>
      <c r="AH88" s="17" t="str">
        <f t="shared" si="37"/>
        <v/>
      </c>
      <c r="AI88" s="17" t="str">
        <f t="shared" si="38"/>
        <v/>
      </c>
      <c r="AJ88" s="17" t="str">
        <f t="shared" si="39"/>
        <v/>
      </c>
      <c r="AK88" s="17" t="str">
        <f t="shared" si="40"/>
        <v/>
      </c>
      <c r="AL88" s="19" t="str">
        <f t="shared" si="41"/>
        <v/>
      </c>
      <c r="AM88" s="19" t="str">
        <f t="shared" si="42"/>
        <v/>
      </c>
      <c r="AN88" s="9" t="str">
        <f t="shared" si="43"/>
        <v/>
      </c>
      <c r="AO88" s="18" t="str">
        <f>IF($A88="","",SUMIFS('Calculator Cost per Bucata'!$V$10:$V$509,'Calculator Cost per Bucata'!$A$10:$A$509,$A88))</f>
        <v/>
      </c>
      <c r="AP88" s="17" t="str">
        <f t="shared" si="44"/>
        <v/>
      </c>
      <c r="AQ88" s="20" t="str">
        <f>IF($A88="","",SUMIFS('Calculator Cost per Bucata'!$W$10:$W$509,'Calculator Cost per Bucata'!$A$10:$A$509,$A88))</f>
        <v/>
      </c>
      <c r="AR88" s="21" t="str">
        <f t="shared" si="45"/>
        <v/>
      </c>
      <c r="AS88" s="22" t="str">
        <f t="shared" si="46"/>
        <v/>
      </c>
      <c r="AT88" s="23" t="str">
        <f t="shared" si="47"/>
        <v/>
      </c>
    </row>
    <row r="89" spans="1:46" x14ac:dyDescent="0.3">
      <c r="A89" s="12"/>
      <c r="B89" s="13"/>
      <c r="C89" s="2"/>
      <c r="D89" s="2"/>
      <c r="E89" s="2"/>
      <c r="F89" s="2"/>
      <c r="G89" s="12"/>
      <c r="H89" s="7"/>
      <c r="I89" s="7"/>
      <c r="J89" s="12"/>
      <c r="K89" s="12"/>
      <c r="L89" s="4"/>
      <c r="M89" s="4"/>
      <c r="N89" s="12"/>
      <c r="O89" s="4"/>
      <c r="P89" s="5"/>
      <c r="Q89" s="14"/>
      <c r="R89" s="5"/>
      <c r="S89" s="14"/>
      <c r="T89" s="4"/>
      <c r="U89" s="11"/>
      <c r="V89" s="11"/>
      <c r="W89" s="12"/>
      <c r="X89" s="15" t="str">
        <f>IF($A89="","",COUNTIFS('PI Furnizor'!$A$7:$A$506,$A89,'PI Furnizor'!$D$7:$D$506,"&gt;0"))</f>
        <v/>
      </c>
      <c r="Y89" s="16" t="str">
        <f>IF($A89="","",SUMIFS('PI Furnizor'!$D$7:$D$506,'PI Furnizor'!$A$7:$A$506,$A89))</f>
        <v/>
      </c>
      <c r="Z89" s="9" t="str">
        <f>IF($A89="","",SUMIFS('PI Furnizor'!$O$7:$O$506,'PI Furnizor'!$A$7:$A$506,$A89))</f>
        <v/>
      </c>
      <c r="AA89" s="10" t="str">
        <f>IF($A89="","",SUMIFS('PI Furnizor'!$Q$7:$Q$506,'PI Furnizor'!$A$7:$A$506,$A89))</f>
        <v/>
      </c>
      <c r="AB89" s="56" t="str">
        <f>IF($A89="","",SUMIFS('PI Furnizor'!$N$7:$N$506,'PI Furnizor'!$A$7:$A$506,$A89))</f>
        <v/>
      </c>
      <c r="AC89" s="55" t="str">
        <f t="shared" si="32"/>
        <v/>
      </c>
      <c r="AD89" s="9" t="str">
        <f t="shared" si="33"/>
        <v/>
      </c>
      <c r="AE89" s="9" t="str">
        <f t="shared" si="34"/>
        <v/>
      </c>
      <c r="AF89" s="9" t="str">
        <f t="shared" si="35"/>
        <v/>
      </c>
      <c r="AG89" s="18" t="str">
        <f t="shared" si="36"/>
        <v/>
      </c>
      <c r="AH89" s="17" t="str">
        <f t="shared" si="37"/>
        <v/>
      </c>
      <c r="AI89" s="17" t="str">
        <f t="shared" si="38"/>
        <v/>
      </c>
      <c r="AJ89" s="17" t="str">
        <f t="shared" si="39"/>
        <v/>
      </c>
      <c r="AK89" s="17" t="str">
        <f t="shared" si="40"/>
        <v/>
      </c>
      <c r="AL89" s="19" t="str">
        <f t="shared" si="41"/>
        <v/>
      </c>
      <c r="AM89" s="19" t="str">
        <f t="shared" si="42"/>
        <v/>
      </c>
      <c r="AN89" s="9" t="str">
        <f t="shared" si="43"/>
        <v/>
      </c>
      <c r="AO89" s="18" t="str">
        <f>IF($A89="","",SUMIFS('Calculator Cost per Bucata'!$V$10:$V$509,'Calculator Cost per Bucata'!$A$10:$A$509,$A89))</f>
        <v/>
      </c>
      <c r="AP89" s="17" t="str">
        <f t="shared" si="44"/>
        <v/>
      </c>
      <c r="AQ89" s="20" t="str">
        <f>IF($A89="","",SUMIFS('Calculator Cost per Bucata'!$W$10:$W$509,'Calculator Cost per Bucata'!$A$10:$A$509,$A89))</f>
        <v/>
      </c>
      <c r="AR89" s="21" t="str">
        <f t="shared" si="45"/>
        <v/>
      </c>
      <c r="AS89" s="22" t="str">
        <f t="shared" si="46"/>
        <v/>
      </c>
      <c r="AT89" s="23" t="str">
        <f t="shared" si="47"/>
        <v/>
      </c>
    </row>
    <row r="90" spans="1:46" x14ac:dyDescent="0.3">
      <c r="A90" s="12"/>
      <c r="B90" s="13"/>
      <c r="C90" s="2"/>
      <c r="D90" s="2"/>
      <c r="E90" s="2"/>
      <c r="F90" s="2"/>
      <c r="G90" s="12"/>
      <c r="H90" s="7"/>
      <c r="I90" s="7"/>
      <c r="J90" s="12"/>
      <c r="K90" s="12"/>
      <c r="L90" s="4"/>
      <c r="M90" s="4"/>
      <c r="N90" s="12"/>
      <c r="O90" s="4"/>
      <c r="P90" s="5"/>
      <c r="Q90" s="14"/>
      <c r="R90" s="5"/>
      <c r="S90" s="14"/>
      <c r="T90" s="4"/>
      <c r="U90" s="11"/>
      <c r="V90" s="11"/>
      <c r="W90" s="12"/>
      <c r="X90" s="15" t="str">
        <f>IF($A90="","",COUNTIFS('PI Furnizor'!$A$7:$A$506,$A90,'PI Furnizor'!$D$7:$D$506,"&gt;0"))</f>
        <v/>
      </c>
      <c r="Y90" s="16" t="str">
        <f>IF($A90="","",SUMIFS('PI Furnizor'!$D$7:$D$506,'PI Furnizor'!$A$7:$A$506,$A90))</f>
        <v/>
      </c>
      <c r="Z90" s="9" t="str">
        <f>IF($A90="","",SUMIFS('PI Furnizor'!$O$7:$O$506,'PI Furnizor'!$A$7:$A$506,$A90))</f>
        <v/>
      </c>
      <c r="AA90" s="10" t="str">
        <f>IF($A90="","",SUMIFS('PI Furnizor'!$Q$7:$Q$506,'PI Furnizor'!$A$7:$A$506,$A90))</f>
        <v/>
      </c>
      <c r="AB90" s="56" t="str">
        <f>IF($A90="","",SUMIFS('PI Furnizor'!$N$7:$N$506,'PI Furnizor'!$A$7:$A$506,$A90))</f>
        <v/>
      </c>
      <c r="AC90" s="55" t="str">
        <f t="shared" si="32"/>
        <v/>
      </c>
      <c r="AD90" s="9" t="str">
        <f t="shared" si="33"/>
        <v/>
      </c>
      <c r="AE90" s="9" t="str">
        <f t="shared" si="34"/>
        <v/>
      </c>
      <c r="AF90" s="9" t="str">
        <f t="shared" si="35"/>
        <v/>
      </c>
      <c r="AG90" s="18" t="str">
        <f t="shared" si="36"/>
        <v/>
      </c>
      <c r="AH90" s="17" t="str">
        <f t="shared" si="37"/>
        <v/>
      </c>
      <c r="AI90" s="17" t="str">
        <f t="shared" si="38"/>
        <v/>
      </c>
      <c r="AJ90" s="17" t="str">
        <f t="shared" si="39"/>
        <v/>
      </c>
      <c r="AK90" s="17" t="str">
        <f t="shared" si="40"/>
        <v/>
      </c>
      <c r="AL90" s="19" t="str">
        <f t="shared" si="41"/>
        <v/>
      </c>
      <c r="AM90" s="19" t="str">
        <f t="shared" si="42"/>
        <v/>
      </c>
      <c r="AN90" s="9" t="str">
        <f t="shared" si="43"/>
        <v/>
      </c>
      <c r="AO90" s="18" t="str">
        <f>IF($A90="","",SUMIFS('Calculator Cost per Bucata'!$V$10:$V$509,'Calculator Cost per Bucata'!$A$10:$A$509,$A90))</f>
        <v/>
      </c>
      <c r="AP90" s="17" t="str">
        <f t="shared" si="44"/>
        <v/>
      </c>
      <c r="AQ90" s="20" t="str">
        <f>IF($A90="","",SUMIFS('Calculator Cost per Bucata'!$W$10:$W$509,'Calculator Cost per Bucata'!$A$10:$A$509,$A90))</f>
        <v/>
      </c>
      <c r="AR90" s="21" t="str">
        <f t="shared" si="45"/>
        <v/>
      </c>
      <c r="AS90" s="22" t="str">
        <f t="shared" si="46"/>
        <v/>
      </c>
      <c r="AT90" s="23" t="str">
        <f t="shared" si="47"/>
        <v/>
      </c>
    </row>
    <row r="91" spans="1:46" x14ac:dyDescent="0.3">
      <c r="A91" s="12"/>
      <c r="B91" s="13"/>
      <c r="C91" s="2"/>
      <c r="D91" s="2"/>
      <c r="E91" s="2"/>
      <c r="F91" s="2"/>
      <c r="G91" s="12"/>
      <c r="H91" s="7"/>
      <c r="I91" s="7"/>
      <c r="J91" s="12"/>
      <c r="K91" s="12"/>
      <c r="L91" s="4"/>
      <c r="M91" s="4"/>
      <c r="N91" s="12"/>
      <c r="O91" s="4"/>
      <c r="P91" s="5"/>
      <c r="Q91" s="14"/>
      <c r="R91" s="5"/>
      <c r="S91" s="14"/>
      <c r="T91" s="4"/>
      <c r="U91" s="11"/>
      <c r="V91" s="11"/>
      <c r="W91" s="12"/>
      <c r="X91" s="15" t="str">
        <f>IF($A91="","",COUNTIFS('PI Furnizor'!$A$7:$A$506,$A91,'PI Furnizor'!$D$7:$D$506,"&gt;0"))</f>
        <v/>
      </c>
      <c r="Y91" s="16" t="str">
        <f>IF($A91="","",SUMIFS('PI Furnizor'!$D$7:$D$506,'PI Furnizor'!$A$7:$A$506,$A91))</f>
        <v/>
      </c>
      <c r="Z91" s="9" t="str">
        <f>IF($A91="","",SUMIFS('PI Furnizor'!$O$7:$O$506,'PI Furnizor'!$A$7:$A$506,$A91))</f>
        <v/>
      </c>
      <c r="AA91" s="10" t="str">
        <f>IF($A91="","",SUMIFS('PI Furnizor'!$Q$7:$Q$506,'PI Furnizor'!$A$7:$A$506,$A91))</f>
        <v/>
      </c>
      <c r="AB91" s="56" t="str">
        <f>IF($A91="","",SUMIFS('PI Furnizor'!$N$7:$N$506,'PI Furnizor'!$A$7:$A$506,$A91))</f>
        <v/>
      </c>
      <c r="AC91" s="55" t="str">
        <f t="shared" si="32"/>
        <v/>
      </c>
      <c r="AD91" s="9" t="str">
        <f t="shared" si="33"/>
        <v/>
      </c>
      <c r="AE91" s="9" t="str">
        <f t="shared" si="34"/>
        <v/>
      </c>
      <c r="AF91" s="9" t="str">
        <f t="shared" si="35"/>
        <v/>
      </c>
      <c r="AG91" s="18" t="str">
        <f t="shared" si="36"/>
        <v/>
      </c>
      <c r="AH91" s="17" t="str">
        <f t="shared" si="37"/>
        <v/>
      </c>
      <c r="AI91" s="17" t="str">
        <f t="shared" si="38"/>
        <v/>
      </c>
      <c r="AJ91" s="17" t="str">
        <f t="shared" si="39"/>
        <v/>
      </c>
      <c r="AK91" s="17" t="str">
        <f t="shared" si="40"/>
        <v/>
      </c>
      <c r="AL91" s="19" t="str">
        <f t="shared" si="41"/>
        <v/>
      </c>
      <c r="AM91" s="19" t="str">
        <f t="shared" si="42"/>
        <v/>
      </c>
      <c r="AN91" s="9" t="str">
        <f t="shared" si="43"/>
        <v/>
      </c>
      <c r="AO91" s="18" t="str">
        <f>IF($A91="","",SUMIFS('Calculator Cost per Bucata'!$V$10:$V$509,'Calculator Cost per Bucata'!$A$10:$A$509,$A91))</f>
        <v/>
      </c>
      <c r="AP91" s="17" t="str">
        <f t="shared" si="44"/>
        <v/>
      </c>
      <c r="AQ91" s="20" t="str">
        <f>IF($A91="","",SUMIFS('Calculator Cost per Bucata'!$W$10:$W$509,'Calculator Cost per Bucata'!$A$10:$A$509,$A91))</f>
        <v/>
      </c>
      <c r="AR91" s="21" t="str">
        <f t="shared" si="45"/>
        <v/>
      </c>
      <c r="AS91" s="22" t="str">
        <f t="shared" si="46"/>
        <v/>
      </c>
      <c r="AT91" s="23" t="str">
        <f t="shared" si="47"/>
        <v/>
      </c>
    </row>
    <row r="92" spans="1:46" x14ac:dyDescent="0.3">
      <c r="A92" s="12"/>
      <c r="B92" s="13"/>
      <c r="C92" s="2"/>
      <c r="D92" s="2"/>
      <c r="E92" s="2"/>
      <c r="F92" s="2"/>
      <c r="G92" s="12"/>
      <c r="H92" s="7"/>
      <c r="I92" s="7"/>
      <c r="J92" s="12"/>
      <c r="K92" s="12"/>
      <c r="L92" s="4"/>
      <c r="M92" s="4"/>
      <c r="N92" s="12"/>
      <c r="O92" s="4"/>
      <c r="P92" s="5"/>
      <c r="Q92" s="14"/>
      <c r="R92" s="5"/>
      <c r="S92" s="14"/>
      <c r="T92" s="4"/>
      <c r="U92" s="11"/>
      <c r="V92" s="11"/>
      <c r="W92" s="12"/>
      <c r="X92" s="15" t="str">
        <f>IF($A92="","",COUNTIFS('PI Furnizor'!$A$7:$A$506,$A92,'PI Furnizor'!$D$7:$D$506,"&gt;0"))</f>
        <v/>
      </c>
      <c r="Y92" s="16" t="str">
        <f>IF($A92="","",SUMIFS('PI Furnizor'!$D$7:$D$506,'PI Furnizor'!$A$7:$A$506,$A92))</f>
        <v/>
      </c>
      <c r="Z92" s="9" t="str">
        <f>IF($A92="","",SUMIFS('PI Furnizor'!$O$7:$O$506,'PI Furnizor'!$A$7:$A$506,$A92))</f>
        <v/>
      </c>
      <c r="AA92" s="10" t="str">
        <f>IF($A92="","",SUMIFS('PI Furnizor'!$Q$7:$Q$506,'PI Furnizor'!$A$7:$A$506,$A92))</f>
        <v/>
      </c>
      <c r="AB92" s="56" t="str">
        <f>IF($A92="","",SUMIFS('PI Furnizor'!$N$7:$N$506,'PI Furnizor'!$A$7:$A$506,$A92))</f>
        <v/>
      </c>
      <c r="AC92" s="55" t="str">
        <f t="shared" si="32"/>
        <v/>
      </c>
      <c r="AD92" s="9" t="str">
        <f t="shared" si="33"/>
        <v/>
      </c>
      <c r="AE92" s="9" t="str">
        <f t="shared" si="34"/>
        <v/>
      </c>
      <c r="AF92" s="9" t="str">
        <f t="shared" si="35"/>
        <v/>
      </c>
      <c r="AG92" s="18" t="str">
        <f t="shared" si="36"/>
        <v/>
      </c>
      <c r="AH92" s="17" t="str">
        <f t="shared" si="37"/>
        <v/>
      </c>
      <c r="AI92" s="17" t="str">
        <f t="shared" si="38"/>
        <v/>
      </c>
      <c r="AJ92" s="17" t="str">
        <f t="shared" si="39"/>
        <v/>
      </c>
      <c r="AK92" s="17" t="str">
        <f t="shared" si="40"/>
        <v/>
      </c>
      <c r="AL92" s="19" t="str">
        <f t="shared" si="41"/>
        <v/>
      </c>
      <c r="AM92" s="19" t="str">
        <f t="shared" si="42"/>
        <v/>
      </c>
      <c r="AN92" s="9" t="str">
        <f t="shared" si="43"/>
        <v/>
      </c>
      <c r="AO92" s="18" t="str">
        <f>IF($A92="","",SUMIFS('Calculator Cost per Bucata'!$V$10:$V$509,'Calculator Cost per Bucata'!$A$10:$A$509,$A92))</f>
        <v/>
      </c>
      <c r="AP92" s="17" t="str">
        <f t="shared" si="44"/>
        <v/>
      </c>
      <c r="AQ92" s="20" t="str">
        <f>IF($A92="","",SUMIFS('Calculator Cost per Bucata'!$W$10:$W$509,'Calculator Cost per Bucata'!$A$10:$A$509,$A92))</f>
        <v/>
      </c>
      <c r="AR92" s="21" t="str">
        <f t="shared" si="45"/>
        <v/>
      </c>
      <c r="AS92" s="22" t="str">
        <f t="shared" si="46"/>
        <v/>
      </c>
      <c r="AT92" s="23" t="str">
        <f t="shared" si="47"/>
        <v/>
      </c>
    </row>
    <row r="93" spans="1:46" x14ac:dyDescent="0.3">
      <c r="A93" s="12"/>
      <c r="B93" s="13"/>
      <c r="C93" s="2"/>
      <c r="D93" s="2"/>
      <c r="E93" s="2"/>
      <c r="F93" s="2"/>
      <c r="G93" s="12"/>
      <c r="H93" s="7"/>
      <c r="I93" s="7"/>
      <c r="J93" s="12"/>
      <c r="K93" s="12"/>
      <c r="L93" s="4"/>
      <c r="M93" s="4"/>
      <c r="N93" s="12"/>
      <c r="O93" s="4"/>
      <c r="P93" s="5"/>
      <c r="Q93" s="14"/>
      <c r="R93" s="5"/>
      <c r="S93" s="14"/>
      <c r="T93" s="4"/>
      <c r="U93" s="11"/>
      <c r="V93" s="11"/>
      <c r="W93" s="12"/>
      <c r="X93" s="15" t="str">
        <f>IF($A93="","",COUNTIFS('PI Furnizor'!$A$7:$A$506,$A93,'PI Furnizor'!$D$7:$D$506,"&gt;0"))</f>
        <v/>
      </c>
      <c r="Y93" s="16" t="str">
        <f>IF($A93="","",SUMIFS('PI Furnizor'!$D$7:$D$506,'PI Furnizor'!$A$7:$A$506,$A93))</f>
        <v/>
      </c>
      <c r="Z93" s="9" t="str">
        <f>IF($A93="","",SUMIFS('PI Furnizor'!$O$7:$O$506,'PI Furnizor'!$A$7:$A$506,$A93))</f>
        <v/>
      </c>
      <c r="AA93" s="10" t="str">
        <f>IF($A93="","",SUMIFS('PI Furnizor'!$Q$7:$Q$506,'PI Furnizor'!$A$7:$A$506,$A93))</f>
        <v/>
      </c>
      <c r="AB93" s="56" t="str">
        <f>IF($A93="","",SUMIFS('PI Furnizor'!$N$7:$N$506,'PI Furnizor'!$A$7:$A$506,$A93))</f>
        <v/>
      </c>
      <c r="AC93" s="55" t="str">
        <f t="shared" si="32"/>
        <v/>
      </c>
      <c r="AD93" s="9" t="str">
        <f t="shared" si="33"/>
        <v/>
      </c>
      <c r="AE93" s="9" t="str">
        <f t="shared" si="34"/>
        <v/>
      </c>
      <c r="AF93" s="9" t="str">
        <f t="shared" si="35"/>
        <v/>
      </c>
      <c r="AG93" s="18" t="str">
        <f t="shared" si="36"/>
        <v/>
      </c>
      <c r="AH93" s="17" t="str">
        <f t="shared" si="37"/>
        <v/>
      </c>
      <c r="AI93" s="17" t="str">
        <f t="shared" si="38"/>
        <v/>
      </c>
      <c r="AJ93" s="17" t="str">
        <f t="shared" si="39"/>
        <v/>
      </c>
      <c r="AK93" s="17" t="str">
        <f t="shared" si="40"/>
        <v/>
      </c>
      <c r="AL93" s="19" t="str">
        <f t="shared" si="41"/>
        <v/>
      </c>
      <c r="AM93" s="19" t="str">
        <f t="shared" si="42"/>
        <v/>
      </c>
      <c r="AN93" s="9" t="str">
        <f t="shared" si="43"/>
        <v/>
      </c>
      <c r="AO93" s="18" t="str">
        <f>IF($A93="","",SUMIFS('Calculator Cost per Bucata'!$V$10:$V$509,'Calculator Cost per Bucata'!$A$10:$A$509,$A93))</f>
        <v/>
      </c>
      <c r="AP93" s="17" t="str">
        <f t="shared" si="44"/>
        <v/>
      </c>
      <c r="AQ93" s="20" t="str">
        <f>IF($A93="","",SUMIFS('Calculator Cost per Bucata'!$W$10:$W$509,'Calculator Cost per Bucata'!$A$10:$A$509,$A93))</f>
        <v/>
      </c>
      <c r="AR93" s="21" t="str">
        <f t="shared" si="45"/>
        <v/>
      </c>
      <c r="AS93" s="22" t="str">
        <f t="shared" si="46"/>
        <v/>
      </c>
      <c r="AT93" s="23" t="str">
        <f t="shared" si="47"/>
        <v/>
      </c>
    </row>
    <row r="94" spans="1:46" x14ac:dyDescent="0.3">
      <c r="A94" s="12"/>
      <c r="B94" s="13"/>
      <c r="C94" s="2"/>
      <c r="D94" s="2"/>
      <c r="E94" s="2"/>
      <c r="F94" s="2"/>
      <c r="G94" s="12"/>
      <c r="H94" s="7"/>
      <c r="I94" s="7"/>
      <c r="J94" s="12"/>
      <c r="K94" s="12"/>
      <c r="L94" s="4"/>
      <c r="M94" s="4"/>
      <c r="N94" s="12"/>
      <c r="O94" s="4"/>
      <c r="P94" s="5"/>
      <c r="Q94" s="14"/>
      <c r="R94" s="5"/>
      <c r="S94" s="14"/>
      <c r="T94" s="4"/>
      <c r="U94" s="11"/>
      <c r="V94" s="11"/>
      <c r="W94" s="12"/>
      <c r="X94" s="15" t="str">
        <f>IF($A94="","",COUNTIFS('PI Furnizor'!$A$7:$A$506,$A94,'PI Furnizor'!$D$7:$D$506,"&gt;0"))</f>
        <v/>
      </c>
      <c r="Y94" s="16" t="str">
        <f>IF($A94="","",SUMIFS('PI Furnizor'!$D$7:$D$506,'PI Furnizor'!$A$7:$A$506,$A94))</f>
        <v/>
      </c>
      <c r="Z94" s="9" t="str">
        <f>IF($A94="","",SUMIFS('PI Furnizor'!$O$7:$O$506,'PI Furnizor'!$A$7:$A$506,$A94))</f>
        <v/>
      </c>
      <c r="AA94" s="10" t="str">
        <f>IF($A94="","",SUMIFS('PI Furnizor'!$Q$7:$Q$506,'PI Furnizor'!$A$7:$A$506,$A94))</f>
        <v/>
      </c>
      <c r="AB94" s="56" t="str">
        <f>IF($A94="","",SUMIFS('PI Furnizor'!$N$7:$N$506,'PI Furnizor'!$A$7:$A$506,$A94))</f>
        <v/>
      </c>
      <c r="AC94" s="55" t="str">
        <f t="shared" si="32"/>
        <v/>
      </c>
      <c r="AD94" s="9" t="str">
        <f t="shared" si="33"/>
        <v/>
      </c>
      <c r="AE94" s="9" t="str">
        <f t="shared" si="34"/>
        <v/>
      </c>
      <c r="AF94" s="9" t="str">
        <f t="shared" si="35"/>
        <v/>
      </c>
      <c r="AG94" s="18" t="str">
        <f t="shared" si="36"/>
        <v/>
      </c>
      <c r="AH94" s="17" t="str">
        <f t="shared" si="37"/>
        <v/>
      </c>
      <c r="AI94" s="17" t="str">
        <f t="shared" si="38"/>
        <v/>
      </c>
      <c r="AJ94" s="17" t="str">
        <f t="shared" si="39"/>
        <v/>
      </c>
      <c r="AK94" s="17" t="str">
        <f t="shared" si="40"/>
        <v/>
      </c>
      <c r="AL94" s="19" t="str">
        <f t="shared" si="41"/>
        <v/>
      </c>
      <c r="AM94" s="19" t="str">
        <f t="shared" si="42"/>
        <v/>
      </c>
      <c r="AN94" s="9" t="str">
        <f t="shared" si="43"/>
        <v/>
      </c>
      <c r="AO94" s="18" t="str">
        <f>IF($A94="","",SUMIFS('Calculator Cost per Bucata'!$V$10:$V$509,'Calculator Cost per Bucata'!$A$10:$A$509,$A94))</f>
        <v/>
      </c>
      <c r="AP94" s="17" t="str">
        <f t="shared" si="44"/>
        <v/>
      </c>
      <c r="AQ94" s="20" t="str">
        <f>IF($A94="","",SUMIFS('Calculator Cost per Bucata'!$W$10:$W$509,'Calculator Cost per Bucata'!$A$10:$A$509,$A94))</f>
        <v/>
      </c>
      <c r="AR94" s="21" t="str">
        <f t="shared" si="45"/>
        <v/>
      </c>
      <c r="AS94" s="22" t="str">
        <f t="shared" si="46"/>
        <v/>
      </c>
      <c r="AT94" s="23" t="str">
        <f t="shared" si="47"/>
        <v/>
      </c>
    </row>
    <row r="95" spans="1:46" x14ac:dyDescent="0.3">
      <c r="A95" s="12"/>
      <c r="B95" s="13"/>
      <c r="C95" s="2"/>
      <c r="D95" s="2"/>
      <c r="E95" s="2"/>
      <c r="F95" s="2"/>
      <c r="G95" s="12"/>
      <c r="H95" s="7"/>
      <c r="I95" s="7"/>
      <c r="J95" s="12"/>
      <c r="K95" s="12"/>
      <c r="L95" s="4"/>
      <c r="M95" s="4"/>
      <c r="N95" s="12"/>
      <c r="O95" s="4"/>
      <c r="P95" s="5"/>
      <c r="Q95" s="14"/>
      <c r="R95" s="5"/>
      <c r="S95" s="14"/>
      <c r="T95" s="4"/>
      <c r="U95" s="11"/>
      <c r="V95" s="11"/>
      <c r="W95" s="12"/>
      <c r="X95" s="15" t="str">
        <f>IF($A95="","",COUNTIFS('PI Furnizor'!$A$7:$A$506,$A95,'PI Furnizor'!$D$7:$D$506,"&gt;0"))</f>
        <v/>
      </c>
      <c r="Y95" s="16" t="str">
        <f>IF($A95="","",SUMIFS('PI Furnizor'!$D$7:$D$506,'PI Furnizor'!$A$7:$A$506,$A95))</f>
        <v/>
      </c>
      <c r="Z95" s="9" t="str">
        <f>IF($A95="","",SUMIFS('PI Furnizor'!$O$7:$O$506,'PI Furnizor'!$A$7:$A$506,$A95))</f>
        <v/>
      </c>
      <c r="AA95" s="10" t="str">
        <f>IF($A95="","",SUMIFS('PI Furnizor'!$Q$7:$Q$506,'PI Furnizor'!$A$7:$A$506,$A95))</f>
        <v/>
      </c>
      <c r="AB95" s="56" t="str">
        <f>IF($A95="","",SUMIFS('PI Furnizor'!$N$7:$N$506,'PI Furnizor'!$A$7:$A$506,$A95))</f>
        <v/>
      </c>
      <c r="AC95" s="55" t="str">
        <f t="shared" si="32"/>
        <v/>
      </c>
      <c r="AD95" s="9" t="str">
        <f t="shared" si="33"/>
        <v/>
      </c>
      <c r="AE95" s="9" t="str">
        <f t="shared" si="34"/>
        <v/>
      </c>
      <c r="AF95" s="9" t="str">
        <f t="shared" si="35"/>
        <v/>
      </c>
      <c r="AG95" s="18" t="str">
        <f t="shared" si="36"/>
        <v/>
      </c>
      <c r="AH95" s="17" t="str">
        <f t="shared" si="37"/>
        <v/>
      </c>
      <c r="AI95" s="17" t="str">
        <f t="shared" si="38"/>
        <v/>
      </c>
      <c r="AJ95" s="17" t="str">
        <f t="shared" si="39"/>
        <v/>
      </c>
      <c r="AK95" s="17" t="str">
        <f t="shared" si="40"/>
        <v/>
      </c>
      <c r="AL95" s="19" t="str">
        <f t="shared" si="41"/>
        <v/>
      </c>
      <c r="AM95" s="19" t="str">
        <f t="shared" si="42"/>
        <v/>
      </c>
      <c r="AN95" s="9" t="str">
        <f t="shared" si="43"/>
        <v/>
      </c>
      <c r="AO95" s="18" t="str">
        <f>IF($A95="","",SUMIFS('Calculator Cost per Bucata'!$V$10:$V$509,'Calculator Cost per Bucata'!$A$10:$A$509,$A95))</f>
        <v/>
      </c>
      <c r="AP95" s="17" t="str">
        <f t="shared" si="44"/>
        <v/>
      </c>
      <c r="AQ95" s="20" t="str">
        <f>IF($A95="","",SUMIFS('Calculator Cost per Bucata'!$W$10:$W$509,'Calculator Cost per Bucata'!$A$10:$A$509,$A95))</f>
        <v/>
      </c>
      <c r="AR95" s="21" t="str">
        <f t="shared" si="45"/>
        <v/>
      </c>
      <c r="AS95" s="22" t="str">
        <f t="shared" si="46"/>
        <v/>
      </c>
      <c r="AT95" s="23" t="str">
        <f t="shared" si="47"/>
        <v/>
      </c>
    </row>
    <row r="96" spans="1:46" x14ac:dyDescent="0.3">
      <c r="A96" s="12"/>
      <c r="B96" s="13"/>
      <c r="C96" s="2"/>
      <c r="D96" s="2"/>
      <c r="E96" s="2"/>
      <c r="F96" s="2"/>
      <c r="G96" s="12"/>
      <c r="H96" s="7"/>
      <c r="I96" s="7"/>
      <c r="J96" s="12"/>
      <c r="K96" s="12"/>
      <c r="L96" s="4"/>
      <c r="M96" s="4"/>
      <c r="N96" s="12"/>
      <c r="O96" s="4"/>
      <c r="P96" s="5"/>
      <c r="Q96" s="14"/>
      <c r="R96" s="5"/>
      <c r="S96" s="14"/>
      <c r="T96" s="4"/>
      <c r="U96" s="11"/>
      <c r="V96" s="11"/>
      <c r="W96" s="12"/>
      <c r="X96" s="15" t="str">
        <f>IF($A96="","",COUNTIFS('PI Furnizor'!$A$7:$A$506,$A96,'PI Furnizor'!$D$7:$D$506,"&gt;0"))</f>
        <v/>
      </c>
      <c r="Y96" s="16" t="str">
        <f>IF($A96="","",SUMIFS('PI Furnizor'!$D$7:$D$506,'PI Furnizor'!$A$7:$A$506,$A96))</f>
        <v/>
      </c>
      <c r="Z96" s="9" t="str">
        <f>IF($A96="","",SUMIFS('PI Furnizor'!$O$7:$O$506,'PI Furnizor'!$A$7:$A$506,$A96))</f>
        <v/>
      </c>
      <c r="AA96" s="10" t="str">
        <f>IF($A96="","",SUMIFS('PI Furnizor'!$Q$7:$Q$506,'PI Furnizor'!$A$7:$A$506,$A96))</f>
        <v/>
      </c>
      <c r="AB96" s="56" t="str">
        <f>IF($A96="","",SUMIFS('PI Furnizor'!$N$7:$N$506,'PI Furnizor'!$A$7:$A$506,$A96))</f>
        <v/>
      </c>
      <c r="AC96" s="55" t="str">
        <f t="shared" si="32"/>
        <v/>
      </c>
      <c r="AD96" s="9" t="str">
        <f t="shared" si="33"/>
        <v/>
      </c>
      <c r="AE96" s="9" t="str">
        <f t="shared" si="34"/>
        <v/>
      </c>
      <c r="AF96" s="9" t="str">
        <f t="shared" si="35"/>
        <v/>
      </c>
      <c r="AG96" s="18" t="str">
        <f t="shared" si="36"/>
        <v/>
      </c>
      <c r="AH96" s="17" t="str">
        <f t="shared" si="37"/>
        <v/>
      </c>
      <c r="AI96" s="17" t="str">
        <f t="shared" si="38"/>
        <v/>
      </c>
      <c r="AJ96" s="17" t="str">
        <f t="shared" si="39"/>
        <v/>
      </c>
      <c r="AK96" s="17" t="str">
        <f t="shared" si="40"/>
        <v/>
      </c>
      <c r="AL96" s="19" t="str">
        <f t="shared" si="41"/>
        <v/>
      </c>
      <c r="AM96" s="19" t="str">
        <f t="shared" si="42"/>
        <v/>
      </c>
      <c r="AN96" s="9" t="str">
        <f t="shared" si="43"/>
        <v/>
      </c>
      <c r="AO96" s="18" t="str">
        <f>IF($A96="","",SUMIFS('Calculator Cost per Bucata'!$V$10:$V$509,'Calculator Cost per Bucata'!$A$10:$A$509,$A96))</f>
        <v/>
      </c>
      <c r="AP96" s="17" t="str">
        <f t="shared" si="44"/>
        <v/>
      </c>
      <c r="AQ96" s="20" t="str">
        <f>IF($A96="","",SUMIFS('Calculator Cost per Bucata'!$W$10:$W$509,'Calculator Cost per Bucata'!$A$10:$A$509,$A96))</f>
        <v/>
      </c>
      <c r="AR96" s="21" t="str">
        <f t="shared" si="45"/>
        <v/>
      </c>
      <c r="AS96" s="22" t="str">
        <f t="shared" si="46"/>
        <v/>
      </c>
      <c r="AT96" s="23" t="str">
        <f t="shared" si="47"/>
        <v/>
      </c>
    </row>
    <row r="97" spans="1:46" x14ac:dyDescent="0.3">
      <c r="A97" s="12"/>
      <c r="B97" s="13"/>
      <c r="C97" s="2"/>
      <c r="D97" s="2"/>
      <c r="E97" s="2"/>
      <c r="F97" s="2"/>
      <c r="G97" s="12"/>
      <c r="H97" s="7"/>
      <c r="I97" s="7"/>
      <c r="J97" s="12"/>
      <c r="K97" s="12"/>
      <c r="L97" s="4"/>
      <c r="M97" s="4"/>
      <c r="N97" s="12"/>
      <c r="O97" s="4"/>
      <c r="P97" s="5"/>
      <c r="Q97" s="14"/>
      <c r="R97" s="5"/>
      <c r="S97" s="14"/>
      <c r="T97" s="4"/>
      <c r="U97" s="11"/>
      <c r="V97" s="11"/>
      <c r="W97" s="12"/>
      <c r="X97" s="15" t="str">
        <f>IF($A97="","",COUNTIFS('PI Furnizor'!$A$7:$A$506,$A97,'PI Furnizor'!$D$7:$D$506,"&gt;0"))</f>
        <v/>
      </c>
      <c r="Y97" s="16" t="str">
        <f>IF($A97="","",SUMIFS('PI Furnizor'!$D$7:$D$506,'PI Furnizor'!$A$7:$A$506,$A97))</f>
        <v/>
      </c>
      <c r="Z97" s="9" t="str">
        <f>IF($A97="","",SUMIFS('PI Furnizor'!$O$7:$O$506,'PI Furnizor'!$A$7:$A$506,$A97))</f>
        <v/>
      </c>
      <c r="AA97" s="10" t="str">
        <f>IF($A97="","",SUMIFS('PI Furnizor'!$Q$7:$Q$506,'PI Furnizor'!$A$7:$A$506,$A97))</f>
        <v/>
      </c>
      <c r="AB97" s="56" t="str">
        <f>IF($A97="","",SUMIFS('PI Furnizor'!$N$7:$N$506,'PI Furnizor'!$A$7:$A$506,$A97))</f>
        <v/>
      </c>
      <c r="AC97" s="55" t="str">
        <f t="shared" si="32"/>
        <v/>
      </c>
      <c r="AD97" s="9" t="str">
        <f t="shared" si="33"/>
        <v/>
      </c>
      <c r="AE97" s="9" t="str">
        <f t="shared" si="34"/>
        <v/>
      </c>
      <c r="AF97" s="9" t="str">
        <f t="shared" si="35"/>
        <v/>
      </c>
      <c r="AG97" s="18" t="str">
        <f t="shared" si="36"/>
        <v/>
      </c>
      <c r="AH97" s="17" t="str">
        <f t="shared" si="37"/>
        <v/>
      </c>
      <c r="AI97" s="17" t="str">
        <f t="shared" si="38"/>
        <v/>
      </c>
      <c r="AJ97" s="17" t="str">
        <f t="shared" si="39"/>
        <v/>
      </c>
      <c r="AK97" s="17" t="str">
        <f t="shared" si="40"/>
        <v/>
      </c>
      <c r="AL97" s="19" t="str">
        <f t="shared" si="41"/>
        <v/>
      </c>
      <c r="AM97" s="19" t="str">
        <f t="shared" si="42"/>
        <v/>
      </c>
      <c r="AN97" s="9" t="str">
        <f t="shared" si="43"/>
        <v/>
      </c>
      <c r="AO97" s="18" t="str">
        <f>IF($A97="","",SUMIFS('Calculator Cost per Bucata'!$V$10:$V$509,'Calculator Cost per Bucata'!$A$10:$A$509,$A97))</f>
        <v/>
      </c>
      <c r="AP97" s="17" t="str">
        <f t="shared" si="44"/>
        <v/>
      </c>
      <c r="AQ97" s="20" t="str">
        <f>IF($A97="","",SUMIFS('Calculator Cost per Bucata'!$W$10:$W$509,'Calculator Cost per Bucata'!$A$10:$A$509,$A97))</f>
        <v/>
      </c>
      <c r="AR97" s="21" t="str">
        <f t="shared" si="45"/>
        <v/>
      </c>
      <c r="AS97" s="22" t="str">
        <f t="shared" si="46"/>
        <v/>
      </c>
      <c r="AT97" s="23" t="str">
        <f t="shared" si="47"/>
        <v/>
      </c>
    </row>
    <row r="98" spans="1:46" x14ac:dyDescent="0.3">
      <c r="A98" s="12"/>
      <c r="B98" s="13"/>
      <c r="C98" s="2"/>
      <c r="D98" s="2"/>
      <c r="E98" s="2"/>
      <c r="F98" s="2"/>
      <c r="G98" s="12"/>
      <c r="H98" s="7"/>
      <c r="I98" s="7"/>
      <c r="J98" s="12"/>
      <c r="K98" s="12"/>
      <c r="L98" s="4"/>
      <c r="M98" s="4"/>
      <c r="N98" s="12"/>
      <c r="O98" s="4"/>
      <c r="P98" s="5"/>
      <c r="Q98" s="14"/>
      <c r="R98" s="5"/>
      <c r="S98" s="14"/>
      <c r="T98" s="4"/>
      <c r="U98" s="11"/>
      <c r="V98" s="11"/>
      <c r="W98" s="12"/>
      <c r="X98" s="15" t="str">
        <f>IF($A98="","",COUNTIFS('PI Furnizor'!$A$7:$A$506,$A98,'PI Furnizor'!$D$7:$D$506,"&gt;0"))</f>
        <v/>
      </c>
      <c r="Y98" s="16" t="str">
        <f>IF($A98="","",SUMIFS('PI Furnizor'!$D$7:$D$506,'PI Furnizor'!$A$7:$A$506,$A98))</f>
        <v/>
      </c>
      <c r="Z98" s="9" t="str">
        <f>IF($A98="","",SUMIFS('PI Furnizor'!$O$7:$O$506,'PI Furnizor'!$A$7:$A$506,$A98))</f>
        <v/>
      </c>
      <c r="AA98" s="10" t="str">
        <f>IF($A98="","",SUMIFS('PI Furnizor'!$Q$7:$Q$506,'PI Furnizor'!$A$7:$A$506,$A98))</f>
        <v/>
      </c>
      <c r="AB98" s="56" t="str">
        <f>IF($A98="","",SUMIFS('PI Furnizor'!$N$7:$N$506,'PI Furnizor'!$A$7:$A$506,$A98))</f>
        <v/>
      </c>
      <c r="AC98" s="55" t="str">
        <f t="shared" si="32"/>
        <v/>
      </c>
      <c r="AD98" s="9" t="str">
        <f t="shared" si="33"/>
        <v/>
      </c>
      <c r="AE98" s="9" t="str">
        <f t="shared" si="34"/>
        <v/>
      </c>
      <c r="AF98" s="9" t="str">
        <f t="shared" si="35"/>
        <v/>
      </c>
      <c r="AG98" s="18" t="str">
        <f t="shared" si="36"/>
        <v/>
      </c>
      <c r="AH98" s="17" t="str">
        <f t="shared" si="37"/>
        <v/>
      </c>
      <c r="AI98" s="17" t="str">
        <f t="shared" si="38"/>
        <v/>
      </c>
      <c r="AJ98" s="17" t="str">
        <f t="shared" si="39"/>
        <v/>
      </c>
      <c r="AK98" s="17" t="str">
        <f t="shared" si="40"/>
        <v/>
      </c>
      <c r="AL98" s="19" t="str">
        <f t="shared" si="41"/>
        <v/>
      </c>
      <c r="AM98" s="19" t="str">
        <f t="shared" si="42"/>
        <v/>
      </c>
      <c r="AN98" s="9" t="str">
        <f t="shared" si="43"/>
        <v/>
      </c>
      <c r="AO98" s="18" t="str">
        <f>IF($A98="","",SUMIFS('Calculator Cost per Bucata'!$V$10:$V$509,'Calculator Cost per Bucata'!$A$10:$A$509,$A98))</f>
        <v/>
      </c>
      <c r="AP98" s="17" t="str">
        <f t="shared" si="44"/>
        <v/>
      </c>
      <c r="AQ98" s="20" t="str">
        <f>IF($A98="","",SUMIFS('Calculator Cost per Bucata'!$W$10:$W$509,'Calculator Cost per Bucata'!$A$10:$A$509,$A98))</f>
        <v/>
      </c>
      <c r="AR98" s="21" t="str">
        <f t="shared" si="45"/>
        <v/>
      </c>
      <c r="AS98" s="22" t="str">
        <f t="shared" si="46"/>
        <v/>
      </c>
      <c r="AT98" s="23" t="str">
        <f t="shared" si="47"/>
        <v/>
      </c>
    </row>
    <row r="99" spans="1:46" x14ac:dyDescent="0.3">
      <c r="A99" s="12"/>
      <c r="B99" s="13"/>
      <c r="C99" s="2"/>
      <c r="D99" s="2"/>
      <c r="E99" s="2"/>
      <c r="F99" s="2"/>
      <c r="G99" s="12"/>
      <c r="H99" s="7"/>
      <c r="I99" s="7"/>
      <c r="J99" s="12"/>
      <c r="K99" s="12"/>
      <c r="L99" s="4"/>
      <c r="M99" s="4"/>
      <c r="N99" s="12"/>
      <c r="O99" s="4"/>
      <c r="P99" s="5"/>
      <c r="Q99" s="14"/>
      <c r="R99" s="5"/>
      <c r="S99" s="14"/>
      <c r="T99" s="4"/>
      <c r="U99" s="11"/>
      <c r="V99" s="11"/>
      <c r="W99" s="12"/>
      <c r="X99" s="15" t="str">
        <f>IF($A99="","",COUNTIFS('PI Furnizor'!$A$7:$A$506,$A99,'PI Furnizor'!$D$7:$D$506,"&gt;0"))</f>
        <v/>
      </c>
      <c r="Y99" s="16" t="str">
        <f>IF($A99="","",SUMIFS('PI Furnizor'!$D$7:$D$506,'PI Furnizor'!$A$7:$A$506,$A99))</f>
        <v/>
      </c>
      <c r="Z99" s="9" t="str">
        <f>IF($A99="","",SUMIFS('PI Furnizor'!$O$7:$O$506,'PI Furnizor'!$A$7:$A$506,$A99))</f>
        <v/>
      </c>
      <c r="AA99" s="10" t="str">
        <f>IF($A99="","",SUMIFS('PI Furnizor'!$Q$7:$Q$506,'PI Furnizor'!$A$7:$A$506,$A99))</f>
        <v/>
      </c>
      <c r="AB99" s="56" t="str">
        <f>IF($A99="","",SUMIFS('PI Furnizor'!$N$7:$N$506,'PI Furnizor'!$A$7:$A$506,$A99))</f>
        <v/>
      </c>
      <c r="AC99" s="55" t="str">
        <f t="shared" si="32"/>
        <v/>
      </c>
      <c r="AD99" s="9" t="str">
        <f t="shared" si="33"/>
        <v/>
      </c>
      <c r="AE99" s="9" t="str">
        <f t="shared" si="34"/>
        <v/>
      </c>
      <c r="AF99" s="9" t="str">
        <f t="shared" si="35"/>
        <v/>
      </c>
      <c r="AG99" s="18" t="str">
        <f t="shared" si="36"/>
        <v/>
      </c>
      <c r="AH99" s="17" t="str">
        <f t="shared" si="37"/>
        <v/>
      </c>
      <c r="AI99" s="17" t="str">
        <f t="shared" si="38"/>
        <v/>
      </c>
      <c r="AJ99" s="17" t="str">
        <f t="shared" si="39"/>
        <v/>
      </c>
      <c r="AK99" s="17" t="str">
        <f t="shared" si="40"/>
        <v/>
      </c>
      <c r="AL99" s="19" t="str">
        <f t="shared" si="41"/>
        <v/>
      </c>
      <c r="AM99" s="19" t="str">
        <f t="shared" si="42"/>
        <v/>
      </c>
      <c r="AN99" s="9" t="str">
        <f t="shared" si="43"/>
        <v/>
      </c>
      <c r="AO99" s="18" t="str">
        <f>IF($A99="","",SUMIFS('Calculator Cost per Bucata'!$V$10:$V$509,'Calculator Cost per Bucata'!$A$10:$A$509,$A99))</f>
        <v/>
      </c>
      <c r="AP99" s="17" t="str">
        <f t="shared" si="44"/>
        <v/>
      </c>
      <c r="AQ99" s="20" t="str">
        <f>IF($A99="","",SUMIFS('Calculator Cost per Bucata'!$W$10:$W$509,'Calculator Cost per Bucata'!$A$10:$A$509,$A99))</f>
        <v/>
      </c>
      <c r="AR99" s="21" t="str">
        <f t="shared" si="45"/>
        <v/>
      </c>
      <c r="AS99" s="22" t="str">
        <f t="shared" si="46"/>
        <v/>
      </c>
      <c r="AT99" s="23" t="str">
        <f t="shared" si="47"/>
        <v/>
      </c>
    </row>
    <row r="100" spans="1:46" x14ac:dyDescent="0.3">
      <c r="A100" s="12"/>
      <c r="B100" s="13"/>
      <c r="C100" s="2"/>
      <c r="D100" s="2"/>
      <c r="E100" s="2"/>
      <c r="F100" s="2"/>
      <c r="G100" s="12"/>
      <c r="H100" s="7"/>
      <c r="I100" s="7"/>
      <c r="J100" s="12"/>
      <c r="K100" s="12"/>
      <c r="L100" s="4"/>
      <c r="M100" s="4"/>
      <c r="N100" s="12"/>
      <c r="O100" s="4"/>
      <c r="P100" s="5"/>
      <c r="Q100" s="14"/>
      <c r="R100" s="5"/>
      <c r="S100" s="14"/>
      <c r="T100" s="4"/>
      <c r="U100" s="11"/>
      <c r="V100" s="11"/>
      <c r="W100" s="12"/>
      <c r="X100" s="15" t="str">
        <f>IF($A100="","",COUNTIFS('PI Furnizor'!$A$7:$A$506,$A100,'PI Furnizor'!$D$7:$D$506,"&gt;0"))</f>
        <v/>
      </c>
      <c r="Y100" s="16" t="str">
        <f>IF($A100="","",SUMIFS('PI Furnizor'!$D$7:$D$506,'PI Furnizor'!$A$7:$A$506,$A100))</f>
        <v/>
      </c>
      <c r="Z100" s="9" t="str">
        <f>IF($A100="","",SUMIFS('PI Furnizor'!$O$7:$O$506,'PI Furnizor'!$A$7:$A$506,$A100))</f>
        <v/>
      </c>
      <c r="AA100" s="10" t="str">
        <f>IF($A100="","",SUMIFS('PI Furnizor'!$Q$7:$Q$506,'PI Furnizor'!$A$7:$A$506,$A100))</f>
        <v/>
      </c>
      <c r="AB100" s="56" t="str">
        <f>IF($A100="","",SUMIFS('PI Furnizor'!$N$7:$N$506,'PI Furnizor'!$A$7:$A$506,$A100))</f>
        <v/>
      </c>
      <c r="AC100" s="55" t="str">
        <f t="shared" si="32"/>
        <v/>
      </c>
      <c r="AD100" s="9" t="str">
        <f t="shared" si="33"/>
        <v/>
      </c>
      <c r="AE100" s="9" t="str">
        <f t="shared" si="34"/>
        <v/>
      </c>
      <c r="AF100" s="9" t="str">
        <f t="shared" si="35"/>
        <v/>
      </c>
      <c r="AG100" s="18" t="str">
        <f t="shared" si="36"/>
        <v/>
      </c>
      <c r="AH100" s="17" t="str">
        <f t="shared" si="37"/>
        <v/>
      </c>
      <c r="AI100" s="17" t="str">
        <f t="shared" si="38"/>
        <v/>
      </c>
      <c r="AJ100" s="17" t="str">
        <f t="shared" si="39"/>
        <v/>
      </c>
      <c r="AK100" s="17" t="str">
        <f t="shared" si="40"/>
        <v/>
      </c>
      <c r="AL100" s="19" t="str">
        <f t="shared" si="41"/>
        <v/>
      </c>
      <c r="AM100" s="19" t="str">
        <f t="shared" si="42"/>
        <v/>
      </c>
      <c r="AN100" s="9" t="str">
        <f t="shared" si="43"/>
        <v/>
      </c>
      <c r="AO100" s="18" t="str">
        <f>IF($A100="","",SUMIFS('Calculator Cost per Bucata'!$V$10:$V$509,'Calculator Cost per Bucata'!$A$10:$A$509,$A100))</f>
        <v/>
      </c>
      <c r="AP100" s="17" t="str">
        <f t="shared" si="44"/>
        <v/>
      </c>
      <c r="AQ100" s="20" t="str">
        <f>IF($A100="","",SUMIFS('Calculator Cost per Bucata'!$W$10:$W$509,'Calculator Cost per Bucata'!$A$10:$A$509,$A100))</f>
        <v/>
      </c>
      <c r="AR100" s="21" t="str">
        <f t="shared" si="45"/>
        <v/>
      </c>
      <c r="AS100" s="22" t="str">
        <f t="shared" si="46"/>
        <v/>
      </c>
      <c r="AT100" s="23" t="str">
        <f t="shared" si="47"/>
        <v/>
      </c>
    </row>
    <row r="101" spans="1:46" x14ac:dyDescent="0.3">
      <c r="A101" s="12"/>
      <c r="B101" s="13"/>
      <c r="C101" s="2"/>
      <c r="D101" s="2"/>
      <c r="E101" s="2"/>
      <c r="F101" s="2"/>
      <c r="G101" s="12"/>
      <c r="H101" s="7"/>
      <c r="I101" s="7"/>
      <c r="J101" s="12"/>
      <c r="K101" s="12"/>
      <c r="L101" s="4"/>
      <c r="M101" s="4"/>
      <c r="N101" s="12"/>
      <c r="O101" s="4"/>
      <c r="P101" s="5"/>
      <c r="Q101" s="14"/>
      <c r="R101" s="5"/>
      <c r="S101" s="14"/>
      <c r="T101" s="4"/>
      <c r="U101" s="11"/>
      <c r="V101" s="11"/>
      <c r="W101" s="12"/>
      <c r="X101" s="15" t="str">
        <f>IF($A101="","",COUNTIFS('PI Furnizor'!$A$7:$A$506,$A101,'PI Furnizor'!$D$7:$D$506,"&gt;0"))</f>
        <v/>
      </c>
      <c r="Y101" s="16" t="str">
        <f>IF($A101="","",SUMIFS('PI Furnizor'!$D$7:$D$506,'PI Furnizor'!$A$7:$A$506,$A101))</f>
        <v/>
      </c>
      <c r="Z101" s="9" t="str">
        <f>IF($A101="","",SUMIFS('PI Furnizor'!$O$7:$O$506,'PI Furnizor'!$A$7:$A$506,$A101))</f>
        <v/>
      </c>
      <c r="AA101" s="10" t="str">
        <f>IF($A101="","",SUMIFS('PI Furnizor'!$Q$7:$Q$506,'PI Furnizor'!$A$7:$A$506,$A101))</f>
        <v/>
      </c>
      <c r="AB101" s="56" t="str">
        <f>IF($A101="","",SUMIFS('PI Furnizor'!$N$7:$N$506,'PI Furnizor'!$A$7:$A$506,$A101))</f>
        <v/>
      </c>
      <c r="AC101" s="55" t="str">
        <f t="shared" si="32"/>
        <v/>
      </c>
      <c r="AD101" s="9" t="str">
        <f t="shared" si="33"/>
        <v/>
      </c>
      <c r="AE101" s="9" t="str">
        <f t="shared" si="34"/>
        <v/>
      </c>
      <c r="AF101" s="9" t="str">
        <f t="shared" si="35"/>
        <v/>
      </c>
      <c r="AG101" s="18" t="str">
        <f t="shared" si="36"/>
        <v/>
      </c>
      <c r="AH101" s="17" t="str">
        <f t="shared" si="37"/>
        <v/>
      </c>
      <c r="AI101" s="17" t="str">
        <f t="shared" si="38"/>
        <v/>
      </c>
      <c r="AJ101" s="17" t="str">
        <f t="shared" si="39"/>
        <v/>
      </c>
      <c r="AK101" s="17" t="str">
        <f t="shared" si="40"/>
        <v/>
      </c>
      <c r="AL101" s="19" t="str">
        <f t="shared" si="41"/>
        <v/>
      </c>
      <c r="AM101" s="19" t="str">
        <f t="shared" si="42"/>
        <v/>
      </c>
      <c r="AN101" s="9" t="str">
        <f t="shared" si="43"/>
        <v/>
      </c>
      <c r="AO101" s="18" t="str">
        <f>IF($A101="","",SUMIFS('Calculator Cost per Bucata'!$V$10:$V$509,'Calculator Cost per Bucata'!$A$10:$A$509,$A101))</f>
        <v/>
      </c>
      <c r="AP101" s="17" t="str">
        <f t="shared" si="44"/>
        <v/>
      </c>
      <c r="AQ101" s="20" t="str">
        <f>IF($A101="","",SUMIFS('Calculator Cost per Bucata'!$W$10:$W$509,'Calculator Cost per Bucata'!$A$10:$A$509,$A101))</f>
        <v/>
      </c>
      <c r="AR101" s="21" t="str">
        <f t="shared" si="45"/>
        <v/>
      </c>
      <c r="AS101" s="22" t="str">
        <f t="shared" si="46"/>
        <v/>
      </c>
      <c r="AT101" s="23" t="str">
        <f t="shared" si="47"/>
        <v/>
      </c>
    </row>
    <row r="102" spans="1:46" x14ac:dyDescent="0.3">
      <c r="A102" s="12"/>
      <c r="B102" s="13"/>
      <c r="C102" s="2"/>
      <c r="D102" s="2"/>
      <c r="E102" s="2"/>
      <c r="F102" s="2"/>
      <c r="G102" s="12"/>
      <c r="H102" s="7"/>
      <c r="I102" s="7"/>
      <c r="J102" s="12"/>
      <c r="K102" s="12"/>
      <c r="L102" s="4"/>
      <c r="M102" s="4"/>
      <c r="N102" s="12"/>
      <c r="O102" s="4"/>
      <c r="P102" s="5"/>
      <c r="Q102" s="14"/>
      <c r="R102" s="5"/>
      <c r="S102" s="14"/>
      <c r="T102" s="4"/>
      <c r="U102" s="11"/>
      <c r="V102" s="11"/>
      <c r="W102" s="12"/>
      <c r="X102" s="15" t="str">
        <f>IF($A102="","",COUNTIFS('PI Furnizor'!$A$7:$A$506,$A102,'PI Furnizor'!$D$7:$D$506,"&gt;0"))</f>
        <v/>
      </c>
      <c r="Y102" s="16" t="str">
        <f>IF($A102="","",SUMIFS('PI Furnizor'!$D$7:$D$506,'PI Furnizor'!$A$7:$A$506,$A102))</f>
        <v/>
      </c>
      <c r="Z102" s="9" t="str">
        <f>IF($A102="","",SUMIFS('PI Furnizor'!$O$7:$O$506,'PI Furnizor'!$A$7:$A$506,$A102))</f>
        <v/>
      </c>
      <c r="AA102" s="10" t="str">
        <f>IF($A102="","",SUMIFS('PI Furnizor'!$Q$7:$Q$506,'PI Furnizor'!$A$7:$A$506,$A102))</f>
        <v/>
      </c>
      <c r="AB102" s="56" t="str">
        <f>IF($A102="","",SUMIFS('PI Furnizor'!$N$7:$N$506,'PI Furnizor'!$A$7:$A$506,$A102))</f>
        <v/>
      </c>
      <c r="AC102" s="55" t="str">
        <f t="shared" si="32"/>
        <v/>
      </c>
      <c r="AD102" s="9" t="str">
        <f t="shared" si="33"/>
        <v/>
      </c>
      <c r="AE102" s="9" t="str">
        <f t="shared" si="34"/>
        <v/>
      </c>
      <c r="AF102" s="9" t="str">
        <f t="shared" si="35"/>
        <v/>
      </c>
      <c r="AG102" s="18" t="str">
        <f t="shared" si="36"/>
        <v/>
      </c>
      <c r="AH102" s="17" t="str">
        <f t="shared" si="37"/>
        <v/>
      </c>
      <c r="AI102" s="17" t="str">
        <f t="shared" si="38"/>
        <v/>
      </c>
      <c r="AJ102" s="17" t="str">
        <f t="shared" si="39"/>
        <v/>
      </c>
      <c r="AK102" s="17" t="str">
        <f t="shared" si="40"/>
        <v/>
      </c>
      <c r="AL102" s="19" t="str">
        <f t="shared" si="41"/>
        <v/>
      </c>
      <c r="AM102" s="19" t="str">
        <f t="shared" si="42"/>
        <v/>
      </c>
      <c r="AN102" s="9" t="str">
        <f t="shared" si="43"/>
        <v/>
      </c>
      <c r="AO102" s="18" t="str">
        <f>IF($A102="","",SUMIFS('Calculator Cost per Bucata'!$V$10:$V$509,'Calculator Cost per Bucata'!$A$10:$A$509,$A102))</f>
        <v/>
      </c>
      <c r="AP102" s="17" t="str">
        <f t="shared" si="44"/>
        <v/>
      </c>
      <c r="AQ102" s="20" t="str">
        <f>IF($A102="","",SUMIFS('Calculator Cost per Bucata'!$W$10:$W$509,'Calculator Cost per Bucata'!$A$10:$A$509,$A102))</f>
        <v/>
      </c>
      <c r="AR102" s="21" t="str">
        <f t="shared" si="45"/>
        <v/>
      </c>
      <c r="AS102" s="22" t="str">
        <f t="shared" si="46"/>
        <v/>
      </c>
      <c r="AT102" s="23" t="str">
        <f t="shared" si="47"/>
        <v/>
      </c>
    </row>
    <row r="103" spans="1:46" x14ac:dyDescent="0.3">
      <c r="A103" s="12"/>
      <c r="B103" s="13"/>
      <c r="C103" s="2"/>
      <c r="D103" s="2"/>
      <c r="E103" s="2"/>
      <c r="F103" s="2"/>
      <c r="G103" s="12"/>
      <c r="H103" s="7"/>
      <c r="I103" s="7"/>
      <c r="J103" s="12"/>
      <c r="K103" s="12"/>
      <c r="L103" s="4"/>
      <c r="M103" s="4"/>
      <c r="N103" s="12"/>
      <c r="O103" s="4"/>
      <c r="P103" s="5"/>
      <c r="Q103" s="14"/>
      <c r="R103" s="5"/>
      <c r="S103" s="14"/>
      <c r="T103" s="4"/>
      <c r="U103" s="11"/>
      <c r="V103" s="11"/>
      <c r="W103" s="12"/>
      <c r="X103" s="15" t="str">
        <f>IF($A103="","",COUNTIFS('PI Furnizor'!$A$7:$A$506,$A103,'PI Furnizor'!$D$7:$D$506,"&gt;0"))</f>
        <v/>
      </c>
      <c r="Y103" s="16" t="str">
        <f>IF($A103="","",SUMIFS('PI Furnizor'!$D$7:$D$506,'PI Furnizor'!$A$7:$A$506,$A103))</f>
        <v/>
      </c>
      <c r="Z103" s="9" t="str">
        <f>IF($A103="","",SUMIFS('PI Furnizor'!$O$7:$O$506,'PI Furnizor'!$A$7:$A$506,$A103))</f>
        <v/>
      </c>
      <c r="AA103" s="10" t="str">
        <f>IF($A103="","",SUMIFS('PI Furnizor'!$Q$7:$Q$506,'PI Furnizor'!$A$7:$A$506,$A103))</f>
        <v/>
      </c>
      <c r="AB103" s="56" t="str">
        <f>IF($A103="","",SUMIFS('PI Furnizor'!$N$7:$N$506,'PI Furnizor'!$A$7:$A$506,$A103))</f>
        <v/>
      </c>
      <c r="AC103" s="55" t="str">
        <f t="shared" si="32"/>
        <v/>
      </c>
      <c r="AD103" s="9" t="str">
        <f t="shared" si="33"/>
        <v/>
      </c>
      <c r="AE103" s="9" t="str">
        <f t="shared" si="34"/>
        <v/>
      </c>
      <c r="AF103" s="9" t="str">
        <f t="shared" si="35"/>
        <v/>
      </c>
      <c r="AG103" s="18" t="str">
        <f t="shared" si="36"/>
        <v/>
      </c>
      <c r="AH103" s="17" t="str">
        <f t="shared" si="37"/>
        <v/>
      </c>
      <c r="AI103" s="17" t="str">
        <f t="shared" si="38"/>
        <v/>
      </c>
      <c r="AJ103" s="17" t="str">
        <f t="shared" si="39"/>
        <v/>
      </c>
      <c r="AK103" s="17" t="str">
        <f t="shared" si="40"/>
        <v/>
      </c>
      <c r="AL103" s="19" t="str">
        <f t="shared" si="41"/>
        <v/>
      </c>
      <c r="AM103" s="19" t="str">
        <f t="shared" si="42"/>
        <v/>
      </c>
      <c r="AN103" s="9" t="str">
        <f t="shared" si="43"/>
        <v/>
      </c>
      <c r="AO103" s="18" t="str">
        <f>IF($A103="","",SUMIFS('Calculator Cost per Bucata'!$V$10:$V$509,'Calculator Cost per Bucata'!$A$10:$A$509,$A103))</f>
        <v/>
      </c>
      <c r="AP103" s="17" t="str">
        <f t="shared" si="44"/>
        <v/>
      </c>
      <c r="AQ103" s="20" t="str">
        <f>IF($A103="","",SUMIFS('Calculator Cost per Bucata'!$W$10:$W$509,'Calculator Cost per Bucata'!$A$10:$A$509,$A103))</f>
        <v/>
      </c>
      <c r="AR103" s="21" t="str">
        <f t="shared" si="45"/>
        <v/>
      </c>
      <c r="AS103" s="22" t="str">
        <f t="shared" si="46"/>
        <v/>
      </c>
      <c r="AT103" s="23" t="str">
        <f t="shared" si="47"/>
        <v/>
      </c>
    </row>
    <row r="104" spans="1:46" x14ac:dyDescent="0.3">
      <c r="A104" s="12"/>
      <c r="B104" s="13"/>
      <c r="C104" s="2"/>
      <c r="D104" s="2"/>
      <c r="E104" s="2"/>
      <c r="F104" s="2"/>
      <c r="G104" s="12"/>
      <c r="H104" s="7"/>
      <c r="I104" s="7"/>
      <c r="J104" s="12"/>
      <c r="K104" s="12"/>
      <c r="L104" s="4"/>
      <c r="M104" s="4"/>
      <c r="N104" s="12"/>
      <c r="O104" s="4"/>
      <c r="P104" s="5"/>
      <c r="Q104" s="14"/>
      <c r="R104" s="5"/>
      <c r="S104" s="14"/>
      <c r="T104" s="4"/>
      <c r="U104" s="11"/>
      <c r="V104" s="11"/>
      <c r="W104" s="12"/>
      <c r="X104" s="15" t="str">
        <f>IF($A104="","",COUNTIFS('PI Furnizor'!$A$7:$A$506,$A104,'PI Furnizor'!$D$7:$D$506,"&gt;0"))</f>
        <v/>
      </c>
      <c r="Y104" s="16" t="str">
        <f>IF($A104="","",SUMIFS('PI Furnizor'!$D$7:$D$506,'PI Furnizor'!$A$7:$A$506,$A104))</f>
        <v/>
      </c>
      <c r="Z104" s="9" t="str">
        <f>IF($A104="","",SUMIFS('PI Furnizor'!$O$7:$O$506,'PI Furnizor'!$A$7:$A$506,$A104))</f>
        <v/>
      </c>
      <c r="AA104" s="10" t="str">
        <f>IF($A104="","",SUMIFS('PI Furnizor'!$Q$7:$Q$506,'PI Furnizor'!$A$7:$A$506,$A104))</f>
        <v/>
      </c>
      <c r="AB104" s="56" t="str">
        <f>IF($A104="","",SUMIFS('PI Furnizor'!$N$7:$N$506,'PI Furnizor'!$A$7:$A$506,$A104))</f>
        <v/>
      </c>
      <c r="AC104" s="55" t="str">
        <f t="shared" si="32"/>
        <v/>
      </c>
      <c r="AD104" s="9" t="str">
        <f t="shared" si="33"/>
        <v/>
      </c>
      <c r="AE104" s="9" t="str">
        <f t="shared" si="34"/>
        <v/>
      </c>
      <c r="AF104" s="9" t="str">
        <f t="shared" si="35"/>
        <v/>
      </c>
      <c r="AG104" s="18" t="str">
        <f t="shared" si="36"/>
        <v/>
      </c>
      <c r="AH104" s="17" t="str">
        <f t="shared" si="37"/>
        <v/>
      </c>
      <c r="AI104" s="17" t="str">
        <f t="shared" si="38"/>
        <v/>
      </c>
      <c r="AJ104" s="17" t="str">
        <f t="shared" si="39"/>
        <v/>
      </c>
      <c r="AK104" s="17" t="str">
        <f t="shared" si="40"/>
        <v/>
      </c>
      <c r="AL104" s="19" t="str">
        <f t="shared" si="41"/>
        <v/>
      </c>
      <c r="AM104" s="19" t="str">
        <f t="shared" si="42"/>
        <v/>
      </c>
      <c r="AN104" s="9" t="str">
        <f t="shared" si="43"/>
        <v/>
      </c>
      <c r="AO104" s="18" t="str">
        <f>IF($A104="","",SUMIFS('Calculator Cost per Bucata'!$V$10:$V$509,'Calculator Cost per Bucata'!$A$10:$A$509,$A104))</f>
        <v/>
      </c>
      <c r="AP104" s="17" t="str">
        <f t="shared" si="44"/>
        <v/>
      </c>
      <c r="AQ104" s="20" t="str">
        <f>IF($A104="","",SUMIFS('Calculator Cost per Bucata'!$W$10:$W$509,'Calculator Cost per Bucata'!$A$10:$A$509,$A104))</f>
        <v/>
      </c>
      <c r="AR104" s="21" t="str">
        <f t="shared" si="45"/>
        <v/>
      </c>
      <c r="AS104" s="22" t="str">
        <f t="shared" si="46"/>
        <v/>
      </c>
      <c r="AT104" s="23" t="str">
        <f t="shared" si="47"/>
        <v/>
      </c>
    </row>
    <row r="105" spans="1:46" x14ac:dyDescent="0.3">
      <c r="A105" s="12"/>
      <c r="B105" s="13"/>
      <c r="C105" s="2"/>
      <c r="D105" s="2"/>
      <c r="E105" s="2"/>
      <c r="F105" s="2"/>
      <c r="G105" s="12"/>
      <c r="H105" s="7"/>
      <c r="I105" s="7"/>
      <c r="J105" s="12"/>
      <c r="K105" s="12"/>
      <c r="L105" s="4"/>
      <c r="M105" s="4"/>
      <c r="N105" s="12"/>
      <c r="O105" s="4"/>
      <c r="P105" s="5"/>
      <c r="Q105" s="14"/>
      <c r="R105" s="5"/>
      <c r="S105" s="14"/>
      <c r="T105" s="4"/>
      <c r="U105" s="11"/>
      <c r="V105" s="11"/>
      <c r="W105" s="12"/>
      <c r="X105" s="15" t="str">
        <f>IF($A105="","",COUNTIFS('PI Furnizor'!$A$7:$A$506,$A105,'PI Furnizor'!$D$7:$D$506,"&gt;0"))</f>
        <v/>
      </c>
      <c r="Y105" s="16" t="str">
        <f>IF($A105="","",SUMIFS('PI Furnizor'!$D$7:$D$506,'PI Furnizor'!$A$7:$A$506,$A105))</f>
        <v/>
      </c>
      <c r="Z105" s="9" t="str">
        <f>IF($A105="","",SUMIFS('PI Furnizor'!$O$7:$O$506,'PI Furnizor'!$A$7:$A$506,$A105))</f>
        <v/>
      </c>
      <c r="AA105" s="10" t="str">
        <f>IF($A105="","",SUMIFS('PI Furnizor'!$Q$7:$Q$506,'PI Furnizor'!$A$7:$A$506,$A105))</f>
        <v/>
      </c>
      <c r="AB105" s="56" t="str">
        <f>IF($A105="","",SUMIFS('PI Furnizor'!$N$7:$N$506,'PI Furnizor'!$A$7:$A$506,$A105))</f>
        <v/>
      </c>
      <c r="AC105" s="55" t="str">
        <f t="shared" si="32"/>
        <v/>
      </c>
      <c r="AD105" s="9" t="str">
        <f t="shared" si="33"/>
        <v/>
      </c>
      <c r="AE105" s="9" t="str">
        <f t="shared" si="34"/>
        <v/>
      </c>
      <c r="AF105" s="9" t="str">
        <f t="shared" si="35"/>
        <v/>
      </c>
      <c r="AG105" s="18" t="str">
        <f t="shared" si="36"/>
        <v/>
      </c>
      <c r="AH105" s="17" t="str">
        <f t="shared" si="37"/>
        <v/>
      </c>
      <c r="AI105" s="17" t="str">
        <f t="shared" si="38"/>
        <v/>
      </c>
      <c r="AJ105" s="17" t="str">
        <f t="shared" si="39"/>
        <v/>
      </c>
      <c r="AK105" s="17" t="str">
        <f t="shared" si="40"/>
        <v/>
      </c>
      <c r="AL105" s="19" t="str">
        <f t="shared" si="41"/>
        <v/>
      </c>
      <c r="AM105" s="19" t="str">
        <f t="shared" si="42"/>
        <v/>
      </c>
      <c r="AN105" s="9" t="str">
        <f t="shared" si="43"/>
        <v/>
      </c>
      <c r="AO105" s="18" t="str">
        <f>IF($A105="","",SUMIFS('Calculator Cost per Bucata'!$V$10:$V$509,'Calculator Cost per Bucata'!$A$10:$A$509,$A105))</f>
        <v/>
      </c>
      <c r="AP105" s="17" t="str">
        <f t="shared" si="44"/>
        <v/>
      </c>
      <c r="AQ105" s="20" t="str">
        <f>IF($A105="","",SUMIFS('Calculator Cost per Bucata'!$W$10:$W$509,'Calculator Cost per Bucata'!$A$10:$A$509,$A105))</f>
        <v/>
      </c>
      <c r="AR105" s="21" t="str">
        <f t="shared" si="45"/>
        <v/>
      </c>
      <c r="AS105" s="22" t="str">
        <f t="shared" si="46"/>
        <v/>
      </c>
      <c r="AT105" s="23" t="str">
        <f t="shared" si="47"/>
        <v/>
      </c>
    </row>
    <row r="106" spans="1:46" x14ac:dyDescent="0.3">
      <c r="A106" s="12"/>
      <c r="B106" s="13"/>
      <c r="C106" s="2"/>
      <c r="D106" s="2"/>
      <c r="E106" s="2"/>
      <c r="F106" s="2"/>
      <c r="G106" s="12"/>
      <c r="H106" s="7"/>
      <c r="I106" s="7"/>
      <c r="J106" s="12"/>
      <c r="K106" s="12"/>
      <c r="L106" s="4"/>
      <c r="M106" s="4"/>
      <c r="N106" s="12"/>
      <c r="O106" s="4"/>
      <c r="P106" s="5"/>
      <c r="Q106" s="14"/>
      <c r="R106" s="5"/>
      <c r="S106" s="14"/>
      <c r="T106" s="4"/>
      <c r="U106" s="11"/>
      <c r="V106" s="11"/>
      <c r="W106" s="12"/>
      <c r="X106" s="15" t="str">
        <f>IF($A106="","",COUNTIFS('PI Furnizor'!$A$7:$A$506,$A106,'PI Furnizor'!$D$7:$D$506,"&gt;0"))</f>
        <v/>
      </c>
      <c r="Y106" s="16" t="str">
        <f>IF($A106="","",SUMIFS('PI Furnizor'!$D$7:$D$506,'PI Furnizor'!$A$7:$A$506,$A106))</f>
        <v/>
      </c>
      <c r="Z106" s="9" t="str">
        <f>IF($A106="","",SUMIFS('PI Furnizor'!$O$7:$O$506,'PI Furnizor'!$A$7:$A$506,$A106))</f>
        <v/>
      </c>
      <c r="AA106" s="10" t="str">
        <f>IF($A106="","",SUMIFS('PI Furnizor'!$Q$7:$Q$506,'PI Furnizor'!$A$7:$A$506,$A106))</f>
        <v/>
      </c>
      <c r="AB106" s="56" t="str">
        <f>IF($A106="","",SUMIFS('PI Furnizor'!$N$7:$N$506,'PI Furnizor'!$A$7:$A$506,$A106))</f>
        <v/>
      </c>
      <c r="AC106" s="55" t="str">
        <f t="shared" si="32"/>
        <v/>
      </c>
      <c r="AD106" s="9" t="str">
        <f t="shared" si="33"/>
        <v/>
      </c>
      <c r="AE106" s="9" t="str">
        <f t="shared" si="34"/>
        <v/>
      </c>
      <c r="AF106" s="9" t="str">
        <f t="shared" si="35"/>
        <v/>
      </c>
      <c r="AG106" s="18" t="str">
        <f t="shared" si="36"/>
        <v/>
      </c>
      <c r="AH106" s="17" t="str">
        <f t="shared" si="37"/>
        <v/>
      </c>
      <c r="AI106" s="17" t="str">
        <f t="shared" si="38"/>
        <v/>
      </c>
      <c r="AJ106" s="17" t="str">
        <f t="shared" si="39"/>
        <v/>
      </c>
      <c r="AK106" s="17" t="str">
        <f t="shared" si="40"/>
        <v/>
      </c>
      <c r="AL106" s="19" t="str">
        <f t="shared" si="41"/>
        <v/>
      </c>
      <c r="AM106" s="19" t="str">
        <f t="shared" si="42"/>
        <v/>
      </c>
      <c r="AN106" s="9" t="str">
        <f t="shared" si="43"/>
        <v/>
      </c>
      <c r="AO106" s="18" t="str">
        <f>IF($A106="","",SUMIFS('Calculator Cost per Bucata'!$V$10:$V$509,'Calculator Cost per Bucata'!$A$10:$A$509,$A106))</f>
        <v/>
      </c>
      <c r="AP106" s="17" t="str">
        <f t="shared" si="44"/>
        <v/>
      </c>
      <c r="AQ106" s="20" t="str">
        <f>IF($A106="","",SUMIFS('Calculator Cost per Bucata'!$W$10:$W$509,'Calculator Cost per Bucata'!$A$10:$A$509,$A106))</f>
        <v/>
      </c>
      <c r="AR106" s="21" t="str">
        <f t="shared" si="45"/>
        <v/>
      </c>
      <c r="AS106" s="22" t="str">
        <f t="shared" si="46"/>
        <v/>
      </c>
      <c r="AT106" s="23" t="str">
        <f t="shared" si="47"/>
        <v/>
      </c>
    </row>
    <row r="107" spans="1:46" x14ac:dyDescent="0.3">
      <c r="A107" s="12"/>
      <c r="B107" s="13"/>
      <c r="C107" s="2"/>
      <c r="D107" s="2"/>
      <c r="E107" s="2"/>
      <c r="F107" s="2"/>
      <c r="G107" s="12"/>
      <c r="H107" s="7"/>
      <c r="I107" s="7"/>
      <c r="J107" s="12"/>
      <c r="K107" s="12"/>
      <c r="L107" s="4"/>
      <c r="M107" s="4"/>
      <c r="N107" s="12"/>
      <c r="O107" s="4"/>
      <c r="P107" s="5"/>
      <c r="Q107" s="14"/>
      <c r="R107" s="5"/>
      <c r="S107" s="14"/>
      <c r="T107" s="4"/>
      <c r="U107" s="11"/>
      <c r="V107" s="11"/>
      <c r="W107" s="12"/>
      <c r="X107" s="15" t="str">
        <f>IF($A107="","",COUNTIFS('PI Furnizor'!$A$7:$A$506,$A107,'PI Furnizor'!$D$7:$D$506,"&gt;0"))</f>
        <v/>
      </c>
      <c r="Y107" s="16" t="str">
        <f>IF($A107="","",SUMIFS('PI Furnizor'!$D$7:$D$506,'PI Furnizor'!$A$7:$A$506,$A107))</f>
        <v/>
      </c>
      <c r="Z107" s="9" t="str">
        <f>IF($A107="","",SUMIFS('PI Furnizor'!$O$7:$O$506,'PI Furnizor'!$A$7:$A$506,$A107))</f>
        <v/>
      </c>
      <c r="AA107" s="10" t="str">
        <f>IF($A107="","",SUMIFS('PI Furnizor'!$Q$7:$Q$506,'PI Furnizor'!$A$7:$A$506,$A107))</f>
        <v/>
      </c>
      <c r="AB107" s="56" t="str">
        <f>IF($A107="","",SUMIFS('PI Furnizor'!$N$7:$N$506,'PI Furnizor'!$A$7:$A$506,$A107))</f>
        <v/>
      </c>
      <c r="AC107" s="55" t="str">
        <f t="shared" si="32"/>
        <v/>
      </c>
      <c r="AD107" s="9" t="str">
        <f t="shared" si="33"/>
        <v/>
      </c>
      <c r="AE107" s="9" t="str">
        <f t="shared" si="34"/>
        <v/>
      </c>
      <c r="AF107" s="9" t="str">
        <f t="shared" si="35"/>
        <v/>
      </c>
      <c r="AG107" s="18" t="str">
        <f t="shared" si="36"/>
        <v/>
      </c>
      <c r="AH107" s="17" t="str">
        <f t="shared" si="37"/>
        <v/>
      </c>
      <c r="AI107" s="17" t="str">
        <f t="shared" si="38"/>
        <v/>
      </c>
      <c r="AJ107" s="17" t="str">
        <f t="shared" si="39"/>
        <v/>
      </c>
      <c r="AK107" s="17" t="str">
        <f t="shared" si="40"/>
        <v/>
      </c>
      <c r="AL107" s="19" t="str">
        <f t="shared" si="41"/>
        <v/>
      </c>
      <c r="AM107" s="19" t="str">
        <f t="shared" si="42"/>
        <v/>
      </c>
      <c r="AN107" s="9" t="str">
        <f t="shared" si="43"/>
        <v/>
      </c>
      <c r="AO107" s="18" t="str">
        <f>IF($A107="","",SUMIFS('Calculator Cost per Bucata'!$V$10:$V$509,'Calculator Cost per Bucata'!$A$10:$A$509,$A107))</f>
        <v/>
      </c>
      <c r="AP107" s="17" t="str">
        <f t="shared" si="44"/>
        <v/>
      </c>
      <c r="AQ107" s="20" t="str">
        <f>IF($A107="","",SUMIFS('Calculator Cost per Bucata'!$W$10:$W$509,'Calculator Cost per Bucata'!$A$10:$A$509,$A107))</f>
        <v/>
      </c>
      <c r="AR107" s="21" t="str">
        <f t="shared" si="45"/>
        <v/>
      </c>
      <c r="AS107" s="22" t="str">
        <f t="shared" si="46"/>
        <v/>
      </c>
      <c r="AT107" s="23" t="str">
        <f t="shared" si="47"/>
        <v/>
      </c>
    </row>
    <row r="108" spans="1:46" x14ac:dyDescent="0.3">
      <c r="A108" s="12"/>
      <c r="B108" s="13"/>
      <c r="C108" s="2"/>
      <c r="D108" s="2"/>
      <c r="E108" s="2"/>
      <c r="F108" s="2"/>
      <c r="G108" s="12"/>
      <c r="H108" s="7"/>
      <c r="I108" s="7"/>
      <c r="J108" s="12"/>
      <c r="K108" s="12"/>
      <c r="L108" s="4"/>
      <c r="M108" s="4"/>
      <c r="N108" s="12"/>
      <c r="O108" s="4"/>
      <c r="P108" s="5"/>
      <c r="Q108" s="14"/>
      <c r="R108" s="5"/>
      <c r="S108" s="14"/>
      <c r="T108" s="4"/>
      <c r="U108" s="11"/>
      <c r="V108" s="11"/>
      <c r="W108" s="12"/>
      <c r="X108" s="15" t="str">
        <f>IF($A108="","",COUNTIFS('PI Furnizor'!$A$7:$A$506,$A108,'PI Furnizor'!$D$7:$D$506,"&gt;0"))</f>
        <v/>
      </c>
      <c r="Y108" s="16" t="str">
        <f>IF($A108="","",SUMIFS('PI Furnizor'!$D$7:$D$506,'PI Furnizor'!$A$7:$A$506,$A108))</f>
        <v/>
      </c>
      <c r="Z108" s="9" t="str">
        <f>IF($A108="","",SUMIFS('PI Furnizor'!$O$7:$O$506,'PI Furnizor'!$A$7:$A$506,$A108))</f>
        <v/>
      </c>
      <c r="AA108" s="10" t="str">
        <f>IF($A108="","",SUMIFS('PI Furnizor'!$Q$7:$Q$506,'PI Furnizor'!$A$7:$A$506,$A108))</f>
        <v/>
      </c>
      <c r="AB108" s="56" t="str">
        <f>IF($A108="","",SUMIFS('PI Furnizor'!$N$7:$N$506,'PI Furnizor'!$A$7:$A$506,$A108))</f>
        <v/>
      </c>
      <c r="AC108" s="55" t="str">
        <f t="shared" si="32"/>
        <v/>
      </c>
      <c r="AD108" s="9" t="str">
        <f t="shared" si="33"/>
        <v/>
      </c>
      <c r="AE108" s="9" t="str">
        <f t="shared" si="34"/>
        <v/>
      </c>
      <c r="AF108" s="9" t="str">
        <f t="shared" si="35"/>
        <v/>
      </c>
      <c r="AG108" s="18" t="str">
        <f t="shared" si="36"/>
        <v/>
      </c>
      <c r="AH108" s="17" t="str">
        <f t="shared" si="37"/>
        <v/>
      </c>
      <c r="AI108" s="17" t="str">
        <f t="shared" si="38"/>
        <v/>
      </c>
      <c r="AJ108" s="17" t="str">
        <f t="shared" si="39"/>
        <v/>
      </c>
      <c r="AK108" s="17" t="str">
        <f t="shared" si="40"/>
        <v/>
      </c>
      <c r="AL108" s="19" t="str">
        <f t="shared" si="41"/>
        <v/>
      </c>
      <c r="AM108" s="19" t="str">
        <f t="shared" si="42"/>
        <v/>
      </c>
      <c r="AN108" s="9" t="str">
        <f t="shared" si="43"/>
        <v/>
      </c>
      <c r="AO108" s="18" t="str">
        <f>IF($A108="","",SUMIFS('Calculator Cost per Bucata'!$V$10:$V$509,'Calculator Cost per Bucata'!$A$10:$A$509,$A108))</f>
        <v/>
      </c>
      <c r="AP108" s="17" t="str">
        <f t="shared" si="44"/>
        <v/>
      </c>
      <c r="AQ108" s="20" t="str">
        <f>IF($A108="","",SUMIFS('Calculator Cost per Bucata'!$W$10:$W$509,'Calculator Cost per Bucata'!$A$10:$A$509,$A108))</f>
        <v/>
      </c>
      <c r="AR108" s="21" t="str">
        <f t="shared" si="45"/>
        <v/>
      </c>
      <c r="AS108" s="22" t="str">
        <f t="shared" si="46"/>
        <v/>
      </c>
      <c r="AT108" s="23" t="str">
        <f t="shared" si="47"/>
        <v/>
      </c>
    </row>
  </sheetData>
  <mergeCells count="8">
    <mergeCell ref="A6:C6"/>
    <mergeCell ref="A7:W7"/>
    <mergeCell ref="X7:AT7"/>
    <mergeCell ref="A1:AT1"/>
    <mergeCell ref="A3:C3"/>
    <mergeCell ref="F3:W5"/>
    <mergeCell ref="A4:C4"/>
    <mergeCell ref="A5:C5"/>
  </mergeCells>
  <phoneticPr fontId="14" type="noConversion"/>
  <conditionalFormatting sqref="AT9:AT108">
    <cfRule type="expression" dxfId="5" priority="2">
      <formula>AND($AT9&lt;&gt;"",$AT9&lt;&gt;"OK")</formula>
    </cfRule>
  </conditionalFormatting>
  <dataValidations count="6">
    <dataValidation type="list" sqref="D6" xr:uid="{00000000-0002-0000-0100-000000000000}">
      <formula1>"Da,Nu"</formula1>
      <formula2>0</formula2>
    </dataValidation>
    <dataValidation type="list" allowBlank="1" error="Alege o valoare din lista" sqref="F9:F108" xr:uid="{00000000-0002-0000-0100-000001000000}">
      <formula1>"Aerian,Maritim LCL,Maritim FCL,Rutier,Curier"</formula1>
      <formula2>0</formula2>
    </dataValidation>
    <dataValidation type="list" allowBlank="1" error="Alege o valoare din lista" sqref="G9:G108 J9:J108" xr:uid="{00000000-0002-0000-0100-000002000000}">
      <formula1>"USD,EUR,RON"</formula1>
      <formula2>0</formula2>
    </dataValidation>
    <dataValidation type="list" allowBlank="1" error="Alege o valoare din lista" sqref="K9:K108" xr:uid="{00000000-0002-0000-0100-000004000000}">
      <formula1>"kg,CBM,Total fix"</formula1>
      <formula2>0</formula2>
    </dataValidation>
    <dataValidation type="list" allowBlank="1" error="Alege o valoare din lista" sqref="N9:N108" xr:uid="{00000000-0002-0000-0100-000005000000}">
      <formula1>"Da,Nu"</formula1>
      <formula2>0</formula2>
    </dataValidation>
    <dataValidation type="list" allowBlank="1" error="Alege o valoare din lista" sqref="W9:W108" xr:uid="{00000000-0002-0000-0100-000006000000}">
      <formula1>"Automat,Greutate,Volum (CBM),Egal pe bucata,Valoare marfa"</formula1>
      <formula2>0</formula2>
    </dataValidation>
  </dataValidations>
  <pageMargins left="0.75" right="0.75" top="1" bottom="1" header="0.511811023622047" footer="0.511811023622047"/>
  <pageSetup fitToHeight="0"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509"/>
  <sheetViews>
    <sheetView showGridLines="0" zoomScaleNormal="100" workbookViewId="0">
      <pane xSplit="4" ySplit="9" topLeftCell="E10" activePane="bottomRight" state="frozen"/>
      <selection pane="topRight" activeCell="E1" sqref="E1"/>
      <selection pane="bottomLeft" activeCell="A10" sqref="A10"/>
      <selection pane="bottomRight" activeCell="V16" sqref="V16"/>
    </sheetView>
  </sheetViews>
  <sheetFormatPr defaultColWidth="8.6640625" defaultRowHeight="14.4" x14ac:dyDescent="0.3"/>
  <cols>
    <col min="1" max="1" width="10" customWidth="1"/>
    <col min="2" max="2" width="11" customWidth="1"/>
    <col min="3" max="3" width="12" customWidth="1"/>
    <col min="4" max="4" width="26" customWidth="1"/>
    <col min="5" max="5" width="10" customWidth="1"/>
    <col min="6" max="6" width="8" customWidth="1"/>
    <col min="7" max="10" width="13" customWidth="1"/>
    <col min="11" max="11" width="14" customWidth="1"/>
    <col min="12" max="12" width="12" customWidth="1"/>
    <col min="13" max="13" width="14" customWidth="1"/>
    <col min="14" max="14" width="12" customWidth="1"/>
    <col min="15" max="15" width="14" customWidth="1"/>
    <col min="16" max="16" width="13" customWidth="1"/>
    <col min="17" max="18" width="12" customWidth="1"/>
    <col min="19" max="19" width="13" customWidth="1"/>
    <col min="20" max="21" width="12" customWidth="1"/>
    <col min="22" max="23" width="14" customWidth="1"/>
    <col min="24" max="24" width="9" customWidth="1"/>
    <col min="25" max="25" width="7" customWidth="1"/>
    <col min="26" max="26" width="20.88671875" customWidth="1"/>
    <col min="27" max="28" width="9" customWidth="1"/>
    <col min="29" max="29" width="8" customWidth="1"/>
    <col min="30" max="30" width="9" customWidth="1"/>
    <col min="31" max="31" width="11" customWidth="1"/>
  </cols>
  <sheetData>
    <row r="1" spans="1:31" ht="27.75" customHeight="1" x14ac:dyDescent="0.3">
      <c r="A1" s="61" t="s">
        <v>92</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row>
    <row r="3" spans="1:31" ht="48" customHeight="1" x14ac:dyDescent="0.3">
      <c r="A3" s="62" t="s">
        <v>93</v>
      </c>
      <c r="B3" s="62"/>
      <c r="C3" s="62"/>
      <c r="D3" s="62"/>
      <c r="E3" s="62"/>
      <c r="F3" s="62"/>
      <c r="G3" s="62"/>
      <c r="H3" s="62"/>
      <c r="I3" s="62"/>
      <c r="J3" s="62"/>
      <c r="K3" s="62"/>
      <c r="L3" s="62"/>
      <c r="M3" s="62"/>
      <c r="N3" s="62"/>
      <c r="O3" s="62"/>
      <c r="P3" s="62"/>
      <c r="Q3" s="62"/>
      <c r="R3" s="62"/>
      <c r="S3" s="62"/>
      <c r="T3" s="62"/>
      <c r="U3" s="62"/>
      <c r="V3" s="62"/>
      <c r="W3" s="62"/>
    </row>
    <row r="5" spans="1:31" ht="26.25" customHeight="1" x14ac:dyDescent="0.3">
      <c r="A5" s="63" t="s">
        <v>94</v>
      </c>
      <c r="B5" s="63"/>
      <c r="C5" s="63"/>
      <c r="D5" s="63"/>
      <c r="E5" s="24">
        <f>SUBTOTAL(109,E10:E509)</f>
        <v>9</v>
      </c>
      <c r="F5" s="25"/>
      <c r="G5" s="25"/>
      <c r="H5" s="25"/>
      <c r="I5" s="25"/>
      <c r="J5" s="25"/>
      <c r="K5" s="25"/>
      <c r="L5" s="25"/>
      <c r="M5" s="25"/>
      <c r="N5" s="25"/>
      <c r="O5" s="25"/>
      <c r="P5" s="25"/>
      <c r="Q5" s="25"/>
      <c r="R5" s="25"/>
      <c r="S5" s="26" t="s">
        <v>95</v>
      </c>
      <c r="T5" s="27">
        <f>W5-V5</f>
        <v>163.21964819999994</v>
      </c>
      <c r="U5" s="25"/>
      <c r="V5" s="27">
        <f>SUBTOTAL(109,V10:V509)</f>
        <v>777.23641999999995</v>
      </c>
      <c r="W5" s="27">
        <f>SUBTOTAL(109,W10:W509)</f>
        <v>940.45606819999989</v>
      </c>
    </row>
    <row r="8" spans="1:31" ht="15" customHeight="1" x14ac:dyDescent="0.3">
      <c r="A8" s="60" t="s">
        <v>96</v>
      </c>
      <c r="B8" s="60"/>
      <c r="C8" s="60"/>
      <c r="D8" s="60"/>
      <c r="E8" s="60"/>
      <c r="F8" s="60"/>
      <c r="G8" s="60" t="s">
        <v>97</v>
      </c>
      <c r="H8" s="60"/>
      <c r="I8" s="60" t="s">
        <v>98</v>
      </c>
      <c r="J8" s="60"/>
      <c r="K8" s="60" t="s">
        <v>99</v>
      </c>
      <c r="L8" s="60"/>
      <c r="M8" s="60"/>
      <c r="N8" s="60"/>
      <c r="O8" s="60"/>
      <c r="P8" s="64" t="s">
        <v>100</v>
      </c>
      <c r="Q8" s="64"/>
      <c r="R8" s="64"/>
      <c r="S8" s="65" t="s">
        <v>101</v>
      </c>
      <c r="T8" s="65"/>
      <c r="U8" s="65"/>
      <c r="V8" s="60" t="s">
        <v>102</v>
      </c>
      <c r="W8" s="60"/>
      <c r="X8" s="66" t="s">
        <v>103</v>
      </c>
      <c r="Y8" s="66"/>
      <c r="Z8" s="66"/>
      <c r="AA8" s="66"/>
      <c r="AB8" s="66"/>
      <c r="AC8" s="66"/>
      <c r="AD8" s="66"/>
      <c r="AE8" s="66"/>
    </row>
    <row r="9" spans="1:31" ht="60" customHeight="1" x14ac:dyDescent="0.3">
      <c r="A9" s="1" t="s">
        <v>104</v>
      </c>
      <c r="B9" s="1" t="s">
        <v>105</v>
      </c>
      <c r="C9" s="1" t="s">
        <v>106</v>
      </c>
      <c r="D9" s="1" t="s">
        <v>6</v>
      </c>
      <c r="E9" s="1" t="s">
        <v>7</v>
      </c>
      <c r="F9" s="1" t="s">
        <v>107</v>
      </c>
      <c r="G9" s="1" t="s">
        <v>108</v>
      </c>
      <c r="H9" s="1" t="s">
        <v>109</v>
      </c>
      <c r="I9" s="1" t="s">
        <v>110</v>
      </c>
      <c r="J9" s="1" t="s">
        <v>111</v>
      </c>
      <c r="K9" s="1" t="s">
        <v>112</v>
      </c>
      <c r="L9" s="1" t="s">
        <v>113</v>
      </c>
      <c r="M9" s="1" t="s">
        <v>114</v>
      </c>
      <c r="N9" s="1" t="s">
        <v>115</v>
      </c>
      <c r="O9" s="1" t="s">
        <v>116</v>
      </c>
      <c r="P9" s="1" t="s">
        <v>117</v>
      </c>
      <c r="Q9" s="1" t="s">
        <v>118</v>
      </c>
      <c r="R9" s="1" t="s">
        <v>89</v>
      </c>
      <c r="S9" s="1" t="s">
        <v>117</v>
      </c>
      <c r="T9" s="1" t="s">
        <v>118</v>
      </c>
      <c r="U9" s="1" t="s">
        <v>89</v>
      </c>
      <c r="V9" s="1" t="s">
        <v>119</v>
      </c>
      <c r="W9" s="1" t="s">
        <v>120</v>
      </c>
      <c r="X9" s="1" t="s">
        <v>121</v>
      </c>
      <c r="Y9" s="1" t="s">
        <v>122</v>
      </c>
      <c r="Z9" s="1" t="s">
        <v>123</v>
      </c>
      <c r="AA9" s="1" t="s">
        <v>124</v>
      </c>
      <c r="AB9" s="1" t="s">
        <v>125</v>
      </c>
      <c r="AC9" s="1" t="s">
        <v>126</v>
      </c>
      <c r="AD9" s="1" t="s">
        <v>127</v>
      </c>
      <c r="AE9" s="1" t="s">
        <v>128</v>
      </c>
    </row>
    <row r="10" spans="1:31" x14ac:dyDescent="0.3">
      <c r="A10" s="28" t="str">
        <f>IF(COUNTA(INDEX('PI Furnizor'!$A:$E,ROW()-3,0))=0,"",IF(INDEX('PI Furnizor'!$A:$A,ROW()-3)="","?",INDEX('PI Furnizor'!$A:$A,ROW()-3)))</f>
        <v>C001</v>
      </c>
      <c r="B10" s="29">
        <f>IF(ISNUMBER($X10),INDEX(Comenzi!$B:$B,$X10),"")</f>
        <v>46260</v>
      </c>
      <c r="C10" s="28" t="str">
        <f>IF($A10="","",INDEX('PI Furnizor'!$B:$B,ROW()-3)&amp;"")</f>
        <v>8821-DS</v>
      </c>
      <c r="D10" s="28" t="str">
        <f>IF($A10="","",INDEX('PI Furnizor'!$C:$C,ROW()-3)&amp;"")</f>
        <v>Christmas flower</v>
      </c>
      <c r="E10" s="30">
        <f>IF($A10="","",N(INDEX('PI Furnizor'!$D:$D,ROW()-3)))</f>
        <v>1</v>
      </c>
      <c r="F10" s="31" t="str">
        <f>IF(ISNUMBER($X10),INDEX(Comenzi!$G:$G,$X10),"")</f>
        <v>USD</v>
      </c>
      <c r="G10" s="32">
        <f>IF($A10="","",N(INDEX('PI Furnizor'!$E:$E,ROW()-3)))</f>
        <v>6.15</v>
      </c>
      <c r="H10" s="33">
        <f t="shared" ref="H10:H73" si="0">IF($Y10&lt;&gt;1,"",$G10*IF($F10="USD",$AA10,IF($F10="EUR",$AB10,1)))</f>
        <v>29.12886</v>
      </c>
      <c r="I10" s="34">
        <f>IF($Y10&lt;&gt;1,"",IFERROR($AE10/INDEX(Comenzi!$AN:$AN,$X10),0))</f>
        <v>0.11133603238866399</v>
      </c>
      <c r="J10" s="33">
        <f>IF($Y10&lt;&gt;1,"",INDEX(Comenzi!$AG:$AG,$X10)*$I10/$E10)</f>
        <v>35.900761457489878</v>
      </c>
      <c r="K10" s="33">
        <f t="shared" ref="K10:K73" si="1">IF($Y10&lt;&gt;1,"",$H10+$J10)</f>
        <v>65.029621457489881</v>
      </c>
      <c r="L10" s="33">
        <f>IF($Y10&lt;&gt;1,"",$K10*$AD10+INDEX(Comenzi!$AJ:$AJ,$X10)*$I10/$E10)</f>
        <v>0</v>
      </c>
      <c r="M10" s="33">
        <f t="shared" ref="M10:M73" si="2">IF($Y10&lt;&gt;1,"",$K10+$L10)</f>
        <v>65.029621457489881</v>
      </c>
      <c r="N10" s="33">
        <f t="shared" ref="N10:N73" si="3">IF($Y10&lt;&gt;1,"",$M10*$AC10)</f>
        <v>13.656220506072875</v>
      </c>
      <c r="O10" s="33">
        <f>IF($Y10&lt;&gt;1,"",(INDEX(Comenzi!$AK:$AK,$X10)+N(INDEX(Comenzi!$T:$T,$X10)))*$I10/$E10)</f>
        <v>0</v>
      </c>
      <c r="P10" s="35">
        <f t="shared" ref="P10:P73" si="4">IF($Y10&lt;&gt;1,"",$M10+$O10)</f>
        <v>65.029621457489881</v>
      </c>
      <c r="Q10" s="36">
        <f t="shared" ref="Q10:Q73" si="5">IF($Y10&lt;&gt;1,"",$P10/$AB10)</f>
        <v>12.190615900099333</v>
      </c>
      <c r="R10" s="37">
        <f t="shared" ref="R10:R73" si="6">IF($Y10&lt;&gt;1,"",$P10/$AA10)</f>
        <v>13.729757085020244</v>
      </c>
      <c r="S10" s="38">
        <f t="shared" ref="S10:S73" si="7">IF($Y10&lt;&gt;1,"",$P10+$N10)</f>
        <v>78.685841963562751</v>
      </c>
      <c r="T10" s="39">
        <f t="shared" ref="T10:T73" si="8">IF($Y10&lt;&gt;1,"",$S10/$AB10)</f>
        <v>14.750645239120193</v>
      </c>
      <c r="U10" s="40">
        <f t="shared" ref="U10:U73" si="9">IF($Y10&lt;&gt;1,"",$S10/$AA10)</f>
        <v>16.613006072874494</v>
      </c>
      <c r="V10" s="33">
        <f t="shared" ref="V10:V73" si="10">IF($Y10&lt;&gt;1,"",$P10*$E10)</f>
        <v>65.029621457489881</v>
      </c>
      <c r="W10" s="33">
        <f t="shared" ref="W10:W73" si="11">IF($Y10&lt;&gt;1,"",$S10*$E10)</f>
        <v>78.685841963562751</v>
      </c>
      <c r="X10" s="41">
        <f>IF($A10="","",IFERROR(MATCH($A10,Comenzi!$A$9:$A$108,0)+8,""))</f>
        <v>9</v>
      </c>
      <c r="Y10" s="41">
        <f t="shared" ref="Y10:Y73" si="12">IF($A10="","",IF(AND(ISNUMBER($X10),N($E10)&gt;0,N($AA10)&gt;0,N($AB10)&gt;0,OR($F10="USD",$F10="EUR",$F10="RON")),1,0))</f>
        <v>1</v>
      </c>
      <c r="Z10" s="42" t="str">
        <f>IF($A10="","",IF($A10="?","Lipseste ID-ul comenzii (col. A din PI Furnizor)",IF(NOT(ISNUMBER($X10)),"ID comanda negasit in foaia Comenzi",IF(N($E10)&lt;=0,"Lipseste cantitatea",IF(N($G10)=0,"Pret unitar lipsa",IF($Y10&lt;&gt;1,"Curs sau moneda marfa lipsa (foaia Comenzi)",IF(INDEX(Comenzi!$AT:$AT,$X10)&lt;&gt;"OK","Avertisment comanda: "&amp;INDEX(Comenzi!$AT:$AT,$X10),"OK")))))))</f>
        <v>OK</v>
      </c>
      <c r="AA10" s="43">
        <f>IF(ISNUMBER($X10),INDEX(Comenzi!$H:$H,$X10),"")</f>
        <v>4.7363999999999997</v>
      </c>
      <c r="AB10" s="43">
        <f>IF(ISNUMBER($X10),INDEX(Comenzi!$I:$I,$X10),"")</f>
        <v>5.3343999999999996</v>
      </c>
      <c r="AC10" s="44">
        <f>IF(ISNUMBER($X10),IF(INDEX(Comenzi!$V:$V,$X10)="",Comenzi!$D$3,INDEX(Comenzi!$V:$V,$X10)),"")</f>
        <v>0.21</v>
      </c>
      <c r="AD10" s="44">
        <f>IF(ISNUMBER($X10),IF(INDEX(Comenzi!$U:$U,$X10)="",Comenzi!$D$4,INDEX(Comenzi!$U:$U,$X10)),"")</f>
        <v>0</v>
      </c>
      <c r="AE10" s="45">
        <f>IF($Y10&lt;&gt;1,"",IF(INDEX(Comenzi!$AM:$AM,$X10)="Greutate",INDEX('PI Furnizor'!$O:$O,ROW()-3),IF(INDEX(Comenzi!$AM:$AM,$X10)="Volum (CBM)",INDEX('PI Furnizor'!$Q:$Q,ROW()-3),IF(INDEX(Comenzi!$AM:$AM,$X10)="Valoare marfa",INDEX('PI Furnizor'!$N:$N,ROW()-3),$E10))))</f>
        <v>0.55000000000000004</v>
      </c>
    </row>
    <row r="11" spans="1:31" x14ac:dyDescent="0.3">
      <c r="A11" s="28" t="str">
        <f>IF(COUNTA(INDEX('PI Furnizor'!$A:$E,ROW()-3,0))=0,"",IF(INDEX('PI Furnizor'!$A:$A,ROW()-3)="","?",INDEX('PI Furnizor'!$A:$A,ROW()-3)))</f>
        <v>C001</v>
      </c>
      <c r="B11" s="29">
        <f>IF(ISNUMBER($X11),INDEX(Comenzi!$B:$B,$X11),"")</f>
        <v>46260</v>
      </c>
      <c r="C11" s="28" t="str">
        <f>IF($A11="","",INDEX('PI Furnizor'!$B:$B,ROW()-3)&amp;"")</f>
        <v>11153-DS</v>
      </c>
      <c r="D11" s="28" t="str">
        <f>IF($A11="","",INDEX('PI Furnizor'!$C:$C,ROW()-3)&amp;"")</f>
        <v>Garland</v>
      </c>
      <c r="E11" s="30">
        <f>IF($A11="","",N(INDEX('PI Furnizor'!$D:$D,ROW()-3)))</f>
        <v>1</v>
      </c>
      <c r="F11" s="31" t="str">
        <f>IF(ISNUMBER($X11),INDEX(Comenzi!$G:$G,$X11),"")</f>
        <v>USD</v>
      </c>
      <c r="G11" s="32">
        <f>IF($A11="","",N(INDEX('PI Furnizor'!$E:$E,ROW()-3)))</f>
        <v>5.51</v>
      </c>
      <c r="H11" s="33">
        <f t="shared" si="0"/>
        <v>26.097563999999998</v>
      </c>
      <c r="I11" s="34">
        <f>IF($Y11&lt;&gt;1,"",IFERROR($AE11/INDEX(Comenzi!$AN:$AN,$X11),0))</f>
        <v>8.7044534412955468E-2</v>
      </c>
      <c r="J11" s="33">
        <f>IF($Y11&lt;&gt;1,"",INDEX(Comenzi!$AG:$AG,$X11)*$I11/$E11)</f>
        <v>28.067868048582994</v>
      </c>
      <c r="K11" s="33">
        <f t="shared" si="1"/>
        <v>54.165432048582993</v>
      </c>
      <c r="L11" s="33">
        <f>IF($Y11&lt;&gt;1,"",$K11*$AD11+INDEX(Comenzi!$AJ:$AJ,$X11)*$I11/$E11)</f>
        <v>0</v>
      </c>
      <c r="M11" s="33">
        <f t="shared" si="2"/>
        <v>54.165432048582993</v>
      </c>
      <c r="N11" s="33">
        <f t="shared" si="3"/>
        <v>11.374740730202427</v>
      </c>
      <c r="O11" s="33">
        <f>IF($Y11&lt;&gt;1,"",(INDEX(Comenzi!$AK:$AK,$X11)+N(INDEX(Comenzi!$T:$T,$X11)))*$I11/$E11)</f>
        <v>0</v>
      </c>
      <c r="P11" s="35">
        <f t="shared" si="4"/>
        <v>54.165432048582993</v>
      </c>
      <c r="Q11" s="36">
        <f t="shared" si="5"/>
        <v>10.153987711566998</v>
      </c>
      <c r="R11" s="37">
        <f t="shared" si="6"/>
        <v>11.435991902834008</v>
      </c>
      <c r="S11" s="38">
        <f t="shared" si="7"/>
        <v>65.540172778785418</v>
      </c>
      <c r="T11" s="39">
        <f t="shared" si="8"/>
        <v>12.286325130996067</v>
      </c>
      <c r="U11" s="40">
        <f t="shared" si="9"/>
        <v>13.837550202429149</v>
      </c>
      <c r="V11" s="33">
        <f t="shared" si="10"/>
        <v>54.165432048582993</v>
      </c>
      <c r="W11" s="33">
        <f t="shared" si="11"/>
        <v>65.540172778785418</v>
      </c>
      <c r="X11" s="41">
        <f>IF($A11="","",IFERROR(MATCH($A11,Comenzi!$A$9:$A$108,0)+8,""))</f>
        <v>9</v>
      </c>
      <c r="Y11" s="41">
        <f t="shared" si="12"/>
        <v>1</v>
      </c>
      <c r="Z11" s="42" t="str">
        <f>IF($A11="","",IF($A11="?","Lipseste ID-ul comenzii (col. A din PI Furnizor)",IF(NOT(ISNUMBER($X11)),"ID comanda negasit in foaia Comenzi",IF(N($E11)&lt;=0,"Lipseste cantitatea",IF(N($G11)=0,"Pret unitar lipsa",IF($Y11&lt;&gt;1,"Curs sau moneda marfa lipsa (foaia Comenzi)",IF(INDEX(Comenzi!$AT:$AT,$X11)&lt;&gt;"OK","Avertisment comanda: "&amp;INDEX(Comenzi!$AT:$AT,$X11),"OK")))))))</f>
        <v>OK</v>
      </c>
      <c r="AA11" s="43">
        <f>IF(ISNUMBER($X11),INDEX(Comenzi!$H:$H,$X11),"")</f>
        <v>4.7363999999999997</v>
      </c>
      <c r="AB11" s="43">
        <f>IF(ISNUMBER($X11),INDEX(Comenzi!$I:$I,$X11),"")</f>
        <v>5.3343999999999996</v>
      </c>
      <c r="AC11" s="44">
        <f>IF(ISNUMBER($X11),IF(INDEX(Comenzi!$V:$V,$X11)="",Comenzi!$D$3,INDEX(Comenzi!$V:$V,$X11)),"")</f>
        <v>0.21</v>
      </c>
      <c r="AD11" s="44">
        <f>IF(ISNUMBER($X11),IF(INDEX(Comenzi!$U:$U,$X11)="",Comenzi!$D$4,INDEX(Comenzi!$U:$U,$X11)),"")</f>
        <v>0</v>
      </c>
      <c r="AE11" s="45">
        <f>IF($Y11&lt;&gt;1,"",IF(INDEX(Comenzi!$AM:$AM,$X11)="Greutate",INDEX('PI Furnizor'!$O:$O,ROW()-3),IF(INDEX(Comenzi!$AM:$AM,$X11)="Volum (CBM)",INDEX('PI Furnizor'!$Q:$Q,ROW()-3),IF(INDEX(Comenzi!$AM:$AM,$X11)="Valoare marfa",INDEX('PI Furnizor'!$N:$N,ROW()-3),$E11))))</f>
        <v>0.43</v>
      </c>
    </row>
    <row r="12" spans="1:31" x14ac:dyDescent="0.3">
      <c r="A12" s="28" t="str">
        <f>IF(COUNTA(INDEX('PI Furnizor'!$A:$E,ROW()-3,0))=0,"",IF(INDEX('PI Furnizor'!$A:$A,ROW()-3)="","?",INDEX('PI Furnizor'!$A:$A,ROW()-3)))</f>
        <v>C001</v>
      </c>
      <c r="B12" s="29">
        <f>IF(ISNUMBER($X12),INDEX(Comenzi!$B:$B,$X12),"")</f>
        <v>46260</v>
      </c>
      <c r="C12" s="28" t="str">
        <f>IF($A12="","",INDEX('PI Furnizor'!$B:$B,ROW()-3)&amp;"")</f>
        <v>C0230</v>
      </c>
      <c r="D12" s="28" t="str">
        <f>IF($A12="","",INDEX('PI Furnizor'!$C:$C,ROW()-3)&amp;"")</f>
        <v>EC-Fairy Land-Castle</v>
      </c>
      <c r="E12" s="30">
        <f>IF($A12="","",N(INDEX('PI Furnizor'!$D:$D,ROW()-3)))</f>
        <v>1</v>
      </c>
      <c r="F12" s="31" t="str">
        <f>IF(ISNUMBER($X12),INDEX(Comenzi!$G:$G,$X12),"")</f>
        <v>USD</v>
      </c>
      <c r="G12" s="32">
        <f>IF($A12="","",N(INDEX('PI Furnizor'!$E:$E,ROW()-3)))</f>
        <v>4.2300000000000004</v>
      </c>
      <c r="H12" s="33">
        <f t="shared" si="0"/>
        <v>20.034972</v>
      </c>
      <c r="I12" s="34">
        <f>IF($Y12&lt;&gt;1,"",IFERROR($AE12/INDEX(Comenzi!$AN:$AN,$X12),0))</f>
        <v>0.16194331983805671</v>
      </c>
      <c r="J12" s="33">
        <f>IF($Y12&lt;&gt;1,"",INDEX(Comenzi!$AG:$AG,$X12)*$I12/$E12)</f>
        <v>52.219289392712554</v>
      </c>
      <c r="K12" s="33">
        <f t="shared" si="1"/>
        <v>72.25426139271255</v>
      </c>
      <c r="L12" s="33">
        <f>IF($Y12&lt;&gt;1,"",$K12*$AD12+INDEX(Comenzi!$AJ:$AJ,$X12)*$I12/$E12)</f>
        <v>0</v>
      </c>
      <c r="M12" s="33">
        <f t="shared" si="2"/>
        <v>72.25426139271255</v>
      </c>
      <c r="N12" s="33">
        <f t="shared" si="3"/>
        <v>15.173394892469634</v>
      </c>
      <c r="O12" s="33">
        <f>IF($Y12&lt;&gt;1,"",(INDEX(Comenzi!$AK:$AK,$X12)+N(INDEX(Comenzi!$T:$T,$X12)))*$I12/$E12)</f>
        <v>0</v>
      </c>
      <c r="P12" s="35">
        <f t="shared" si="4"/>
        <v>72.25426139271255</v>
      </c>
      <c r="Q12" s="36">
        <f t="shared" si="5"/>
        <v>13.544965018129979</v>
      </c>
      <c r="R12" s="37">
        <f t="shared" si="6"/>
        <v>15.2551012145749</v>
      </c>
      <c r="S12" s="38">
        <f t="shared" si="7"/>
        <v>87.427656285182181</v>
      </c>
      <c r="T12" s="39">
        <f t="shared" si="8"/>
        <v>16.389407671937274</v>
      </c>
      <c r="U12" s="40">
        <f t="shared" si="9"/>
        <v>18.458672469635626</v>
      </c>
      <c r="V12" s="33">
        <f t="shared" si="10"/>
        <v>72.25426139271255</v>
      </c>
      <c r="W12" s="33">
        <f t="shared" si="11"/>
        <v>87.427656285182181</v>
      </c>
      <c r="X12" s="41">
        <f>IF($A12="","",IFERROR(MATCH($A12,Comenzi!$A$9:$A$108,0)+8,""))</f>
        <v>9</v>
      </c>
      <c r="Y12" s="41">
        <f t="shared" si="12"/>
        <v>1</v>
      </c>
      <c r="Z12" s="42" t="str">
        <f>IF($A12="","",IF($A12="?","Lipseste ID-ul comenzii (col. A din PI Furnizor)",IF(NOT(ISNUMBER($X12)),"ID comanda negasit in foaia Comenzi",IF(N($E12)&lt;=0,"Lipseste cantitatea",IF(N($G12)=0,"Pret unitar lipsa",IF($Y12&lt;&gt;1,"Curs sau moneda marfa lipsa (foaia Comenzi)",IF(INDEX(Comenzi!$AT:$AT,$X12)&lt;&gt;"OK","Avertisment comanda: "&amp;INDEX(Comenzi!$AT:$AT,$X12),"OK")))))))</f>
        <v>OK</v>
      </c>
      <c r="AA12" s="43">
        <f>IF(ISNUMBER($X12),INDEX(Comenzi!$H:$H,$X12),"")</f>
        <v>4.7363999999999997</v>
      </c>
      <c r="AB12" s="43">
        <f>IF(ISNUMBER($X12),INDEX(Comenzi!$I:$I,$X12),"")</f>
        <v>5.3343999999999996</v>
      </c>
      <c r="AC12" s="44">
        <f>IF(ISNUMBER($X12),IF(INDEX(Comenzi!$V:$V,$X12)="",Comenzi!$D$3,INDEX(Comenzi!$V:$V,$X12)),"")</f>
        <v>0.21</v>
      </c>
      <c r="AD12" s="44">
        <f>IF(ISNUMBER($X12),IF(INDEX(Comenzi!$U:$U,$X12)="",Comenzi!$D$4,INDEX(Comenzi!$U:$U,$X12)),"")</f>
        <v>0</v>
      </c>
      <c r="AE12" s="45">
        <f>IF($Y12&lt;&gt;1,"",IF(INDEX(Comenzi!$AM:$AM,$X12)="Greutate",INDEX('PI Furnizor'!$O:$O,ROW()-3),IF(INDEX(Comenzi!$AM:$AM,$X12)="Volum (CBM)",INDEX('PI Furnizor'!$Q:$Q,ROW()-3),IF(INDEX(Comenzi!$AM:$AM,$X12)="Valoare marfa",INDEX('PI Furnizor'!$N:$N,ROW()-3),$E12))))</f>
        <v>0.8</v>
      </c>
    </row>
    <row r="13" spans="1:31" x14ac:dyDescent="0.3">
      <c r="A13" s="28" t="str">
        <f>IF(COUNTA(INDEX('PI Furnizor'!$A:$E,ROW()-3,0))=0,"",IF(INDEX('PI Furnizor'!$A:$A,ROW()-3)="","?",INDEX('PI Furnizor'!$A:$A,ROW()-3)))</f>
        <v>C001</v>
      </c>
      <c r="B13" s="29">
        <f>IF(ISNUMBER($X13),INDEX(Comenzi!$B:$B,$X13),"")</f>
        <v>46260</v>
      </c>
      <c r="C13" s="28" t="str">
        <f>IF($A13="","",INDEX('PI Furnizor'!$B:$B,ROW()-3)&amp;"")</f>
        <v>11152-DS</v>
      </c>
      <c r="D13" s="28" t="str">
        <f>IF($A13="","",INDEX('PI Furnizor'!$C:$C,ROW()-3)&amp;"")</f>
        <v>Train</v>
      </c>
      <c r="E13" s="30">
        <f>IF($A13="","",N(INDEX('PI Furnizor'!$D:$D,ROW()-3)))</f>
        <v>1</v>
      </c>
      <c r="F13" s="31" t="str">
        <f>IF(ISNUMBER($X13),INDEX(Comenzi!$G:$G,$X13),"")</f>
        <v>USD</v>
      </c>
      <c r="G13" s="32">
        <f>IF($A13="","",N(INDEX('PI Furnizor'!$E:$E,ROW()-3)))</f>
        <v>7.87</v>
      </c>
      <c r="H13" s="33">
        <f t="shared" si="0"/>
        <v>37.275467999999996</v>
      </c>
      <c r="I13" s="34">
        <f>IF($Y13&lt;&gt;1,"",IFERROR($AE13/INDEX(Comenzi!$AN:$AN,$X13),0))</f>
        <v>0.12753036437246965</v>
      </c>
      <c r="J13" s="33">
        <f>IF($Y13&lt;&gt;1,"",INDEX(Comenzi!$AG:$AG,$X13)*$I13/$E13)</f>
        <v>41.122690396761129</v>
      </c>
      <c r="K13" s="33">
        <f t="shared" si="1"/>
        <v>78.398158396761119</v>
      </c>
      <c r="L13" s="33">
        <f>IF($Y13&lt;&gt;1,"",$K13*$AD13+INDEX(Comenzi!$AJ:$AJ,$X13)*$I13/$E13)</f>
        <v>0</v>
      </c>
      <c r="M13" s="33">
        <f t="shared" si="2"/>
        <v>78.398158396761119</v>
      </c>
      <c r="N13" s="33">
        <f t="shared" si="3"/>
        <v>16.463613263319836</v>
      </c>
      <c r="O13" s="33">
        <f>IF($Y13&lt;&gt;1,"",(INDEX(Comenzi!$AK:$AK,$X13)+N(INDEX(Comenzi!$T:$T,$X13)))*$I13/$E13)</f>
        <v>0</v>
      </c>
      <c r="P13" s="35">
        <f t="shared" si="4"/>
        <v>78.398158396761119</v>
      </c>
      <c r="Q13" s="36">
        <f t="shared" si="5"/>
        <v>14.696715356321446</v>
      </c>
      <c r="R13" s="37">
        <f t="shared" si="6"/>
        <v>16.55226720647773</v>
      </c>
      <c r="S13" s="38">
        <f t="shared" si="7"/>
        <v>94.861771660080962</v>
      </c>
      <c r="T13" s="39">
        <f t="shared" si="8"/>
        <v>17.783025581148951</v>
      </c>
      <c r="U13" s="40">
        <f t="shared" si="9"/>
        <v>20.028243319838055</v>
      </c>
      <c r="V13" s="33">
        <f t="shared" si="10"/>
        <v>78.398158396761119</v>
      </c>
      <c r="W13" s="33">
        <f t="shared" si="11"/>
        <v>94.861771660080962</v>
      </c>
      <c r="X13" s="41">
        <f>IF($A13="","",IFERROR(MATCH($A13,Comenzi!$A$9:$A$108,0)+8,""))</f>
        <v>9</v>
      </c>
      <c r="Y13" s="41">
        <f t="shared" si="12"/>
        <v>1</v>
      </c>
      <c r="Z13" s="42" t="str">
        <f>IF($A13="","",IF($A13="?","Lipseste ID-ul comenzii (col. A din PI Furnizor)",IF(NOT(ISNUMBER($X13)),"ID comanda negasit in foaia Comenzi",IF(N($E13)&lt;=0,"Lipseste cantitatea",IF(N($G13)=0,"Pret unitar lipsa",IF($Y13&lt;&gt;1,"Curs sau moneda marfa lipsa (foaia Comenzi)",IF(INDEX(Comenzi!$AT:$AT,$X13)&lt;&gt;"OK","Avertisment comanda: "&amp;INDEX(Comenzi!$AT:$AT,$X13),"OK")))))))</f>
        <v>OK</v>
      </c>
      <c r="AA13" s="43">
        <f>IF(ISNUMBER($X13),INDEX(Comenzi!$H:$H,$X13),"")</f>
        <v>4.7363999999999997</v>
      </c>
      <c r="AB13" s="43">
        <f>IF(ISNUMBER($X13),INDEX(Comenzi!$I:$I,$X13),"")</f>
        <v>5.3343999999999996</v>
      </c>
      <c r="AC13" s="44">
        <f>IF(ISNUMBER($X13),IF(INDEX(Comenzi!$V:$V,$X13)="",Comenzi!$D$3,INDEX(Comenzi!$V:$V,$X13)),"")</f>
        <v>0.21</v>
      </c>
      <c r="AD13" s="44">
        <f>IF(ISNUMBER($X13),IF(INDEX(Comenzi!$U:$U,$X13)="",Comenzi!$D$4,INDEX(Comenzi!$U:$U,$X13)),"")</f>
        <v>0</v>
      </c>
      <c r="AE13" s="45">
        <f>IF($Y13&lt;&gt;1,"",IF(INDEX(Comenzi!$AM:$AM,$X13)="Greutate",INDEX('PI Furnizor'!$O:$O,ROW()-3),IF(INDEX(Comenzi!$AM:$AM,$X13)="Volum (CBM)",INDEX('PI Furnizor'!$Q:$Q,ROW()-3),IF(INDEX(Comenzi!$AM:$AM,$X13)="Valoare marfa",INDEX('PI Furnizor'!$N:$N,ROW()-3),$E13))))</f>
        <v>0.63</v>
      </c>
    </row>
    <row r="14" spans="1:31" x14ac:dyDescent="0.3">
      <c r="A14" s="28" t="str">
        <f>IF(COUNTA(INDEX('PI Furnizor'!$A:$E,ROW()-3,0))=0,"",IF(INDEX('PI Furnizor'!$A:$A,ROW()-3)="","?",INDEX('PI Furnizor'!$A:$A,ROW()-3)))</f>
        <v>C001</v>
      </c>
      <c r="B14" s="29">
        <f>IF(ISNUMBER($X14),INDEX(Comenzi!$B:$B,$X14),"")</f>
        <v>46260</v>
      </c>
      <c r="C14" s="28" t="str">
        <f>IF($A14="","",INDEX('PI Furnizor'!$B:$B,ROW()-3)&amp;"")</f>
        <v>11823-DS</v>
      </c>
      <c r="D14" s="28" t="str">
        <f>IF($A14="","",INDEX('PI Furnizor'!$C:$C,ROW()-3)&amp;"")</f>
        <v>Christmas series</v>
      </c>
      <c r="E14" s="30">
        <f>IF($A14="","",N(INDEX('PI Furnizor'!$D:$D,ROW()-3)))</f>
        <v>1</v>
      </c>
      <c r="F14" s="31" t="str">
        <f>IF(ISNUMBER($X14),INDEX(Comenzi!$G:$G,$X14),"")</f>
        <v>USD</v>
      </c>
      <c r="G14" s="32">
        <f>IF($A14="","",N(INDEX('PI Furnizor'!$E:$E,ROW()-3)))</f>
        <v>7.71</v>
      </c>
      <c r="H14" s="33">
        <f t="shared" si="0"/>
        <v>36.517643999999997</v>
      </c>
      <c r="I14" s="34">
        <f>IF($Y14&lt;&gt;1,"",IFERROR($AE14/INDEX(Comenzi!$AN:$AN,$X14),0))</f>
        <v>0.26315789473684215</v>
      </c>
      <c r="J14" s="33">
        <f>IF($Y14&lt;&gt;1,"",INDEX(Comenzi!$AG:$AG,$X14)*$I14/$E14)</f>
        <v>84.856345263157891</v>
      </c>
      <c r="K14" s="33">
        <f t="shared" si="1"/>
        <v>121.37398926315788</v>
      </c>
      <c r="L14" s="33">
        <f>IF($Y14&lt;&gt;1,"",$K14*$AD14+INDEX(Comenzi!$AJ:$AJ,$X14)*$I14/$E14)</f>
        <v>0</v>
      </c>
      <c r="M14" s="33">
        <f t="shared" si="2"/>
        <v>121.37398926315788</v>
      </c>
      <c r="N14" s="33">
        <f t="shared" si="3"/>
        <v>25.488537745263155</v>
      </c>
      <c r="O14" s="33">
        <f>IF($Y14&lt;&gt;1,"",(INDEX(Comenzi!$AK:$AK,$X14)+N(INDEX(Comenzi!$T:$T,$X14)))*$I14/$E14)</f>
        <v>0</v>
      </c>
      <c r="P14" s="35">
        <f t="shared" si="4"/>
        <v>121.37398926315788</v>
      </c>
      <c r="Q14" s="36">
        <f t="shared" si="5"/>
        <v>22.75307237236763</v>
      </c>
      <c r="R14" s="37">
        <f t="shared" si="6"/>
        <v>25.625789473684208</v>
      </c>
      <c r="S14" s="38">
        <f t="shared" si="7"/>
        <v>146.86252700842104</v>
      </c>
      <c r="T14" s="39">
        <f t="shared" si="8"/>
        <v>27.531217570564834</v>
      </c>
      <c r="U14" s="40">
        <f t="shared" si="9"/>
        <v>31.007205263157893</v>
      </c>
      <c r="V14" s="33">
        <f t="shared" si="10"/>
        <v>121.37398926315788</v>
      </c>
      <c r="W14" s="33">
        <f t="shared" si="11"/>
        <v>146.86252700842104</v>
      </c>
      <c r="X14" s="41">
        <f>IF($A14="","",IFERROR(MATCH($A14,Comenzi!$A$9:$A$108,0)+8,""))</f>
        <v>9</v>
      </c>
      <c r="Y14" s="41">
        <f t="shared" si="12"/>
        <v>1</v>
      </c>
      <c r="Z14" s="42" t="str">
        <f>IF($A14="","",IF($A14="?","Lipseste ID-ul comenzii (col. A din PI Furnizor)",IF(NOT(ISNUMBER($X14)),"ID comanda negasit in foaia Comenzi",IF(N($E14)&lt;=0,"Lipseste cantitatea",IF(N($G14)=0,"Pret unitar lipsa",IF($Y14&lt;&gt;1,"Curs sau moneda marfa lipsa (foaia Comenzi)",IF(INDEX(Comenzi!$AT:$AT,$X14)&lt;&gt;"OK","Avertisment comanda: "&amp;INDEX(Comenzi!$AT:$AT,$X14),"OK")))))))</f>
        <v>OK</v>
      </c>
      <c r="AA14" s="43">
        <f>IF(ISNUMBER($X14),INDEX(Comenzi!$H:$H,$X14),"")</f>
        <v>4.7363999999999997</v>
      </c>
      <c r="AB14" s="43">
        <f>IF(ISNUMBER($X14),INDEX(Comenzi!$I:$I,$X14),"")</f>
        <v>5.3343999999999996</v>
      </c>
      <c r="AC14" s="44">
        <f>IF(ISNUMBER($X14),IF(INDEX(Comenzi!$V:$V,$X14)="",Comenzi!$D$3,INDEX(Comenzi!$V:$V,$X14)),"")</f>
        <v>0.21</v>
      </c>
      <c r="AD14" s="44">
        <f>IF(ISNUMBER($X14),IF(INDEX(Comenzi!$U:$U,$X14)="",Comenzi!$D$4,INDEX(Comenzi!$U:$U,$X14)),"")</f>
        <v>0</v>
      </c>
      <c r="AE14" s="45">
        <f>IF($Y14&lt;&gt;1,"",IF(INDEX(Comenzi!$AM:$AM,$X14)="Greutate",INDEX('PI Furnizor'!$O:$O,ROW()-3),IF(INDEX(Comenzi!$AM:$AM,$X14)="Volum (CBM)",INDEX('PI Furnizor'!$Q:$Q,ROW()-3),IF(INDEX(Comenzi!$AM:$AM,$X14)="Valoare marfa",INDEX('PI Furnizor'!$N:$N,ROW()-3),$E14))))</f>
        <v>1.3</v>
      </c>
    </row>
    <row r="15" spans="1:31" x14ac:dyDescent="0.3">
      <c r="A15" s="28" t="str">
        <f>IF(COUNTA(INDEX('PI Furnizor'!$A:$E,ROW()-3,0))=0,"",IF(INDEX('PI Furnizor'!$A:$A,ROW()-3)="","?",INDEX('PI Furnizor'!$A:$A,ROW()-3)))</f>
        <v>C002</v>
      </c>
      <c r="B15" s="29" t="str">
        <f>IF(ISNUMBER($X15),INDEX(Comenzi!$B:$B,$X15),"")</f>
        <v>08.10.2026</v>
      </c>
      <c r="C15" s="28" t="str">
        <f>IF($A15="","",INDEX('PI Furnizor'!$B:$B,ROW()-3)&amp;"")</f>
        <v>13116</v>
      </c>
      <c r="D15" s="28" t="str">
        <f>IF($A15="","",INDEX('PI Furnizor'!$C:$C,ROW()-3)&amp;"")</f>
        <v>Plum Blossom</v>
      </c>
      <c r="E15" s="30">
        <f>IF($A15="","",N(INDEX('PI Furnizor'!$D:$D,ROW()-3)))</f>
        <v>3</v>
      </c>
      <c r="F15" s="31" t="str">
        <f>IF(ISNUMBER($X15),INDEX(Comenzi!$G:$G,$X15),"")</f>
        <v>USD</v>
      </c>
      <c r="G15" s="32">
        <f>IF($A15="","",N(INDEX('PI Furnizor'!$E:$E,ROW()-3)))</f>
        <v>3.69</v>
      </c>
      <c r="H15" s="33">
        <f t="shared" si="0"/>
        <v>17.638569</v>
      </c>
      <c r="I15" s="34">
        <f>IF($Y15&lt;&gt;1,"",IFERROR($AE15/INDEX(Comenzi!$AN:$AN,$X15),0))</f>
        <v>1</v>
      </c>
      <c r="J15" s="33">
        <f>IF($Y15&lt;&gt;1,"",INDEX(Comenzi!$AG:$AG,$X15)*$I15/$E15)</f>
        <v>70.187801666666658</v>
      </c>
      <c r="K15" s="33">
        <f t="shared" si="1"/>
        <v>87.826370666666662</v>
      </c>
      <c r="L15" s="33">
        <f>IF($Y15&lt;&gt;1,"",$K15*$AD15+INDEX(Comenzi!$AJ:$AJ,$X15)*$I15/$E15)</f>
        <v>0</v>
      </c>
      <c r="M15" s="33">
        <f t="shared" si="2"/>
        <v>87.826370666666662</v>
      </c>
      <c r="N15" s="33">
        <f t="shared" si="3"/>
        <v>18.443537839999998</v>
      </c>
      <c r="O15" s="33">
        <f>IF($Y15&lt;&gt;1,"",(INDEX(Comenzi!$AK:$AK,$X15)+N(INDEX(Comenzi!$T:$T,$X15)))*$I15/$E15)</f>
        <v>0</v>
      </c>
      <c r="P15" s="35">
        <f t="shared" si="4"/>
        <v>87.826370666666662</v>
      </c>
      <c r="Q15" s="36">
        <f t="shared" si="5"/>
        <v>16.41583721176551</v>
      </c>
      <c r="R15" s="37">
        <f t="shared" si="6"/>
        <v>18.373333333333331</v>
      </c>
      <c r="S15" s="38">
        <f t="shared" si="7"/>
        <v>106.26990850666667</v>
      </c>
      <c r="T15" s="39">
        <f t="shared" si="8"/>
        <v>19.863163026236268</v>
      </c>
      <c r="U15" s="40">
        <f t="shared" si="9"/>
        <v>22.231733333333334</v>
      </c>
      <c r="V15" s="33">
        <f t="shared" si="10"/>
        <v>263.47911199999999</v>
      </c>
      <c r="W15" s="33">
        <f t="shared" si="11"/>
        <v>318.80972552000003</v>
      </c>
      <c r="X15" s="41">
        <f>IF($A15="","",IFERROR(MATCH($A15,Comenzi!$A$9:$A$108,0)+8,""))</f>
        <v>10</v>
      </c>
      <c r="Y15" s="41">
        <f t="shared" si="12"/>
        <v>1</v>
      </c>
      <c r="Z15" s="42" t="str">
        <f>IF($A15="","",IF($A15="?","Lipseste ID-ul comenzii (col. A din PI Furnizor)",IF(NOT(ISNUMBER($X15)),"ID comanda negasit in foaia Comenzi",IF(N($E15)&lt;=0,"Lipseste cantitatea",IF(N($G15)=0,"Pret unitar lipsa",IF($Y15&lt;&gt;1,"Curs sau moneda marfa lipsa (foaia Comenzi)",IF(INDEX(Comenzi!$AT:$AT,$X15)&lt;&gt;"OK","Avertisment comanda: "&amp;INDEX(Comenzi!$AT:$AT,$X15),"OK")))))))</f>
        <v>OK</v>
      </c>
      <c r="AA15" s="43">
        <f>IF(ISNUMBER($X15),INDEX(Comenzi!$H:$H,$X15),"")</f>
        <v>4.7801</v>
      </c>
      <c r="AB15" s="43">
        <f>IF(ISNUMBER($X15),INDEX(Comenzi!$I:$I,$X15),"")</f>
        <v>5.3501000000000003</v>
      </c>
      <c r="AC15" s="44">
        <f>IF(ISNUMBER($X15),IF(INDEX(Comenzi!$V:$V,$X15)="",Comenzi!$D$3,INDEX(Comenzi!$V:$V,$X15)),"")</f>
        <v>0.21</v>
      </c>
      <c r="AD15" s="44">
        <f>IF(ISNUMBER($X15),IF(INDEX(Comenzi!$U:$U,$X15)="",Comenzi!$D$4,INDEX(Comenzi!$U:$U,$X15)),"")</f>
        <v>0</v>
      </c>
      <c r="AE15" s="45">
        <f>IF($Y15&lt;&gt;1,"",IF(INDEX(Comenzi!$AM:$AM,$X15)="Greutate",INDEX('PI Furnizor'!$O:$O,ROW()-3),IF(INDEX(Comenzi!$AM:$AM,$X15)="Volum (CBM)",INDEX('PI Furnizor'!$Q:$Q,ROW()-3),IF(INDEX(Comenzi!$AM:$AM,$X15)="Valoare marfa",INDEX('PI Furnizor'!$N:$N,ROW()-3),$E15))))</f>
        <v>3</v>
      </c>
    </row>
    <row r="16" spans="1:31" x14ac:dyDescent="0.3">
      <c r="A16" s="28" t="str">
        <f>IF(COUNTA(INDEX('PI Furnizor'!$A:$E,ROW()-3,0))=0,"",IF(INDEX('PI Furnizor'!$A:$A,ROW()-3)="","?",INDEX('PI Furnizor'!$A:$A,ROW()-3)))</f>
        <v>C001</v>
      </c>
      <c r="B16" s="29">
        <f>IF(ISNUMBER($X16),INDEX(Comenzi!$B:$B,$X16),"")</f>
        <v>46260</v>
      </c>
      <c r="C16" s="28" t="str">
        <f>IF($A16="","",INDEX('PI Furnizor'!$B:$B,ROW()-3)&amp;"")</f>
        <v>C0864</v>
      </c>
      <c r="D16" s="28" t="str">
        <f>IF($A16="","",INDEX('PI Furnizor'!$C:$C,ROW()-3)&amp;"")</f>
        <v>EC-003 Type Aircraft carrier</v>
      </c>
      <c r="E16" s="30">
        <f>IF($A16="","",N(INDEX('PI Furnizor'!$D:$D,ROW()-3)))</f>
        <v>1</v>
      </c>
      <c r="F16" s="31" t="str">
        <f>IF(ISNUMBER($X16),INDEX(Comenzi!$G:$G,$X16),"")</f>
        <v>USD</v>
      </c>
      <c r="G16" s="32">
        <f>IF($A16="","",N(INDEX('PI Furnizor'!$E:$E,ROW()-3)))</f>
        <v>8.92</v>
      </c>
      <c r="H16" s="33">
        <f t="shared" si="0"/>
        <v>42.248687999999994</v>
      </c>
      <c r="I16" s="34">
        <f>IF($Y16&lt;&gt;1,"",IFERROR($AE16/INDEX(Comenzi!$AN:$AN,$X16),0))</f>
        <v>0.24898785425101216</v>
      </c>
      <c r="J16" s="33">
        <f>IF($Y16&lt;&gt;1,"",INDEX(Comenzi!$AG:$AG,$X16)*$I16/$E16)</f>
        <v>80.287157441295534</v>
      </c>
      <c r="K16" s="33">
        <f t="shared" si="1"/>
        <v>122.53584544129552</v>
      </c>
      <c r="L16" s="33">
        <f>IF($Y16&lt;&gt;1,"",$K16*$AD16+INDEX(Comenzi!$AJ:$AJ,$X16)*$I16/$E16)</f>
        <v>0</v>
      </c>
      <c r="M16" s="33">
        <f t="shared" si="2"/>
        <v>122.53584544129552</v>
      </c>
      <c r="N16" s="33">
        <f t="shared" si="3"/>
        <v>25.732527542672059</v>
      </c>
      <c r="O16" s="33">
        <f>IF($Y16&lt;&gt;1,"",(INDEX(Comenzi!$AK:$AK,$X16)+N(INDEX(Comenzi!$T:$T,$X16)))*$I16/$E16)</f>
        <v>0</v>
      </c>
      <c r="P16" s="35">
        <f t="shared" si="4"/>
        <v>122.53584544129552</v>
      </c>
      <c r="Q16" s="36">
        <f t="shared" si="5"/>
        <v>22.970876844873938</v>
      </c>
      <c r="R16" s="37">
        <f t="shared" si="6"/>
        <v>25.871093117408904</v>
      </c>
      <c r="S16" s="38">
        <f t="shared" si="7"/>
        <v>148.26837298396759</v>
      </c>
      <c r="T16" s="39">
        <f t="shared" si="8"/>
        <v>27.794760982297468</v>
      </c>
      <c r="U16" s="40">
        <f t="shared" si="9"/>
        <v>31.304022672064775</v>
      </c>
      <c r="V16" s="33">
        <f t="shared" si="10"/>
        <v>122.53584544129552</v>
      </c>
      <c r="W16" s="33">
        <f t="shared" si="11"/>
        <v>148.26837298396759</v>
      </c>
      <c r="X16" s="41">
        <f>IF($A16="","",IFERROR(MATCH($A16,Comenzi!$A$9:$A$108,0)+8,""))</f>
        <v>9</v>
      </c>
      <c r="Y16" s="41">
        <f t="shared" si="12"/>
        <v>1</v>
      </c>
      <c r="Z16" s="42" t="str">
        <f>IF($A16="","",IF($A16="?","Lipseste ID-ul comenzii (col. A din PI Furnizor)",IF(NOT(ISNUMBER($X16)),"ID comanda negasit in foaia Comenzi",IF(N($E16)&lt;=0,"Lipseste cantitatea",IF(N($G16)=0,"Pret unitar lipsa",IF($Y16&lt;&gt;1,"Curs sau moneda marfa lipsa (foaia Comenzi)",IF(INDEX(Comenzi!$AT:$AT,$X16)&lt;&gt;"OK","Avertisment comanda: "&amp;INDEX(Comenzi!$AT:$AT,$X16),"OK")))))))</f>
        <v>OK</v>
      </c>
      <c r="AA16" s="43">
        <f>IF(ISNUMBER($X16),INDEX(Comenzi!$H:$H,$X16),"")</f>
        <v>4.7363999999999997</v>
      </c>
      <c r="AB16" s="43">
        <f>IF(ISNUMBER($X16),INDEX(Comenzi!$I:$I,$X16),"")</f>
        <v>5.3343999999999996</v>
      </c>
      <c r="AC16" s="44">
        <f>IF(ISNUMBER($X16),IF(INDEX(Comenzi!$V:$V,$X16)="",Comenzi!$D$3,INDEX(Comenzi!$V:$V,$X16)),"")</f>
        <v>0.21</v>
      </c>
      <c r="AD16" s="44">
        <f>IF(ISNUMBER($X16),IF(INDEX(Comenzi!$U:$U,$X16)="",Comenzi!$D$4,INDEX(Comenzi!$U:$U,$X16)),"")</f>
        <v>0</v>
      </c>
      <c r="AE16" s="45">
        <f>IF($Y16&lt;&gt;1,"",IF(INDEX(Comenzi!$AM:$AM,$X16)="Greutate",INDEX('PI Furnizor'!$O:$O,ROW()-3),IF(INDEX(Comenzi!$AM:$AM,$X16)="Volum (CBM)",INDEX('PI Furnizor'!$Q:$Q,ROW()-3),IF(INDEX(Comenzi!$AM:$AM,$X16)="Valoare marfa",INDEX('PI Furnizor'!$N:$N,ROW()-3),$E16))))</f>
        <v>1.23</v>
      </c>
    </row>
    <row r="17" spans="1:31" x14ac:dyDescent="0.3">
      <c r="A17" s="28" t="str">
        <f>IF(COUNTA(INDEX('PI Furnizor'!$A:$E,ROW()-3,0))=0,"",IF(INDEX('PI Furnizor'!$A:$A,ROW()-3)="","?",INDEX('PI Furnizor'!$A:$A,ROW()-3)))</f>
        <v/>
      </c>
      <c r="B17" s="29" t="str">
        <f>IF(ISNUMBER($X17),INDEX(Comenzi!$B:$B,$X17),"")</f>
        <v/>
      </c>
      <c r="C17" s="28" t="str">
        <f>IF($A17="","",INDEX('PI Furnizor'!$B:$B,ROW()-3)&amp;"")</f>
        <v/>
      </c>
      <c r="D17" s="28" t="str">
        <f>IF($A17="","",INDEX('PI Furnizor'!$C:$C,ROW()-3)&amp;"")</f>
        <v/>
      </c>
      <c r="E17" s="30" t="str">
        <f>IF($A17="","",N(INDEX('PI Furnizor'!$D:$D,ROW()-3)))</f>
        <v/>
      </c>
      <c r="F17" s="31" t="str">
        <f>IF(ISNUMBER($X17),INDEX(Comenzi!$G:$G,$X17),"")</f>
        <v/>
      </c>
      <c r="G17" s="32" t="str">
        <f>IF($A17="","",N(INDEX('PI Furnizor'!$E:$E,ROW()-3)))</f>
        <v/>
      </c>
      <c r="H17" s="33" t="str">
        <f t="shared" si="0"/>
        <v/>
      </c>
      <c r="I17" s="34" t="str">
        <f>IF($Y17&lt;&gt;1,"",IFERROR($AE17/INDEX(Comenzi!$AN:$AN,$X17),0))</f>
        <v/>
      </c>
      <c r="J17" s="33" t="str">
        <f>IF($Y17&lt;&gt;1,"",INDEX(Comenzi!$AG:$AG,$X17)*$I17/$E17)</f>
        <v/>
      </c>
      <c r="K17" s="33" t="str">
        <f t="shared" si="1"/>
        <v/>
      </c>
      <c r="L17" s="33" t="str">
        <f>IF($Y17&lt;&gt;1,"",$K17*$AD17+INDEX(Comenzi!$AJ:$AJ,$X17)*$I17/$E17)</f>
        <v/>
      </c>
      <c r="M17" s="33" t="str">
        <f t="shared" si="2"/>
        <v/>
      </c>
      <c r="N17" s="33" t="str">
        <f t="shared" si="3"/>
        <v/>
      </c>
      <c r="O17" s="33" t="str">
        <f>IF($Y17&lt;&gt;1,"",(INDEX(Comenzi!$AK:$AK,$X17)+N(INDEX(Comenzi!$T:$T,$X17)))*$I17/$E17)</f>
        <v/>
      </c>
      <c r="P17" s="35" t="str">
        <f t="shared" si="4"/>
        <v/>
      </c>
      <c r="Q17" s="36" t="str">
        <f t="shared" si="5"/>
        <v/>
      </c>
      <c r="R17" s="37" t="str">
        <f t="shared" si="6"/>
        <v/>
      </c>
      <c r="S17" s="38" t="str">
        <f t="shared" si="7"/>
        <v/>
      </c>
      <c r="T17" s="39" t="str">
        <f t="shared" si="8"/>
        <v/>
      </c>
      <c r="U17" s="40" t="str">
        <f t="shared" si="9"/>
        <v/>
      </c>
      <c r="V17" s="33" t="str">
        <f t="shared" si="10"/>
        <v/>
      </c>
      <c r="W17" s="33" t="str">
        <f t="shared" si="11"/>
        <v/>
      </c>
      <c r="X17" s="41" t="str">
        <f>IF($A17="","",IFERROR(MATCH($A17,Comenzi!$A$9:$A$108,0)+8,""))</f>
        <v/>
      </c>
      <c r="Y17" s="41" t="str">
        <f t="shared" si="12"/>
        <v/>
      </c>
      <c r="Z17" s="42" t="str">
        <f>IF($A17="","",IF($A17="?","Lipseste ID-ul comenzii (col. A din PI Furnizor)",IF(NOT(ISNUMBER($X17)),"ID comanda negasit in foaia Comenzi",IF(N($E17)&lt;=0,"Lipseste cantitatea",IF(N($G17)=0,"Pret unitar lipsa",IF($Y17&lt;&gt;1,"Curs sau moneda marfa lipsa (foaia Comenzi)",IF(INDEX(Comenzi!$AT:$AT,$X17)&lt;&gt;"OK","Avertisment comanda: "&amp;INDEX(Comenzi!$AT:$AT,$X17),"OK")))))))</f>
        <v/>
      </c>
      <c r="AA17" s="43" t="str">
        <f>IF(ISNUMBER($X17),INDEX(Comenzi!$H:$H,$X17),"")</f>
        <v/>
      </c>
      <c r="AB17" s="43" t="str">
        <f>IF(ISNUMBER($X17),INDEX(Comenzi!$I:$I,$X17),"")</f>
        <v/>
      </c>
      <c r="AC17" s="44" t="str">
        <f>IF(ISNUMBER($X17),IF(INDEX(Comenzi!$V:$V,$X17)="",Comenzi!$D$3,INDEX(Comenzi!$V:$V,$X17)),"")</f>
        <v/>
      </c>
      <c r="AD17" s="44" t="str">
        <f>IF(ISNUMBER($X17),IF(INDEX(Comenzi!$U:$U,$X17)="",Comenzi!$D$4,INDEX(Comenzi!$U:$U,$X17)),"")</f>
        <v/>
      </c>
      <c r="AE17" s="45" t="str">
        <f>IF($Y17&lt;&gt;1,"",IF(INDEX(Comenzi!$AM:$AM,$X17)="Greutate",INDEX('PI Furnizor'!$O:$O,ROW()-3),IF(INDEX(Comenzi!$AM:$AM,$X17)="Volum (CBM)",INDEX('PI Furnizor'!$Q:$Q,ROW()-3),IF(INDEX(Comenzi!$AM:$AM,$X17)="Valoare marfa",INDEX('PI Furnizor'!$N:$N,ROW()-3),$E17))))</f>
        <v/>
      </c>
    </row>
    <row r="18" spans="1:31" x14ac:dyDescent="0.3">
      <c r="A18" s="28" t="str">
        <f>IF(COUNTA(INDEX('PI Furnizor'!$A:$E,ROW()-3,0))=0,"",IF(INDEX('PI Furnizor'!$A:$A,ROW()-3)="","?",INDEX('PI Furnizor'!$A:$A,ROW()-3)))</f>
        <v/>
      </c>
      <c r="B18" s="29" t="str">
        <f>IF(ISNUMBER($X18),INDEX(Comenzi!$B:$B,$X18),"")</f>
        <v/>
      </c>
      <c r="C18" s="28" t="str">
        <f>IF($A18="","",INDEX('PI Furnizor'!$B:$B,ROW()-3)&amp;"")</f>
        <v/>
      </c>
      <c r="D18" s="28" t="str">
        <f>IF($A18="","",INDEX('PI Furnizor'!$C:$C,ROW()-3)&amp;"")</f>
        <v/>
      </c>
      <c r="E18" s="30" t="str">
        <f>IF($A18="","",N(INDEX('PI Furnizor'!$D:$D,ROW()-3)))</f>
        <v/>
      </c>
      <c r="F18" s="31" t="str">
        <f>IF(ISNUMBER($X18),INDEX(Comenzi!$G:$G,$X18),"")</f>
        <v/>
      </c>
      <c r="G18" s="32" t="str">
        <f>IF($A18="","",N(INDEX('PI Furnizor'!$E:$E,ROW()-3)))</f>
        <v/>
      </c>
      <c r="H18" s="33" t="str">
        <f t="shared" si="0"/>
        <v/>
      </c>
      <c r="I18" s="34" t="str">
        <f>IF($Y18&lt;&gt;1,"",IFERROR($AE18/INDEX(Comenzi!$AN:$AN,$X18),0))</f>
        <v/>
      </c>
      <c r="J18" s="33" t="str">
        <f>IF($Y18&lt;&gt;1,"",INDEX(Comenzi!$AG:$AG,$X18)*$I18/$E18)</f>
        <v/>
      </c>
      <c r="K18" s="33" t="str">
        <f t="shared" si="1"/>
        <v/>
      </c>
      <c r="L18" s="33" t="str">
        <f>IF($Y18&lt;&gt;1,"",$K18*$AD18+INDEX(Comenzi!$AJ:$AJ,$X18)*$I18/$E18)</f>
        <v/>
      </c>
      <c r="M18" s="33" t="str">
        <f t="shared" si="2"/>
        <v/>
      </c>
      <c r="N18" s="33" t="str">
        <f t="shared" si="3"/>
        <v/>
      </c>
      <c r="O18" s="33" t="str">
        <f>IF($Y18&lt;&gt;1,"",(INDEX(Comenzi!$AK:$AK,$X18)+N(INDEX(Comenzi!$T:$T,$X18)))*$I18/$E18)</f>
        <v/>
      </c>
      <c r="P18" s="35" t="str">
        <f t="shared" si="4"/>
        <v/>
      </c>
      <c r="Q18" s="36" t="str">
        <f t="shared" si="5"/>
        <v/>
      </c>
      <c r="R18" s="37" t="str">
        <f t="shared" si="6"/>
        <v/>
      </c>
      <c r="S18" s="38" t="str">
        <f t="shared" si="7"/>
        <v/>
      </c>
      <c r="T18" s="39" t="str">
        <f t="shared" si="8"/>
        <v/>
      </c>
      <c r="U18" s="40" t="str">
        <f t="shared" si="9"/>
        <v/>
      </c>
      <c r="V18" s="33" t="str">
        <f t="shared" si="10"/>
        <v/>
      </c>
      <c r="W18" s="33" t="str">
        <f t="shared" si="11"/>
        <v/>
      </c>
      <c r="X18" s="41" t="str">
        <f>IF($A18="","",IFERROR(MATCH($A18,Comenzi!$A$9:$A$108,0)+8,""))</f>
        <v/>
      </c>
      <c r="Y18" s="41" t="str">
        <f t="shared" si="12"/>
        <v/>
      </c>
      <c r="Z18" s="42" t="str">
        <f>IF($A18="","",IF($A18="?","Lipseste ID-ul comenzii (col. A din PI Furnizor)",IF(NOT(ISNUMBER($X18)),"ID comanda negasit in foaia Comenzi",IF(N($E18)&lt;=0,"Lipseste cantitatea",IF(N($G18)=0,"Pret unitar lipsa",IF($Y18&lt;&gt;1,"Curs sau moneda marfa lipsa (foaia Comenzi)",IF(INDEX(Comenzi!$AT:$AT,$X18)&lt;&gt;"OK","Avertisment comanda: "&amp;INDEX(Comenzi!$AT:$AT,$X18),"OK")))))))</f>
        <v/>
      </c>
      <c r="AA18" s="43" t="str">
        <f>IF(ISNUMBER($X18),INDEX(Comenzi!$H:$H,$X18),"")</f>
        <v/>
      </c>
      <c r="AB18" s="43" t="str">
        <f>IF(ISNUMBER($X18),INDEX(Comenzi!$I:$I,$X18),"")</f>
        <v/>
      </c>
      <c r="AC18" s="44" t="str">
        <f>IF(ISNUMBER($X18),IF(INDEX(Comenzi!$V:$V,$X18)="",Comenzi!$D$3,INDEX(Comenzi!$V:$V,$X18)),"")</f>
        <v/>
      </c>
      <c r="AD18" s="44" t="str">
        <f>IF(ISNUMBER($X18),IF(INDEX(Comenzi!$U:$U,$X18)="",Comenzi!$D$4,INDEX(Comenzi!$U:$U,$X18)),"")</f>
        <v/>
      </c>
      <c r="AE18" s="45" t="str">
        <f>IF($Y18&lt;&gt;1,"",IF(INDEX(Comenzi!$AM:$AM,$X18)="Greutate",INDEX('PI Furnizor'!$O:$O,ROW()-3),IF(INDEX(Comenzi!$AM:$AM,$X18)="Volum (CBM)",INDEX('PI Furnizor'!$Q:$Q,ROW()-3),IF(INDEX(Comenzi!$AM:$AM,$X18)="Valoare marfa",INDEX('PI Furnizor'!$N:$N,ROW()-3),$E18))))</f>
        <v/>
      </c>
    </row>
    <row r="19" spans="1:31" x14ac:dyDescent="0.3">
      <c r="A19" s="28" t="str">
        <f>IF(COUNTA(INDEX('PI Furnizor'!$A:$E,ROW()-3,0))=0,"",IF(INDEX('PI Furnizor'!$A:$A,ROW()-3)="","?",INDEX('PI Furnizor'!$A:$A,ROW()-3)))</f>
        <v/>
      </c>
      <c r="B19" s="29" t="str">
        <f>IF(ISNUMBER($X19),INDEX(Comenzi!$B:$B,$X19),"")</f>
        <v/>
      </c>
      <c r="C19" s="28" t="str">
        <f>IF($A19="","",INDEX('PI Furnizor'!$B:$B,ROW()-3)&amp;"")</f>
        <v/>
      </c>
      <c r="D19" s="28" t="str">
        <f>IF($A19="","",INDEX('PI Furnizor'!$C:$C,ROW()-3)&amp;"")</f>
        <v/>
      </c>
      <c r="E19" s="30" t="str">
        <f>IF($A19="","",N(INDEX('PI Furnizor'!$D:$D,ROW()-3)))</f>
        <v/>
      </c>
      <c r="F19" s="31" t="str">
        <f>IF(ISNUMBER($X19),INDEX(Comenzi!$G:$G,$X19),"")</f>
        <v/>
      </c>
      <c r="G19" s="32" t="str">
        <f>IF($A19="","",N(INDEX('PI Furnizor'!$E:$E,ROW()-3)))</f>
        <v/>
      </c>
      <c r="H19" s="33" t="str">
        <f t="shared" si="0"/>
        <v/>
      </c>
      <c r="I19" s="34" t="str">
        <f>IF($Y19&lt;&gt;1,"",IFERROR($AE19/INDEX(Comenzi!$AN:$AN,$X19),0))</f>
        <v/>
      </c>
      <c r="J19" s="33" t="str">
        <f>IF($Y19&lt;&gt;1,"",INDEX(Comenzi!$AG:$AG,$X19)*$I19/$E19)</f>
        <v/>
      </c>
      <c r="K19" s="33" t="str">
        <f t="shared" si="1"/>
        <v/>
      </c>
      <c r="L19" s="33" t="str">
        <f>IF($Y19&lt;&gt;1,"",$K19*$AD19+INDEX(Comenzi!$AJ:$AJ,$X19)*$I19/$E19)</f>
        <v/>
      </c>
      <c r="M19" s="33" t="str">
        <f t="shared" si="2"/>
        <v/>
      </c>
      <c r="N19" s="33" t="str">
        <f t="shared" si="3"/>
        <v/>
      </c>
      <c r="O19" s="33" t="str">
        <f>IF($Y19&lt;&gt;1,"",(INDEX(Comenzi!$AK:$AK,$X19)+N(INDEX(Comenzi!$T:$T,$X19)))*$I19/$E19)</f>
        <v/>
      </c>
      <c r="P19" s="35" t="str">
        <f t="shared" si="4"/>
        <v/>
      </c>
      <c r="Q19" s="36" t="str">
        <f t="shared" si="5"/>
        <v/>
      </c>
      <c r="R19" s="37" t="str">
        <f t="shared" si="6"/>
        <v/>
      </c>
      <c r="S19" s="38" t="str">
        <f t="shared" si="7"/>
        <v/>
      </c>
      <c r="T19" s="39" t="str">
        <f t="shared" si="8"/>
        <v/>
      </c>
      <c r="U19" s="40" t="str">
        <f t="shared" si="9"/>
        <v/>
      </c>
      <c r="V19" s="33" t="str">
        <f t="shared" si="10"/>
        <v/>
      </c>
      <c r="W19" s="33" t="str">
        <f t="shared" si="11"/>
        <v/>
      </c>
      <c r="X19" s="41" t="str">
        <f>IF($A19="","",IFERROR(MATCH($A19,Comenzi!$A$9:$A$108,0)+8,""))</f>
        <v/>
      </c>
      <c r="Y19" s="41" t="str">
        <f t="shared" si="12"/>
        <v/>
      </c>
      <c r="Z19" s="42" t="str">
        <f>IF($A19="","",IF($A19="?","Lipseste ID-ul comenzii (col. A din PI Furnizor)",IF(NOT(ISNUMBER($X19)),"ID comanda negasit in foaia Comenzi",IF(N($E19)&lt;=0,"Lipseste cantitatea",IF(N($G19)=0,"Pret unitar lipsa",IF($Y19&lt;&gt;1,"Curs sau moneda marfa lipsa (foaia Comenzi)",IF(INDEX(Comenzi!$AT:$AT,$X19)&lt;&gt;"OK","Avertisment comanda: "&amp;INDEX(Comenzi!$AT:$AT,$X19),"OK")))))))</f>
        <v/>
      </c>
      <c r="AA19" s="43" t="str">
        <f>IF(ISNUMBER($X19),INDEX(Comenzi!$H:$H,$X19),"")</f>
        <v/>
      </c>
      <c r="AB19" s="43" t="str">
        <f>IF(ISNUMBER($X19),INDEX(Comenzi!$I:$I,$X19),"")</f>
        <v/>
      </c>
      <c r="AC19" s="44" t="str">
        <f>IF(ISNUMBER($X19),IF(INDEX(Comenzi!$V:$V,$X19)="",Comenzi!$D$3,INDEX(Comenzi!$V:$V,$X19)),"")</f>
        <v/>
      </c>
      <c r="AD19" s="44" t="str">
        <f>IF(ISNUMBER($X19),IF(INDEX(Comenzi!$U:$U,$X19)="",Comenzi!$D$4,INDEX(Comenzi!$U:$U,$X19)),"")</f>
        <v/>
      </c>
      <c r="AE19" s="45" t="str">
        <f>IF($Y19&lt;&gt;1,"",IF(INDEX(Comenzi!$AM:$AM,$X19)="Greutate",INDEX('PI Furnizor'!$O:$O,ROW()-3),IF(INDEX(Comenzi!$AM:$AM,$X19)="Volum (CBM)",INDEX('PI Furnizor'!$Q:$Q,ROW()-3),IF(INDEX(Comenzi!$AM:$AM,$X19)="Valoare marfa",INDEX('PI Furnizor'!$N:$N,ROW()-3),$E19))))</f>
        <v/>
      </c>
    </row>
    <row r="20" spans="1:31" x14ac:dyDescent="0.3">
      <c r="A20" s="28" t="str">
        <f>IF(COUNTA(INDEX('PI Furnizor'!$A:$E,ROW()-3,0))=0,"",IF(INDEX('PI Furnizor'!$A:$A,ROW()-3)="","?",INDEX('PI Furnizor'!$A:$A,ROW()-3)))</f>
        <v/>
      </c>
      <c r="B20" s="29" t="str">
        <f>IF(ISNUMBER($X20),INDEX(Comenzi!$B:$B,$X20),"")</f>
        <v/>
      </c>
      <c r="C20" s="28" t="str">
        <f>IF($A20="","",INDEX('PI Furnizor'!$B:$B,ROW()-3)&amp;"")</f>
        <v/>
      </c>
      <c r="D20" s="28" t="str">
        <f>IF($A20="","",INDEX('PI Furnizor'!$C:$C,ROW()-3)&amp;"")</f>
        <v/>
      </c>
      <c r="E20" s="30" t="str">
        <f>IF($A20="","",N(INDEX('PI Furnizor'!$D:$D,ROW()-3)))</f>
        <v/>
      </c>
      <c r="F20" s="31" t="str">
        <f>IF(ISNUMBER($X20),INDEX(Comenzi!$G:$G,$X20),"")</f>
        <v/>
      </c>
      <c r="G20" s="32" t="str">
        <f>IF($A20="","",N(INDEX('PI Furnizor'!$E:$E,ROW()-3)))</f>
        <v/>
      </c>
      <c r="H20" s="33" t="str">
        <f t="shared" si="0"/>
        <v/>
      </c>
      <c r="I20" s="34" t="str">
        <f>IF($Y20&lt;&gt;1,"",IFERROR($AE20/INDEX(Comenzi!$AN:$AN,$X20),0))</f>
        <v/>
      </c>
      <c r="J20" s="33" t="str">
        <f>IF($Y20&lt;&gt;1,"",INDEX(Comenzi!$AG:$AG,$X20)*$I20/$E20)</f>
        <v/>
      </c>
      <c r="K20" s="33" t="str">
        <f t="shared" si="1"/>
        <v/>
      </c>
      <c r="L20" s="33" t="str">
        <f>IF($Y20&lt;&gt;1,"",$K20*$AD20+INDEX(Comenzi!$AJ:$AJ,$X20)*$I20/$E20)</f>
        <v/>
      </c>
      <c r="M20" s="33" t="str">
        <f t="shared" si="2"/>
        <v/>
      </c>
      <c r="N20" s="33" t="str">
        <f t="shared" si="3"/>
        <v/>
      </c>
      <c r="O20" s="33" t="str">
        <f>IF($Y20&lt;&gt;1,"",(INDEX(Comenzi!$AK:$AK,$X20)+N(INDEX(Comenzi!$T:$T,$X20)))*$I20/$E20)</f>
        <v/>
      </c>
      <c r="P20" s="35" t="str">
        <f t="shared" si="4"/>
        <v/>
      </c>
      <c r="Q20" s="36" t="str">
        <f t="shared" si="5"/>
        <v/>
      </c>
      <c r="R20" s="37" t="str">
        <f t="shared" si="6"/>
        <v/>
      </c>
      <c r="S20" s="38" t="str">
        <f t="shared" si="7"/>
        <v/>
      </c>
      <c r="T20" s="39" t="str">
        <f t="shared" si="8"/>
        <v/>
      </c>
      <c r="U20" s="40" t="str">
        <f t="shared" si="9"/>
        <v/>
      </c>
      <c r="V20" s="33" t="str">
        <f t="shared" si="10"/>
        <v/>
      </c>
      <c r="W20" s="33" t="str">
        <f t="shared" si="11"/>
        <v/>
      </c>
      <c r="X20" s="41" t="str">
        <f>IF($A20="","",IFERROR(MATCH($A20,Comenzi!$A$9:$A$108,0)+8,""))</f>
        <v/>
      </c>
      <c r="Y20" s="41" t="str">
        <f t="shared" si="12"/>
        <v/>
      </c>
      <c r="Z20" s="42" t="str">
        <f>IF($A20="","",IF($A20="?","Lipseste ID-ul comenzii (col. A din PI Furnizor)",IF(NOT(ISNUMBER($X20)),"ID comanda negasit in foaia Comenzi",IF(N($E20)&lt;=0,"Lipseste cantitatea",IF(N($G20)=0,"Pret unitar lipsa",IF($Y20&lt;&gt;1,"Curs sau moneda marfa lipsa (foaia Comenzi)",IF(INDEX(Comenzi!$AT:$AT,$X20)&lt;&gt;"OK","Avertisment comanda: "&amp;INDEX(Comenzi!$AT:$AT,$X20),"OK")))))))</f>
        <v/>
      </c>
      <c r="AA20" s="43" t="str">
        <f>IF(ISNUMBER($X20),INDEX(Comenzi!$H:$H,$X20),"")</f>
        <v/>
      </c>
      <c r="AB20" s="43" t="str">
        <f>IF(ISNUMBER($X20),INDEX(Comenzi!$I:$I,$X20),"")</f>
        <v/>
      </c>
      <c r="AC20" s="44" t="str">
        <f>IF(ISNUMBER($X20),IF(INDEX(Comenzi!$V:$V,$X20)="",Comenzi!$D$3,INDEX(Comenzi!$V:$V,$X20)),"")</f>
        <v/>
      </c>
      <c r="AD20" s="44" t="str">
        <f>IF(ISNUMBER($X20),IF(INDEX(Comenzi!$U:$U,$X20)="",Comenzi!$D$4,INDEX(Comenzi!$U:$U,$X20)),"")</f>
        <v/>
      </c>
      <c r="AE20" s="45" t="str">
        <f>IF($Y20&lt;&gt;1,"",IF(INDEX(Comenzi!$AM:$AM,$X20)="Greutate",INDEX('PI Furnizor'!$O:$O,ROW()-3),IF(INDEX(Comenzi!$AM:$AM,$X20)="Volum (CBM)",INDEX('PI Furnizor'!$Q:$Q,ROW()-3),IF(INDEX(Comenzi!$AM:$AM,$X20)="Valoare marfa",INDEX('PI Furnizor'!$N:$N,ROW()-3),$E20))))</f>
        <v/>
      </c>
    </row>
    <row r="21" spans="1:31" x14ac:dyDescent="0.3">
      <c r="A21" s="28" t="str">
        <f>IF(COUNTA(INDEX('PI Furnizor'!$A:$E,ROW()-3,0))=0,"",IF(INDEX('PI Furnizor'!$A:$A,ROW()-3)="","?",INDEX('PI Furnizor'!$A:$A,ROW()-3)))</f>
        <v/>
      </c>
      <c r="B21" s="29" t="str">
        <f>IF(ISNUMBER($X21),INDEX(Comenzi!$B:$B,$X21),"")</f>
        <v/>
      </c>
      <c r="C21" s="28" t="str">
        <f>IF($A21="","",INDEX('PI Furnizor'!$B:$B,ROW()-3)&amp;"")</f>
        <v/>
      </c>
      <c r="D21" s="28" t="str">
        <f>IF($A21="","",INDEX('PI Furnizor'!$C:$C,ROW()-3)&amp;"")</f>
        <v/>
      </c>
      <c r="E21" s="30" t="str">
        <f>IF($A21="","",N(INDEX('PI Furnizor'!$D:$D,ROW()-3)))</f>
        <v/>
      </c>
      <c r="F21" s="31" t="str">
        <f>IF(ISNUMBER($X21),INDEX(Comenzi!$G:$G,$X21),"")</f>
        <v/>
      </c>
      <c r="G21" s="32" t="str">
        <f>IF($A21="","",N(INDEX('PI Furnizor'!$E:$E,ROW()-3)))</f>
        <v/>
      </c>
      <c r="H21" s="33" t="str">
        <f t="shared" si="0"/>
        <v/>
      </c>
      <c r="I21" s="34" t="str">
        <f>IF($Y21&lt;&gt;1,"",IFERROR($AE21/INDEX(Comenzi!$AN:$AN,$X21),0))</f>
        <v/>
      </c>
      <c r="J21" s="33" t="str">
        <f>IF($Y21&lt;&gt;1,"",INDEX(Comenzi!$AG:$AG,$X21)*$I21/$E21)</f>
        <v/>
      </c>
      <c r="K21" s="33" t="str">
        <f t="shared" si="1"/>
        <v/>
      </c>
      <c r="L21" s="33" t="str">
        <f>IF($Y21&lt;&gt;1,"",$K21*$AD21+INDEX(Comenzi!$AJ:$AJ,$X21)*$I21/$E21)</f>
        <v/>
      </c>
      <c r="M21" s="33" t="str">
        <f t="shared" si="2"/>
        <v/>
      </c>
      <c r="N21" s="33" t="str">
        <f t="shared" si="3"/>
        <v/>
      </c>
      <c r="O21" s="33" t="str">
        <f>IF($Y21&lt;&gt;1,"",(INDEX(Comenzi!$AK:$AK,$X21)+N(INDEX(Comenzi!$T:$T,$X21)))*$I21/$E21)</f>
        <v/>
      </c>
      <c r="P21" s="35" t="str">
        <f t="shared" si="4"/>
        <v/>
      </c>
      <c r="Q21" s="36" t="str">
        <f t="shared" si="5"/>
        <v/>
      </c>
      <c r="R21" s="37" t="str">
        <f t="shared" si="6"/>
        <v/>
      </c>
      <c r="S21" s="38" t="str">
        <f t="shared" si="7"/>
        <v/>
      </c>
      <c r="T21" s="39" t="str">
        <f t="shared" si="8"/>
        <v/>
      </c>
      <c r="U21" s="40" t="str">
        <f t="shared" si="9"/>
        <v/>
      </c>
      <c r="V21" s="33" t="str">
        <f t="shared" si="10"/>
        <v/>
      </c>
      <c r="W21" s="33" t="str">
        <f t="shared" si="11"/>
        <v/>
      </c>
      <c r="X21" s="41" t="str">
        <f>IF($A21="","",IFERROR(MATCH($A21,Comenzi!$A$9:$A$108,0)+8,""))</f>
        <v/>
      </c>
      <c r="Y21" s="41" t="str">
        <f t="shared" si="12"/>
        <v/>
      </c>
      <c r="Z21" s="42" t="str">
        <f>IF($A21="","",IF($A21="?","Lipseste ID-ul comenzii (col. A din PI Furnizor)",IF(NOT(ISNUMBER($X21)),"ID comanda negasit in foaia Comenzi",IF(N($E21)&lt;=0,"Lipseste cantitatea",IF(N($G21)=0,"Pret unitar lipsa",IF($Y21&lt;&gt;1,"Curs sau moneda marfa lipsa (foaia Comenzi)",IF(INDEX(Comenzi!$AT:$AT,$X21)&lt;&gt;"OK","Avertisment comanda: "&amp;INDEX(Comenzi!$AT:$AT,$X21),"OK")))))))</f>
        <v/>
      </c>
      <c r="AA21" s="43" t="str">
        <f>IF(ISNUMBER($X21),INDEX(Comenzi!$H:$H,$X21),"")</f>
        <v/>
      </c>
      <c r="AB21" s="43" t="str">
        <f>IF(ISNUMBER($X21),INDEX(Comenzi!$I:$I,$X21),"")</f>
        <v/>
      </c>
      <c r="AC21" s="44" t="str">
        <f>IF(ISNUMBER($X21),IF(INDEX(Comenzi!$V:$V,$X21)="",Comenzi!$D$3,INDEX(Comenzi!$V:$V,$X21)),"")</f>
        <v/>
      </c>
      <c r="AD21" s="44" t="str">
        <f>IF(ISNUMBER($X21),IF(INDEX(Comenzi!$U:$U,$X21)="",Comenzi!$D$4,INDEX(Comenzi!$U:$U,$X21)),"")</f>
        <v/>
      </c>
      <c r="AE21" s="45" t="str">
        <f>IF($Y21&lt;&gt;1,"",IF(INDEX(Comenzi!$AM:$AM,$X21)="Greutate",INDEX('PI Furnizor'!$O:$O,ROW()-3),IF(INDEX(Comenzi!$AM:$AM,$X21)="Volum (CBM)",INDEX('PI Furnizor'!$Q:$Q,ROW()-3),IF(INDEX(Comenzi!$AM:$AM,$X21)="Valoare marfa",INDEX('PI Furnizor'!$N:$N,ROW()-3),$E21))))</f>
        <v/>
      </c>
    </row>
    <row r="22" spans="1:31" x14ac:dyDescent="0.3">
      <c r="A22" s="28" t="str">
        <f>IF(COUNTA(INDEX('PI Furnizor'!$A:$E,ROW()-3,0))=0,"",IF(INDEX('PI Furnizor'!$A:$A,ROW()-3)="","?",INDEX('PI Furnizor'!$A:$A,ROW()-3)))</f>
        <v/>
      </c>
      <c r="B22" s="29" t="str">
        <f>IF(ISNUMBER($X22),INDEX(Comenzi!$B:$B,$X22),"")</f>
        <v/>
      </c>
      <c r="C22" s="28" t="str">
        <f>IF($A22="","",INDEX('PI Furnizor'!$B:$B,ROW()-3)&amp;"")</f>
        <v/>
      </c>
      <c r="D22" s="28" t="str">
        <f>IF($A22="","",INDEX('PI Furnizor'!$C:$C,ROW()-3)&amp;"")</f>
        <v/>
      </c>
      <c r="E22" s="30" t="str">
        <f>IF($A22="","",N(INDEX('PI Furnizor'!$D:$D,ROW()-3)))</f>
        <v/>
      </c>
      <c r="F22" s="31" t="str">
        <f>IF(ISNUMBER($X22),INDEX(Comenzi!$G:$G,$X22),"")</f>
        <v/>
      </c>
      <c r="G22" s="32" t="str">
        <f>IF($A22="","",N(INDEX('PI Furnizor'!$E:$E,ROW()-3)))</f>
        <v/>
      </c>
      <c r="H22" s="33" t="str">
        <f t="shared" si="0"/>
        <v/>
      </c>
      <c r="I22" s="34" t="str">
        <f>IF($Y22&lt;&gt;1,"",IFERROR($AE22/INDEX(Comenzi!$AN:$AN,$X22),0))</f>
        <v/>
      </c>
      <c r="J22" s="33" t="str">
        <f>IF($Y22&lt;&gt;1,"",INDEX(Comenzi!$AG:$AG,$X22)*$I22/$E22)</f>
        <v/>
      </c>
      <c r="K22" s="33" t="str">
        <f t="shared" si="1"/>
        <v/>
      </c>
      <c r="L22" s="33" t="str">
        <f>IF($Y22&lt;&gt;1,"",$K22*$AD22+INDEX(Comenzi!$AJ:$AJ,$X22)*$I22/$E22)</f>
        <v/>
      </c>
      <c r="M22" s="33" t="str">
        <f t="shared" si="2"/>
        <v/>
      </c>
      <c r="N22" s="33" t="str">
        <f t="shared" si="3"/>
        <v/>
      </c>
      <c r="O22" s="33" t="str">
        <f>IF($Y22&lt;&gt;1,"",(INDEX(Comenzi!$AK:$AK,$X22)+N(INDEX(Comenzi!$T:$T,$X22)))*$I22/$E22)</f>
        <v/>
      </c>
      <c r="P22" s="35" t="str">
        <f t="shared" si="4"/>
        <v/>
      </c>
      <c r="Q22" s="36" t="str">
        <f t="shared" si="5"/>
        <v/>
      </c>
      <c r="R22" s="37" t="str">
        <f t="shared" si="6"/>
        <v/>
      </c>
      <c r="S22" s="38" t="str">
        <f t="shared" si="7"/>
        <v/>
      </c>
      <c r="T22" s="39" t="str">
        <f t="shared" si="8"/>
        <v/>
      </c>
      <c r="U22" s="40" t="str">
        <f t="shared" si="9"/>
        <v/>
      </c>
      <c r="V22" s="33" t="str">
        <f t="shared" si="10"/>
        <v/>
      </c>
      <c r="W22" s="33" t="str">
        <f t="shared" si="11"/>
        <v/>
      </c>
      <c r="X22" s="41" t="str">
        <f>IF($A22="","",IFERROR(MATCH($A22,Comenzi!$A$9:$A$108,0)+8,""))</f>
        <v/>
      </c>
      <c r="Y22" s="41" t="str">
        <f t="shared" si="12"/>
        <v/>
      </c>
      <c r="Z22" s="42" t="str">
        <f>IF($A22="","",IF($A22="?","Lipseste ID-ul comenzii (col. A din PI Furnizor)",IF(NOT(ISNUMBER($X22)),"ID comanda negasit in foaia Comenzi",IF(N($E22)&lt;=0,"Lipseste cantitatea",IF(N($G22)=0,"Pret unitar lipsa",IF($Y22&lt;&gt;1,"Curs sau moneda marfa lipsa (foaia Comenzi)",IF(INDEX(Comenzi!$AT:$AT,$X22)&lt;&gt;"OK","Avertisment comanda: "&amp;INDEX(Comenzi!$AT:$AT,$X22),"OK")))))))</f>
        <v/>
      </c>
      <c r="AA22" s="43" t="str">
        <f>IF(ISNUMBER($X22),INDEX(Comenzi!$H:$H,$X22),"")</f>
        <v/>
      </c>
      <c r="AB22" s="43" t="str">
        <f>IF(ISNUMBER($X22),INDEX(Comenzi!$I:$I,$X22),"")</f>
        <v/>
      </c>
      <c r="AC22" s="44" t="str">
        <f>IF(ISNUMBER($X22),IF(INDEX(Comenzi!$V:$V,$X22)="",Comenzi!$D$3,INDEX(Comenzi!$V:$V,$X22)),"")</f>
        <v/>
      </c>
      <c r="AD22" s="44" t="str">
        <f>IF(ISNUMBER($X22),IF(INDEX(Comenzi!$U:$U,$X22)="",Comenzi!$D$4,INDEX(Comenzi!$U:$U,$X22)),"")</f>
        <v/>
      </c>
      <c r="AE22" s="45" t="str">
        <f>IF($Y22&lt;&gt;1,"",IF(INDEX(Comenzi!$AM:$AM,$X22)="Greutate",INDEX('PI Furnizor'!$O:$O,ROW()-3),IF(INDEX(Comenzi!$AM:$AM,$X22)="Volum (CBM)",INDEX('PI Furnizor'!$Q:$Q,ROW()-3),IF(INDEX(Comenzi!$AM:$AM,$X22)="Valoare marfa",INDEX('PI Furnizor'!$N:$N,ROW()-3),$E22))))</f>
        <v/>
      </c>
    </row>
    <row r="23" spans="1:31" x14ac:dyDescent="0.3">
      <c r="A23" s="28" t="str">
        <f>IF(COUNTA(INDEX('PI Furnizor'!$A:$E,ROW()-3,0))=0,"",IF(INDEX('PI Furnizor'!$A:$A,ROW()-3)="","?",INDEX('PI Furnizor'!$A:$A,ROW()-3)))</f>
        <v/>
      </c>
      <c r="B23" s="29" t="str">
        <f>IF(ISNUMBER($X23),INDEX(Comenzi!$B:$B,$X23),"")</f>
        <v/>
      </c>
      <c r="C23" s="28" t="str">
        <f>IF($A23="","",INDEX('PI Furnizor'!$B:$B,ROW()-3)&amp;"")</f>
        <v/>
      </c>
      <c r="D23" s="28" t="str">
        <f>IF($A23="","",INDEX('PI Furnizor'!$C:$C,ROW()-3)&amp;"")</f>
        <v/>
      </c>
      <c r="E23" s="30" t="str">
        <f>IF($A23="","",N(INDEX('PI Furnizor'!$D:$D,ROW()-3)))</f>
        <v/>
      </c>
      <c r="F23" s="31" t="str">
        <f>IF(ISNUMBER($X23),INDEX(Comenzi!$G:$G,$X23),"")</f>
        <v/>
      </c>
      <c r="G23" s="32" t="str">
        <f>IF($A23="","",N(INDEX('PI Furnizor'!$E:$E,ROW()-3)))</f>
        <v/>
      </c>
      <c r="H23" s="33" t="str">
        <f t="shared" si="0"/>
        <v/>
      </c>
      <c r="I23" s="34" t="str">
        <f>IF($Y23&lt;&gt;1,"",IFERROR($AE23/INDEX(Comenzi!$AN:$AN,$X23),0))</f>
        <v/>
      </c>
      <c r="J23" s="33" t="str">
        <f>IF($Y23&lt;&gt;1,"",INDEX(Comenzi!$AG:$AG,$X23)*$I23/$E23)</f>
        <v/>
      </c>
      <c r="K23" s="33" t="str">
        <f t="shared" si="1"/>
        <v/>
      </c>
      <c r="L23" s="33" t="str">
        <f>IF($Y23&lt;&gt;1,"",$K23*$AD23+INDEX(Comenzi!$AJ:$AJ,$X23)*$I23/$E23)</f>
        <v/>
      </c>
      <c r="M23" s="33" t="str">
        <f t="shared" si="2"/>
        <v/>
      </c>
      <c r="N23" s="33" t="str">
        <f t="shared" si="3"/>
        <v/>
      </c>
      <c r="O23" s="33" t="str">
        <f>IF($Y23&lt;&gt;1,"",(INDEX(Comenzi!$AK:$AK,$X23)+N(INDEX(Comenzi!$T:$T,$X23)))*$I23/$E23)</f>
        <v/>
      </c>
      <c r="P23" s="35" t="str">
        <f t="shared" si="4"/>
        <v/>
      </c>
      <c r="Q23" s="36" t="str">
        <f t="shared" si="5"/>
        <v/>
      </c>
      <c r="R23" s="37" t="str">
        <f t="shared" si="6"/>
        <v/>
      </c>
      <c r="S23" s="38" t="str">
        <f t="shared" si="7"/>
        <v/>
      </c>
      <c r="T23" s="39" t="str">
        <f t="shared" si="8"/>
        <v/>
      </c>
      <c r="U23" s="40" t="str">
        <f t="shared" si="9"/>
        <v/>
      </c>
      <c r="V23" s="33" t="str">
        <f t="shared" si="10"/>
        <v/>
      </c>
      <c r="W23" s="33" t="str">
        <f t="shared" si="11"/>
        <v/>
      </c>
      <c r="X23" s="41" t="str">
        <f>IF($A23="","",IFERROR(MATCH($A23,Comenzi!$A$9:$A$108,0)+8,""))</f>
        <v/>
      </c>
      <c r="Y23" s="41" t="str">
        <f t="shared" si="12"/>
        <v/>
      </c>
      <c r="Z23" s="42" t="str">
        <f>IF($A23="","",IF($A23="?","Lipseste ID-ul comenzii (col. A din PI Furnizor)",IF(NOT(ISNUMBER($X23)),"ID comanda negasit in foaia Comenzi",IF(N($E23)&lt;=0,"Lipseste cantitatea",IF(N($G23)=0,"Pret unitar lipsa",IF($Y23&lt;&gt;1,"Curs sau moneda marfa lipsa (foaia Comenzi)",IF(INDEX(Comenzi!$AT:$AT,$X23)&lt;&gt;"OK","Avertisment comanda: "&amp;INDEX(Comenzi!$AT:$AT,$X23),"OK")))))))</f>
        <v/>
      </c>
      <c r="AA23" s="43" t="str">
        <f>IF(ISNUMBER($X23),INDEX(Comenzi!$H:$H,$X23),"")</f>
        <v/>
      </c>
      <c r="AB23" s="43" t="str">
        <f>IF(ISNUMBER($X23),INDEX(Comenzi!$I:$I,$X23),"")</f>
        <v/>
      </c>
      <c r="AC23" s="44" t="str">
        <f>IF(ISNUMBER($X23),IF(INDEX(Comenzi!$V:$V,$X23)="",Comenzi!$D$3,INDEX(Comenzi!$V:$V,$X23)),"")</f>
        <v/>
      </c>
      <c r="AD23" s="44" t="str">
        <f>IF(ISNUMBER($X23),IF(INDEX(Comenzi!$U:$U,$X23)="",Comenzi!$D$4,INDEX(Comenzi!$U:$U,$X23)),"")</f>
        <v/>
      </c>
      <c r="AE23" s="45" t="str">
        <f>IF($Y23&lt;&gt;1,"",IF(INDEX(Comenzi!$AM:$AM,$X23)="Greutate",INDEX('PI Furnizor'!$O:$O,ROW()-3),IF(INDEX(Comenzi!$AM:$AM,$X23)="Volum (CBM)",INDEX('PI Furnizor'!$Q:$Q,ROW()-3),IF(INDEX(Comenzi!$AM:$AM,$X23)="Valoare marfa",INDEX('PI Furnizor'!$N:$N,ROW()-3),$E23))))</f>
        <v/>
      </c>
    </row>
    <row r="24" spans="1:31" x14ac:dyDescent="0.3">
      <c r="A24" s="28" t="str">
        <f>IF(COUNTA(INDEX('PI Furnizor'!$A:$E,ROW()-3,0))=0,"",IF(INDEX('PI Furnizor'!$A:$A,ROW()-3)="","?",INDEX('PI Furnizor'!$A:$A,ROW()-3)))</f>
        <v/>
      </c>
      <c r="B24" s="29" t="str">
        <f>IF(ISNUMBER($X24),INDEX(Comenzi!$B:$B,$X24),"")</f>
        <v/>
      </c>
      <c r="C24" s="28" t="str">
        <f>IF($A24="","",INDEX('PI Furnizor'!$B:$B,ROW()-3)&amp;"")</f>
        <v/>
      </c>
      <c r="D24" s="28" t="str">
        <f>IF($A24="","",INDEX('PI Furnizor'!$C:$C,ROW()-3)&amp;"")</f>
        <v/>
      </c>
      <c r="E24" s="30" t="str">
        <f>IF($A24="","",N(INDEX('PI Furnizor'!$D:$D,ROW()-3)))</f>
        <v/>
      </c>
      <c r="F24" s="31" t="str">
        <f>IF(ISNUMBER($X24),INDEX(Comenzi!$G:$G,$X24),"")</f>
        <v/>
      </c>
      <c r="G24" s="32" t="str">
        <f>IF($A24="","",N(INDEX('PI Furnizor'!$E:$E,ROW()-3)))</f>
        <v/>
      </c>
      <c r="H24" s="33" t="str">
        <f t="shared" si="0"/>
        <v/>
      </c>
      <c r="I24" s="34" t="str">
        <f>IF($Y24&lt;&gt;1,"",IFERROR($AE24/INDEX(Comenzi!$AN:$AN,$X24),0))</f>
        <v/>
      </c>
      <c r="J24" s="33" t="str">
        <f>IF($Y24&lt;&gt;1,"",INDEX(Comenzi!$AG:$AG,$X24)*$I24/$E24)</f>
        <v/>
      </c>
      <c r="K24" s="33" t="str">
        <f t="shared" si="1"/>
        <v/>
      </c>
      <c r="L24" s="33" t="str">
        <f>IF($Y24&lt;&gt;1,"",$K24*$AD24+INDEX(Comenzi!$AJ:$AJ,$X24)*$I24/$E24)</f>
        <v/>
      </c>
      <c r="M24" s="33" t="str">
        <f t="shared" si="2"/>
        <v/>
      </c>
      <c r="N24" s="33" t="str">
        <f t="shared" si="3"/>
        <v/>
      </c>
      <c r="O24" s="33" t="str">
        <f>IF($Y24&lt;&gt;1,"",(INDEX(Comenzi!$AK:$AK,$X24)+N(INDEX(Comenzi!$T:$T,$X24)))*$I24/$E24)</f>
        <v/>
      </c>
      <c r="P24" s="35" t="str">
        <f t="shared" si="4"/>
        <v/>
      </c>
      <c r="Q24" s="36" t="str">
        <f t="shared" si="5"/>
        <v/>
      </c>
      <c r="R24" s="37" t="str">
        <f t="shared" si="6"/>
        <v/>
      </c>
      <c r="S24" s="38" t="str">
        <f t="shared" si="7"/>
        <v/>
      </c>
      <c r="T24" s="39" t="str">
        <f t="shared" si="8"/>
        <v/>
      </c>
      <c r="U24" s="40" t="str">
        <f t="shared" si="9"/>
        <v/>
      </c>
      <c r="V24" s="33" t="str">
        <f t="shared" si="10"/>
        <v/>
      </c>
      <c r="W24" s="33" t="str">
        <f t="shared" si="11"/>
        <v/>
      </c>
      <c r="X24" s="41" t="str">
        <f>IF($A24="","",IFERROR(MATCH($A24,Comenzi!$A$9:$A$108,0)+8,""))</f>
        <v/>
      </c>
      <c r="Y24" s="41" t="str">
        <f t="shared" si="12"/>
        <v/>
      </c>
      <c r="Z24" s="42" t="str">
        <f>IF($A24="","",IF($A24="?","Lipseste ID-ul comenzii (col. A din PI Furnizor)",IF(NOT(ISNUMBER($X24)),"ID comanda negasit in foaia Comenzi",IF(N($E24)&lt;=0,"Lipseste cantitatea",IF(N($G24)=0,"Pret unitar lipsa",IF($Y24&lt;&gt;1,"Curs sau moneda marfa lipsa (foaia Comenzi)",IF(INDEX(Comenzi!$AT:$AT,$X24)&lt;&gt;"OK","Avertisment comanda: "&amp;INDEX(Comenzi!$AT:$AT,$X24),"OK")))))))</f>
        <v/>
      </c>
      <c r="AA24" s="43" t="str">
        <f>IF(ISNUMBER($X24),INDEX(Comenzi!$H:$H,$X24),"")</f>
        <v/>
      </c>
      <c r="AB24" s="43" t="str">
        <f>IF(ISNUMBER($X24),INDEX(Comenzi!$I:$I,$X24),"")</f>
        <v/>
      </c>
      <c r="AC24" s="44" t="str">
        <f>IF(ISNUMBER($X24),IF(INDEX(Comenzi!$V:$V,$X24)="",Comenzi!$D$3,INDEX(Comenzi!$V:$V,$X24)),"")</f>
        <v/>
      </c>
      <c r="AD24" s="44" t="str">
        <f>IF(ISNUMBER($X24),IF(INDEX(Comenzi!$U:$U,$X24)="",Comenzi!$D$4,INDEX(Comenzi!$U:$U,$X24)),"")</f>
        <v/>
      </c>
      <c r="AE24" s="45" t="str">
        <f>IF($Y24&lt;&gt;1,"",IF(INDEX(Comenzi!$AM:$AM,$X24)="Greutate",INDEX('PI Furnizor'!$O:$O,ROW()-3),IF(INDEX(Comenzi!$AM:$AM,$X24)="Volum (CBM)",INDEX('PI Furnizor'!$Q:$Q,ROW()-3),IF(INDEX(Comenzi!$AM:$AM,$X24)="Valoare marfa",INDEX('PI Furnizor'!$N:$N,ROW()-3),$E24))))</f>
        <v/>
      </c>
    </row>
    <row r="25" spans="1:31" x14ac:dyDescent="0.3">
      <c r="A25" s="28" t="str">
        <f>IF(COUNTA(INDEX('PI Furnizor'!$A:$E,ROW()-3,0))=0,"",IF(INDEX('PI Furnizor'!$A:$A,ROW()-3)="","?",INDEX('PI Furnizor'!$A:$A,ROW()-3)))</f>
        <v/>
      </c>
      <c r="B25" s="29" t="str">
        <f>IF(ISNUMBER($X25),INDEX(Comenzi!$B:$B,$X25),"")</f>
        <v/>
      </c>
      <c r="C25" s="28" t="str">
        <f>IF($A25="","",INDEX('PI Furnizor'!$B:$B,ROW()-3)&amp;"")</f>
        <v/>
      </c>
      <c r="D25" s="28" t="str">
        <f>IF($A25="","",INDEX('PI Furnizor'!$C:$C,ROW()-3)&amp;"")</f>
        <v/>
      </c>
      <c r="E25" s="30" t="str">
        <f>IF($A25="","",N(INDEX('PI Furnizor'!$D:$D,ROW()-3)))</f>
        <v/>
      </c>
      <c r="F25" s="31" t="str">
        <f>IF(ISNUMBER($X25),INDEX(Comenzi!$G:$G,$X25),"")</f>
        <v/>
      </c>
      <c r="G25" s="32" t="str">
        <f>IF($A25="","",N(INDEX('PI Furnizor'!$E:$E,ROW()-3)))</f>
        <v/>
      </c>
      <c r="H25" s="33" t="str">
        <f t="shared" si="0"/>
        <v/>
      </c>
      <c r="I25" s="34" t="str">
        <f>IF($Y25&lt;&gt;1,"",IFERROR($AE25/INDEX(Comenzi!$AN:$AN,$X25),0))</f>
        <v/>
      </c>
      <c r="J25" s="33" t="str">
        <f>IF($Y25&lt;&gt;1,"",INDEX(Comenzi!$AG:$AG,$X25)*$I25/$E25)</f>
        <v/>
      </c>
      <c r="K25" s="33" t="str">
        <f t="shared" si="1"/>
        <v/>
      </c>
      <c r="L25" s="33" t="str">
        <f>IF($Y25&lt;&gt;1,"",$K25*$AD25+INDEX(Comenzi!$AJ:$AJ,$X25)*$I25/$E25)</f>
        <v/>
      </c>
      <c r="M25" s="33" t="str">
        <f t="shared" si="2"/>
        <v/>
      </c>
      <c r="N25" s="33" t="str">
        <f t="shared" si="3"/>
        <v/>
      </c>
      <c r="O25" s="33" t="str">
        <f>IF($Y25&lt;&gt;1,"",(INDEX(Comenzi!$AK:$AK,$X25)+N(INDEX(Comenzi!$T:$T,$X25)))*$I25/$E25)</f>
        <v/>
      </c>
      <c r="P25" s="35" t="str">
        <f t="shared" si="4"/>
        <v/>
      </c>
      <c r="Q25" s="36" t="str">
        <f t="shared" si="5"/>
        <v/>
      </c>
      <c r="R25" s="37" t="str">
        <f t="shared" si="6"/>
        <v/>
      </c>
      <c r="S25" s="38" t="str">
        <f t="shared" si="7"/>
        <v/>
      </c>
      <c r="T25" s="39" t="str">
        <f t="shared" si="8"/>
        <v/>
      </c>
      <c r="U25" s="40" t="str">
        <f t="shared" si="9"/>
        <v/>
      </c>
      <c r="V25" s="33" t="str">
        <f t="shared" si="10"/>
        <v/>
      </c>
      <c r="W25" s="33" t="str">
        <f t="shared" si="11"/>
        <v/>
      </c>
      <c r="X25" s="41" t="str">
        <f>IF($A25="","",IFERROR(MATCH($A25,Comenzi!$A$9:$A$108,0)+8,""))</f>
        <v/>
      </c>
      <c r="Y25" s="41" t="str">
        <f t="shared" si="12"/>
        <v/>
      </c>
      <c r="Z25" s="42" t="str">
        <f>IF($A25="","",IF($A25="?","Lipseste ID-ul comenzii (col. A din PI Furnizor)",IF(NOT(ISNUMBER($X25)),"ID comanda negasit in foaia Comenzi",IF(N($E25)&lt;=0,"Lipseste cantitatea",IF(N($G25)=0,"Pret unitar lipsa",IF($Y25&lt;&gt;1,"Curs sau moneda marfa lipsa (foaia Comenzi)",IF(INDEX(Comenzi!$AT:$AT,$X25)&lt;&gt;"OK","Avertisment comanda: "&amp;INDEX(Comenzi!$AT:$AT,$X25),"OK")))))))</f>
        <v/>
      </c>
      <c r="AA25" s="43" t="str">
        <f>IF(ISNUMBER($X25),INDEX(Comenzi!$H:$H,$X25),"")</f>
        <v/>
      </c>
      <c r="AB25" s="43" t="str">
        <f>IF(ISNUMBER($X25),INDEX(Comenzi!$I:$I,$X25),"")</f>
        <v/>
      </c>
      <c r="AC25" s="44" t="str">
        <f>IF(ISNUMBER($X25),IF(INDEX(Comenzi!$V:$V,$X25)="",Comenzi!$D$3,INDEX(Comenzi!$V:$V,$X25)),"")</f>
        <v/>
      </c>
      <c r="AD25" s="44" t="str">
        <f>IF(ISNUMBER($X25),IF(INDEX(Comenzi!$U:$U,$X25)="",Comenzi!$D$4,INDEX(Comenzi!$U:$U,$X25)),"")</f>
        <v/>
      </c>
      <c r="AE25" s="45" t="str">
        <f>IF($Y25&lt;&gt;1,"",IF(INDEX(Comenzi!$AM:$AM,$X25)="Greutate",INDEX('PI Furnizor'!$O:$O,ROW()-3),IF(INDEX(Comenzi!$AM:$AM,$X25)="Volum (CBM)",INDEX('PI Furnizor'!$Q:$Q,ROW()-3),IF(INDEX(Comenzi!$AM:$AM,$X25)="Valoare marfa",INDEX('PI Furnizor'!$N:$N,ROW()-3),$E25))))</f>
        <v/>
      </c>
    </row>
    <row r="26" spans="1:31" x14ac:dyDescent="0.3">
      <c r="A26" s="28" t="str">
        <f>IF(COUNTA(INDEX('PI Furnizor'!$A:$E,ROW()-3,0))=0,"",IF(INDEX('PI Furnizor'!$A:$A,ROW()-3)="","?",INDEX('PI Furnizor'!$A:$A,ROW()-3)))</f>
        <v/>
      </c>
      <c r="B26" s="29" t="str">
        <f>IF(ISNUMBER($X26),INDEX(Comenzi!$B:$B,$X26),"")</f>
        <v/>
      </c>
      <c r="C26" s="28" t="str">
        <f>IF($A26="","",INDEX('PI Furnizor'!$B:$B,ROW()-3)&amp;"")</f>
        <v/>
      </c>
      <c r="D26" s="28" t="str">
        <f>IF($A26="","",INDEX('PI Furnizor'!$C:$C,ROW()-3)&amp;"")</f>
        <v/>
      </c>
      <c r="E26" s="30" t="str">
        <f>IF($A26="","",N(INDEX('PI Furnizor'!$D:$D,ROW()-3)))</f>
        <v/>
      </c>
      <c r="F26" s="31" t="str">
        <f>IF(ISNUMBER($X26),INDEX(Comenzi!$G:$G,$X26),"")</f>
        <v/>
      </c>
      <c r="G26" s="32" t="str">
        <f>IF($A26="","",N(INDEX('PI Furnizor'!$E:$E,ROW()-3)))</f>
        <v/>
      </c>
      <c r="H26" s="33" t="str">
        <f t="shared" si="0"/>
        <v/>
      </c>
      <c r="I26" s="34" t="str">
        <f>IF($Y26&lt;&gt;1,"",IFERROR($AE26/INDEX(Comenzi!$AN:$AN,$X26),0))</f>
        <v/>
      </c>
      <c r="J26" s="33" t="str">
        <f>IF($Y26&lt;&gt;1,"",INDEX(Comenzi!$AG:$AG,$X26)*$I26/$E26)</f>
        <v/>
      </c>
      <c r="K26" s="33" t="str">
        <f t="shared" si="1"/>
        <v/>
      </c>
      <c r="L26" s="33" t="str">
        <f>IF($Y26&lt;&gt;1,"",$K26*$AD26+INDEX(Comenzi!$AJ:$AJ,$X26)*$I26/$E26)</f>
        <v/>
      </c>
      <c r="M26" s="33" t="str">
        <f t="shared" si="2"/>
        <v/>
      </c>
      <c r="N26" s="33" t="str">
        <f t="shared" si="3"/>
        <v/>
      </c>
      <c r="O26" s="33" t="str">
        <f>IF($Y26&lt;&gt;1,"",(INDEX(Comenzi!$AK:$AK,$X26)+N(INDEX(Comenzi!$T:$T,$X26)))*$I26/$E26)</f>
        <v/>
      </c>
      <c r="P26" s="35" t="str">
        <f t="shared" si="4"/>
        <v/>
      </c>
      <c r="Q26" s="36" t="str">
        <f t="shared" si="5"/>
        <v/>
      </c>
      <c r="R26" s="37" t="str">
        <f t="shared" si="6"/>
        <v/>
      </c>
      <c r="S26" s="38" t="str">
        <f t="shared" si="7"/>
        <v/>
      </c>
      <c r="T26" s="39" t="str">
        <f t="shared" si="8"/>
        <v/>
      </c>
      <c r="U26" s="40" t="str">
        <f t="shared" si="9"/>
        <v/>
      </c>
      <c r="V26" s="33" t="str">
        <f t="shared" si="10"/>
        <v/>
      </c>
      <c r="W26" s="33" t="str">
        <f t="shared" si="11"/>
        <v/>
      </c>
      <c r="X26" s="41" t="str">
        <f>IF($A26="","",IFERROR(MATCH($A26,Comenzi!$A$9:$A$108,0)+8,""))</f>
        <v/>
      </c>
      <c r="Y26" s="41" t="str">
        <f t="shared" si="12"/>
        <v/>
      </c>
      <c r="Z26" s="42" t="str">
        <f>IF($A26="","",IF($A26="?","Lipseste ID-ul comenzii (col. A din PI Furnizor)",IF(NOT(ISNUMBER($X26)),"ID comanda negasit in foaia Comenzi",IF(N($E26)&lt;=0,"Lipseste cantitatea",IF(N($G26)=0,"Pret unitar lipsa",IF($Y26&lt;&gt;1,"Curs sau moneda marfa lipsa (foaia Comenzi)",IF(INDEX(Comenzi!$AT:$AT,$X26)&lt;&gt;"OK","Avertisment comanda: "&amp;INDEX(Comenzi!$AT:$AT,$X26),"OK")))))))</f>
        <v/>
      </c>
      <c r="AA26" s="43" t="str">
        <f>IF(ISNUMBER($X26),INDEX(Comenzi!$H:$H,$X26),"")</f>
        <v/>
      </c>
      <c r="AB26" s="43" t="str">
        <f>IF(ISNUMBER($X26),INDEX(Comenzi!$I:$I,$X26),"")</f>
        <v/>
      </c>
      <c r="AC26" s="44" t="str">
        <f>IF(ISNUMBER($X26),IF(INDEX(Comenzi!$V:$V,$X26)="",Comenzi!$D$3,INDEX(Comenzi!$V:$V,$X26)),"")</f>
        <v/>
      </c>
      <c r="AD26" s="44" t="str">
        <f>IF(ISNUMBER($X26),IF(INDEX(Comenzi!$U:$U,$X26)="",Comenzi!$D$4,INDEX(Comenzi!$U:$U,$X26)),"")</f>
        <v/>
      </c>
      <c r="AE26" s="45" t="str">
        <f>IF($Y26&lt;&gt;1,"",IF(INDEX(Comenzi!$AM:$AM,$X26)="Greutate",INDEX('PI Furnizor'!$O:$O,ROW()-3),IF(INDEX(Comenzi!$AM:$AM,$X26)="Volum (CBM)",INDEX('PI Furnizor'!$Q:$Q,ROW()-3),IF(INDEX(Comenzi!$AM:$AM,$X26)="Valoare marfa",INDEX('PI Furnizor'!$N:$N,ROW()-3),$E26))))</f>
        <v/>
      </c>
    </row>
    <row r="27" spans="1:31" x14ac:dyDescent="0.3">
      <c r="A27" s="28" t="str">
        <f>IF(COUNTA(INDEX('PI Furnizor'!$A:$E,ROW()-3,0))=0,"",IF(INDEX('PI Furnizor'!$A:$A,ROW()-3)="","?",INDEX('PI Furnizor'!$A:$A,ROW()-3)))</f>
        <v/>
      </c>
      <c r="B27" s="29" t="str">
        <f>IF(ISNUMBER($X27),INDEX(Comenzi!$B:$B,$X27),"")</f>
        <v/>
      </c>
      <c r="C27" s="28" t="str">
        <f>IF($A27="","",INDEX('PI Furnizor'!$B:$B,ROW()-3)&amp;"")</f>
        <v/>
      </c>
      <c r="D27" s="28" t="str">
        <f>IF($A27="","",INDEX('PI Furnizor'!$C:$C,ROW()-3)&amp;"")</f>
        <v/>
      </c>
      <c r="E27" s="30" t="str">
        <f>IF($A27="","",N(INDEX('PI Furnizor'!$D:$D,ROW()-3)))</f>
        <v/>
      </c>
      <c r="F27" s="31" t="str">
        <f>IF(ISNUMBER($X27),INDEX(Comenzi!$G:$G,$X27),"")</f>
        <v/>
      </c>
      <c r="G27" s="32" t="str">
        <f>IF($A27="","",N(INDEX('PI Furnizor'!$E:$E,ROW()-3)))</f>
        <v/>
      </c>
      <c r="H27" s="33" t="str">
        <f t="shared" si="0"/>
        <v/>
      </c>
      <c r="I27" s="34" t="str">
        <f>IF($Y27&lt;&gt;1,"",IFERROR($AE27/INDEX(Comenzi!$AN:$AN,$X27),0))</f>
        <v/>
      </c>
      <c r="J27" s="33" t="str">
        <f>IF($Y27&lt;&gt;1,"",INDEX(Comenzi!$AG:$AG,$X27)*$I27/$E27)</f>
        <v/>
      </c>
      <c r="K27" s="33" t="str">
        <f t="shared" si="1"/>
        <v/>
      </c>
      <c r="L27" s="33" t="str">
        <f>IF($Y27&lt;&gt;1,"",$K27*$AD27+INDEX(Comenzi!$AJ:$AJ,$X27)*$I27/$E27)</f>
        <v/>
      </c>
      <c r="M27" s="33" t="str">
        <f t="shared" si="2"/>
        <v/>
      </c>
      <c r="N27" s="33" t="str">
        <f t="shared" si="3"/>
        <v/>
      </c>
      <c r="O27" s="33" t="str">
        <f>IF($Y27&lt;&gt;1,"",(INDEX(Comenzi!$AK:$AK,$X27)+N(INDEX(Comenzi!$T:$T,$X27)))*$I27/$E27)</f>
        <v/>
      </c>
      <c r="P27" s="35" t="str">
        <f t="shared" si="4"/>
        <v/>
      </c>
      <c r="Q27" s="36" t="str">
        <f t="shared" si="5"/>
        <v/>
      </c>
      <c r="R27" s="37" t="str">
        <f t="shared" si="6"/>
        <v/>
      </c>
      <c r="S27" s="38" t="str">
        <f t="shared" si="7"/>
        <v/>
      </c>
      <c r="T27" s="39" t="str">
        <f t="shared" si="8"/>
        <v/>
      </c>
      <c r="U27" s="40" t="str">
        <f t="shared" si="9"/>
        <v/>
      </c>
      <c r="V27" s="33" t="str">
        <f t="shared" si="10"/>
        <v/>
      </c>
      <c r="W27" s="33" t="str">
        <f t="shared" si="11"/>
        <v/>
      </c>
      <c r="X27" s="41" t="str">
        <f>IF($A27="","",IFERROR(MATCH($A27,Comenzi!$A$9:$A$108,0)+8,""))</f>
        <v/>
      </c>
      <c r="Y27" s="41" t="str">
        <f t="shared" si="12"/>
        <v/>
      </c>
      <c r="Z27" s="42" t="str">
        <f>IF($A27="","",IF($A27="?","Lipseste ID-ul comenzii (col. A din PI Furnizor)",IF(NOT(ISNUMBER($X27)),"ID comanda negasit in foaia Comenzi",IF(N($E27)&lt;=0,"Lipseste cantitatea",IF(N($G27)=0,"Pret unitar lipsa",IF($Y27&lt;&gt;1,"Curs sau moneda marfa lipsa (foaia Comenzi)",IF(INDEX(Comenzi!$AT:$AT,$X27)&lt;&gt;"OK","Avertisment comanda: "&amp;INDEX(Comenzi!$AT:$AT,$X27),"OK")))))))</f>
        <v/>
      </c>
      <c r="AA27" s="43" t="str">
        <f>IF(ISNUMBER($X27),INDEX(Comenzi!$H:$H,$X27),"")</f>
        <v/>
      </c>
      <c r="AB27" s="43" t="str">
        <f>IF(ISNUMBER($X27),INDEX(Comenzi!$I:$I,$X27),"")</f>
        <v/>
      </c>
      <c r="AC27" s="44" t="str">
        <f>IF(ISNUMBER($X27),IF(INDEX(Comenzi!$V:$V,$X27)="",Comenzi!$D$3,INDEX(Comenzi!$V:$V,$X27)),"")</f>
        <v/>
      </c>
      <c r="AD27" s="44" t="str">
        <f>IF(ISNUMBER($X27),IF(INDEX(Comenzi!$U:$U,$X27)="",Comenzi!$D$4,INDEX(Comenzi!$U:$U,$X27)),"")</f>
        <v/>
      </c>
      <c r="AE27" s="45" t="str">
        <f>IF($Y27&lt;&gt;1,"",IF(INDEX(Comenzi!$AM:$AM,$X27)="Greutate",INDEX('PI Furnizor'!$O:$O,ROW()-3),IF(INDEX(Comenzi!$AM:$AM,$X27)="Volum (CBM)",INDEX('PI Furnizor'!$Q:$Q,ROW()-3),IF(INDEX(Comenzi!$AM:$AM,$X27)="Valoare marfa",INDEX('PI Furnizor'!$N:$N,ROW()-3),$E27))))</f>
        <v/>
      </c>
    </row>
    <row r="28" spans="1:31" x14ac:dyDescent="0.3">
      <c r="A28" s="28" t="str">
        <f>IF(COUNTA(INDEX('PI Furnizor'!$A:$E,ROW()-3,0))=0,"",IF(INDEX('PI Furnizor'!$A:$A,ROW()-3)="","?",INDEX('PI Furnizor'!$A:$A,ROW()-3)))</f>
        <v/>
      </c>
      <c r="B28" s="29" t="str">
        <f>IF(ISNUMBER($X28),INDEX(Comenzi!$B:$B,$X28),"")</f>
        <v/>
      </c>
      <c r="C28" s="28" t="str">
        <f>IF($A28="","",INDEX('PI Furnizor'!$B:$B,ROW()-3)&amp;"")</f>
        <v/>
      </c>
      <c r="D28" s="28" t="str">
        <f>IF($A28="","",INDEX('PI Furnizor'!$C:$C,ROW()-3)&amp;"")</f>
        <v/>
      </c>
      <c r="E28" s="30" t="str">
        <f>IF($A28="","",N(INDEX('PI Furnizor'!$D:$D,ROW()-3)))</f>
        <v/>
      </c>
      <c r="F28" s="31" t="str">
        <f>IF(ISNUMBER($X28),INDEX(Comenzi!$G:$G,$X28),"")</f>
        <v/>
      </c>
      <c r="G28" s="32" t="str">
        <f>IF($A28="","",N(INDEX('PI Furnizor'!$E:$E,ROW()-3)))</f>
        <v/>
      </c>
      <c r="H28" s="33" t="str">
        <f t="shared" si="0"/>
        <v/>
      </c>
      <c r="I28" s="34" t="str">
        <f>IF($Y28&lt;&gt;1,"",IFERROR($AE28/INDEX(Comenzi!$AN:$AN,$X28),0))</f>
        <v/>
      </c>
      <c r="J28" s="33" t="str">
        <f>IF($Y28&lt;&gt;1,"",INDEX(Comenzi!$AG:$AG,$X28)*$I28/$E28)</f>
        <v/>
      </c>
      <c r="K28" s="33" t="str">
        <f t="shared" si="1"/>
        <v/>
      </c>
      <c r="L28" s="33" t="str">
        <f>IF($Y28&lt;&gt;1,"",$K28*$AD28+INDEX(Comenzi!$AJ:$AJ,$X28)*$I28/$E28)</f>
        <v/>
      </c>
      <c r="M28" s="33" t="str">
        <f t="shared" si="2"/>
        <v/>
      </c>
      <c r="N28" s="33" t="str">
        <f t="shared" si="3"/>
        <v/>
      </c>
      <c r="O28" s="33" t="str">
        <f>IF($Y28&lt;&gt;1,"",(INDEX(Comenzi!$AK:$AK,$X28)+N(INDEX(Comenzi!$T:$T,$X28)))*$I28/$E28)</f>
        <v/>
      </c>
      <c r="P28" s="35" t="str">
        <f t="shared" si="4"/>
        <v/>
      </c>
      <c r="Q28" s="36" t="str">
        <f t="shared" si="5"/>
        <v/>
      </c>
      <c r="R28" s="37" t="str">
        <f t="shared" si="6"/>
        <v/>
      </c>
      <c r="S28" s="38" t="str">
        <f t="shared" si="7"/>
        <v/>
      </c>
      <c r="T28" s="39" t="str">
        <f t="shared" si="8"/>
        <v/>
      </c>
      <c r="U28" s="40" t="str">
        <f t="shared" si="9"/>
        <v/>
      </c>
      <c r="V28" s="33" t="str">
        <f t="shared" si="10"/>
        <v/>
      </c>
      <c r="W28" s="33" t="str">
        <f t="shared" si="11"/>
        <v/>
      </c>
      <c r="X28" s="41" t="str">
        <f>IF($A28="","",IFERROR(MATCH($A28,Comenzi!$A$9:$A$108,0)+8,""))</f>
        <v/>
      </c>
      <c r="Y28" s="41" t="str">
        <f t="shared" si="12"/>
        <v/>
      </c>
      <c r="Z28" s="42" t="str">
        <f>IF($A28="","",IF($A28="?","Lipseste ID-ul comenzii (col. A din PI Furnizor)",IF(NOT(ISNUMBER($X28)),"ID comanda negasit in foaia Comenzi",IF(N($E28)&lt;=0,"Lipseste cantitatea",IF(N($G28)=0,"Pret unitar lipsa",IF($Y28&lt;&gt;1,"Curs sau moneda marfa lipsa (foaia Comenzi)",IF(INDEX(Comenzi!$AT:$AT,$X28)&lt;&gt;"OK","Avertisment comanda: "&amp;INDEX(Comenzi!$AT:$AT,$X28),"OK")))))))</f>
        <v/>
      </c>
      <c r="AA28" s="43" t="str">
        <f>IF(ISNUMBER($X28),INDEX(Comenzi!$H:$H,$X28),"")</f>
        <v/>
      </c>
      <c r="AB28" s="43" t="str">
        <f>IF(ISNUMBER($X28),INDEX(Comenzi!$I:$I,$X28),"")</f>
        <v/>
      </c>
      <c r="AC28" s="44" t="str">
        <f>IF(ISNUMBER($X28),IF(INDEX(Comenzi!$V:$V,$X28)="",Comenzi!$D$3,INDEX(Comenzi!$V:$V,$X28)),"")</f>
        <v/>
      </c>
      <c r="AD28" s="44" t="str">
        <f>IF(ISNUMBER($X28),IF(INDEX(Comenzi!$U:$U,$X28)="",Comenzi!$D$4,INDEX(Comenzi!$U:$U,$X28)),"")</f>
        <v/>
      </c>
      <c r="AE28" s="45" t="str">
        <f>IF($Y28&lt;&gt;1,"",IF(INDEX(Comenzi!$AM:$AM,$X28)="Greutate",INDEX('PI Furnizor'!$O:$O,ROW()-3),IF(INDEX(Comenzi!$AM:$AM,$X28)="Volum (CBM)",INDEX('PI Furnizor'!$Q:$Q,ROW()-3),IF(INDEX(Comenzi!$AM:$AM,$X28)="Valoare marfa",INDEX('PI Furnizor'!$N:$N,ROW()-3),$E28))))</f>
        <v/>
      </c>
    </row>
    <row r="29" spans="1:31" x14ac:dyDescent="0.3">
      <c r="A29" s="28" t="str">
        <f>IF(COUNTA(INDEX('PI Furnizor'!$A:$E,ROW()-3,0))=0,"",IF(INDEX('PI Furnizor'!$A:$A,ROW()-3)="","?",INDEX('PI Furnizor'!$A:$A,ROW()-3)))</f>
        <v/>
      </c>
      <c r="B29" s="29" t="str">
        <f>IF(ISNUMBER($X29),INDEX(Comenzi!$B:$B,$X29),"")</f>
        <v/>
      </c>
      <c r="C29" s="28" t="str">
        <f>IF($A29="","",INDEX('PI Furnizor'!$B:$B,ROW()-3)&amp;"")</f>
        <v/>
      </c>
      <c r="D29" s="28" t="str">
        <f>IF($A29="","",INDEX('PI Furnizor'!$C:$C,ROW()-3)&amp;"")</f>
        <v/>
      </c>
      <c r="E29" s="30" t="str">
        <f>IF($A29="","",N(INDEX('PI Furnizor'!$D:$D,ROW()-3)))</f>
        <v/>
      </c>
      <c r="F29" s="31" t="str">
        <f>IF(ISNUMBER($X29),INDEX(Comenzi!$G:$G,$X29),"")</f>
        <v/>
      </c>
      <c r="G29" s="32" t="str">
        <f>IF($A29="","",N(INDEX('PI Furnizor'!$E:$E,ROW()-3)))</f>
        <v/>
      </c>
      <c r="H29" s="33" t="str">
        <f t="shared" si="0"/>
        <v/>
      </c>
      <c r="I29" s="34" t="str">
        <f>IF($Y29&lt;&gt;1,"",IFERROR($AE29/INDEX(Comenzi!$AN:$AN,$X29),0))</f>
        <v/>
      </c>
      <c r="J29" s="33" t="str">
        <f>IF($Y29&lt;&gt;1,"",INDEX(Comenzi!$AG:$AG,$X29)*$I29/$E29)</f>
        <v/>
      </c>
      <c r="K29" s="33" t="str">
        <f t="shared" si="1"/>
        <v/>
      </c>
      <c r="L29" s="33" t="str">
        <f>IF($Y29&lt;&gt;1,"",$K29*$AD29+INDEX(Comenzi!$AJ:$AJ,$X29)*$I29/$E29)</f>
        <v/>
      </c>
      <c r="M29" s="33" t="str">
        <f t="shared" si="2"/>
        <v/>
      </c>
      <c r="N29" s="33" t="str">
        <f t="shared" si="3"/>
        <v/>
      </c>
      <c r="O29" s="33" t="str">
        <f>IF($Y29&lt;&gt;1,"",(INDEX(Comenzi!$AK:$AK,$X29)+N(INDEX(Comenzi!$T:$T,$X29)))*$I29/$E29)</f>
        <v/>
      </c>
      <c r="P29" s="35" t="str">
        <f t="shared" si="4"/>
        <v/>
      </c>
      <c r="Q29" s="36" t="str">
        <f t="shared" si="5"/>
        <v/>
      </c>
      <c r="R29" s="37" t="str">
        <f t="shared" si="6"/>
        <v/>
      </c>
      <c r="S29" s="38" t="str">
        <f t="shared" si="7"/>
        <v/>
      </c>
      <c r="T29" s="39" t="str">
        <f t="shared" si="8"/>
        <v/>
      </c>
      <c r="U29" s="40" t="str">
        <f t="shared" si="9"/>
        <v/>
      </c>
      <c r="V29" s="33" t="str">
        <f t="shared" si="10"/>
        <v/>
      </c>
      <c r="W29" s="33" t="str">
        <f t="shared" si="11"/>
        <v/>
      </c>
      <c r="X29" s="41" t="str">
        <f>IF($A29="","",IFERROR(MATCH($A29,Comenzi!$A$9:$A$108,0)+8,""))</f>
        <v/>
      </c>
      <c r="Y29" s="41" t="str">
        <f t="shared" si="12"/>
        <v/>
      </c>
      <c r="Z29" s="42" t="str">
        <f>IF($A29="","",IF($A29="?","Lipseste ID-ul comenzii (col. A din PI Furnizor)",IF(NOT(ISNUMBER($X29)),"ID comanda negasit in foaia Comenzi",IF(N($E29)&lt;=0,"Lipseste cantitatea",IF(N($G29)=0,"Pret unitar lipsa",IF($Y29&lt;&gt;1,"Curs sau moneda marfa lipsa (foaia Comenzi)",IF(INDEX(Comenzi!$AT:$AT,$X29)&lt;&gt;"OK","Avertisment comanda: "&amp;INDEX(Comenzi!$AT:$AT,$X29),"OK")))))))</f>
        <v/>
      </c>
      <c r="AA29" s="43" t="str">
        <f>IF(ISNUMBER($X29),INDEX(Comenzi!$H:$H,$X29),"")</f>
        <v/>
      </c>
      <c r="AB29" s="43" t="str">
        <f>IF(ISNUMBER($X29),INDEX(Comenzi!$I:$I,$X29),"")</f>
        <v/>
      </c>
      <c r="AC29" s="44" t="str">
        <f>IF(ISNUMBER($X29),IF(INDEX(Comenzi!$V:$V,$X29)="",Comenzi!$D$3,INDEX(Comenzi!$V:$V,$X29)),"")</f>
        <v/>
      </c>
      <c r="AD29" s="44" t="str">
        <f>IF(ISNUMBER($X29),IF(INDEX(Comenzi!$U:$U,$X29)="",Comenzi!$D$4,INDEX(Comenzi!$U:$U,$X29)),"")</f>
        <v/>
      </c>
      <c r="AE29" s="45" t="str">
        <f>IF($Y29&lt;&gt;1,"",IF(INDEX(Comenzi!$AM:$AM,$X29)="Greutate",INDEX('PI Furnizor'!$O:$O,ROW()-3),IF(INDEX(Comenzi!$AM:$AM,$X29)="Volum (CBM)",INDEX('PI Furnizor'!$Q:$Q,ROW()-3),IF(INDEX(Comenzi!$AM:$AM,$X29)="Valoare marfa",INDEX('PI Furnizor'!$N:$N,ROW()-3),$E29))))</f>
        <v/>
      </c>
    </row>
    <row r="30" spans="1:31" x14ac:dyDescent="0.3">
      <c r="A30" s="28" t="str">
        <f>IF(COUNTA(INDEX('PI Furnizor'!$A:$E,ROW()-3,0))=0,"",IF(INDEX('PI Furnizor'!$A:$A,ROW()-3)="","?",INDEX('PI Furnizor'!$A:$A,ROW()-3)))</f>
        <v/>
      </c>
      <c r="B30" s="29" t="str">
        <f>IF(ISNUMBER($X30),INDEX(Comenzi!$B:$B,$X30),"")</f>
        <v/>
      </c>
      <c r="C30" s="28" t="str">
        <f>IF($A30="","",INDEX('PI Furnizor'!$B:$B,ROW()-3)&amp;"")</f>
        <v/>
      </c>
      <c r="D30" s="28" t="str">
        <f>IF($A30="","",INDEX('PI Furnizor'!$C:$C,ROW()-3)&amp;"")</f>
        <v/>
      </c>
      <c r="E30" s="30" t="str">
        <f>IF($A30="","",N(INDEX('PI Furnizor'!$D:$D,ROW()-3)))</f>
        <v/>
      </c>
      <c r="F30" s="31" t="str">
        <f>IF(ISNUMBER($X30),INDEX(Comenzi!$G:$G,$X30),"")</f>
        <v/>
      </c>
      <c r="G30" s="32" t="str">
        <f>IF($A30="","",N(INDEX('PI Furnizor'!$E:$E,ROW()-3)))</f>
        <v/>
      </c>
      <c r="H30" s="33" t="str">
        <f t="shared" si="0"/>
        <v/>
      </c>
      <c r="I30" s="34" t="str">
        <f>IF($Y30&lt;&gt;1,"",IFERROR($AE30/INDEX(Comenzi!$AN:$AN,$X30),0))</f>
        <v/>
      </c>
      <c r="J30" s="33" t="str">
        <f>IF($Y30&lt;&gt;1,"",INDEX(Comenzi!$AG:$AG,$X30)*$I30/$E30)</f>
        <v/>
      </c>
      <c r="K30" s="33" t="str">
        <f t="shared" si="1"/>
        <v/>
      </c>
      <c r="L30" s="33" t="str">
        <f>IF($Y30&lt;&gt;1,"",$K30*$AD30+INDEX(Comenzi!$AJ:$AJ,$X30)*$I30/$E30)</f>
        <v/>
      </c>
      <c r="M30" s="33" t="str">
        <f t="shared" si="2"/>
        <v/>
      </c>
      <c r="N30" s="33" t="str">
        <f t="shared" si="3"/>
        <v/>
      </c>
      <c r="O30" s="33" t="str">
        <f>IF($Y30&lt;&gt;1,"",(INDEX(Comenzi!$AK:$AK,$X30)+N(INDEX(Comenzi!$T:$T,$X30)))*$I30/$E30)</f>
        <v/>
      </c>
      <c r="P30" s="35" t="str">
        <f t="shared" si="4"/>
        <v/>
      </c>
      <c r="Q30" s="36" t="str">
        <f t="shared" si="5"/>
        <v/>
      </c>
      <c r="R30" s="37" t="str">
        <f t="shared" si="6"/>
        <v/>
      </c>
      <c r="S30" s="38" t="str">
        <f t="shared" si="7"/>
        <v/>
      </c>
      <c r="T30" s="39" t="str">
        <f t="shared" si="8"/>
        <v/>
      </c>
      <c r="U30" s="40" t="str">
        <f t="shared" si="9"/>
        <v/>
      </c>
      <c r="V30" s="33" t="str">
        <f t="shared" si="10"/>
        <v/>
      </c>
      <c r="W30" s="33" t="str">
        <f t="shared" si="11"/>
        <v/>
      </c>
      <c r="X30" s="41" t="str">
        <f>IF($A30="","",IFERROR(MATCH($A30,Comenzi!$A$9:$A$108,0)+8,""))</f>
        <v/>
      </c>
      <c r="Y30" s="41" t="str">
        <f t="shared" si="12"/>
        <v/>
      </c>
      <c r="Z30" s="42" t="str">
        <f>IF($A30="","",IF($A30="?","Lipseste ID-ul comenzii (col. A din PI Furnizor)",IF(NOT(ISNUMBER($X30)),"ID comanda negasit in foaia Comenzi",IF(N($E30)&lt;=0,"Lipseste cantitatea",IF(N($G30)=0,"Pret unitar lipsa",IF($Y30&lt;&gt;1,"Curs sau moneda marfa lipsa (foaia Comenzi)",IF(INDEX(Comenzi!$AT:$AT,$X30)&lt;&gt;"OK","Avertisment comanda: "&amp;INDEX(Comenzi!$AT:$AT,$X30),"OK")))))))</f>
        <v/>
      </c>
      <c r="AA30" s="43" t="str">
        <f>IF(ISNUMBER($X30),INDEX(Comenzi!$H:$H,$X30),"")</f>
        <v/>
      </c>
      <c r="AB30" s="43" t="str">
        <f>IF(ISNUMBER($X30),INDEX(Comenzi!$I:$I,$X30),"")</f>
        <v/>
      </c>
      <c r="AC30" s="44" t="str">
        <f>IF(ISNUMBER($X30),IF(INDEX(Comenzi!$V:$V,$X30)="",Comenzi!$D$3,INDEX(Comenzi!$V:$V,$X30)),"")</f>
        <v/>
      </c>
      <c r="AD30" s="44" t="str">
        <f>IF(ISNUMBER($X30),IF(INDEX(Comenzi!$U:$U,$X30)="",Comenzi!$D$4,INDEX(Comenzi!$U:$U,$X30)),"")</f>
        <v/>
      </c>
      <c r="AE30" s="45" t="str">
        <f>IF($Y30&lt;&gt;1,"",IF(INDEX(Comenzi!$AM:$AM,$X30)="Greutate",INDEX('PI Furnizor'!$O:$O,ROW()-3),IF(INDEX(Comenzi!$AM:$AM,$X30)="Volum (CBM)",INDEX('PI Furnizor'!$Q:$Q,ROW()-3),IF(INDEX(Comenzi!$AM:$AM,$X30)="Valoare marfa",INDEX('PI Furnizor'!$N:$N,ROW()-3),$E30))))</f>
        <v/>
      </c>
    </row>
    <row r="31" spans="1:31" x14ac:dyDescent="0.3">
      <c r="A31" s="28" t="str">
        <f>IF(COUNTA(INDEX('PI Furnizor'!$A:$E,ROW()-3,0))=0,"",IF(INDEX('PI Furnizor'!$A:$A,ROW()-3)="","?",INDEX('PI Furnizor'!$A:$A,ROW()-3)))</f>
        <v/>
      </c>
      <c r="B31" s="29" t="str">
        <f>IF(ISNUMBER($X31),INDEX(Comenzi!$B:$B,$X31),"")</f>
        <v/>
      </c>
      <c r="C31" s="28" t="str">
        <f>IF($A31="","",INDEX('PI Furnizor'!$B:$B,ROW()-3)&amp;"")</f>
        <v/>
      </c>
      <c r="D31" s="28" t="str">
        <f>IF($A31="","",INDEX('PI Furnizor'!$C:$C,ROW()-3)&amp;"")</f>
        <v/>
      </c>
      <c r="E31" s="30" t="str">
        <f>IF($A31="","",N(INDEX('PI Furnizor'!$D:$D,ROW()-3)))</f>
        <v/>
      </c>
      <c r="F31" s="31" t="str">
        <f>IF(ISNUMBER($X31),INDEX(Comenzi!$G:$G,$X31),"")</f>
        <v/>
      </c>
      <c r="G31" s="32" t="str">
        <f>IF($A31="","",N(INDEX('PI Furnizor'!$E:$E,ROW()-3)))</f>
        <v/>
      </c>
      <c r="H31" s="33" t="str">
        <f t="shared" si="0"/>
        <v/>
      </c>
      <c r="I31" s="34" t="str">
        <f>IF($Y31&lt;&gt;1,"",IFERROR($AE31/INDEX(Comenzi!$AN:$AN,$X31),0))</f>
        <v/>
      </c>
      <c r="J31" s="33" t="str">
        <f>IF($Y31&lt;&gt;1,"",INDEX(Comenzi!$AG:$AG,$X31)*$I31/$E31)</f>
        <v/>
      </c>
      <c r="K31" s="33" t="str">
        <f t="shared" si="1"/>
        <v/>
      </c>
      <c r="L31" s="33" t="str">
        <f>IF($Y31&lt;&gt;1,"",$K31*$AD31+INDEX(Comenzi!$AJ:$AJ,$X31)*$I31/$E31)</f>
        <v/>
      </c>
      <c r="M31" s="33" t="str">
        <f t="shared" si="2"/>
        <v/>
      </c>
      <c r="N31" s="33" t="str">
        <f t="shared" si="3"/>
        <v/>
      </c>
      <c r="O31" s="33" t="str">
        <f>IF($Y31&lt;&gt;1,"",(INDEX(Comenzi!$AK:$AK,$X31)+N(INDEX(Comenzi!$T:$T,$X31)))*$I31/$E31)</f>
        <v/>
      </c>
      <c r="P31" s="35" t="str">
        <f t="shared" si="4"/>
        <v/>
      </c>
      <c r="Q31" s="36" t="str">
        <f t="shared" si="5"/>
        <v/>
      </c>
      <c r="R31" s="37" t="str">
        <f t="shared" si="6"/>
        <v/>
      </c>
      <c r="S31" s="38" t="str">
        <f t="shared" si="7"/>
        <v/>
      </c>
      <c r="T31" s="39" t="str">
        <f t="shared" si="8"/>
        <v/>
      </c>
      <c r="U31" s="40" t="str">
        <f t="shared" si="9"/>
        <v/>
      </c>
      <c r="V31" s="33" t="str">
        <f t="shared" si="10"/>
        <v/>
      </c>
      <c r="W31" s="33" t="str">
        <f t="shared" si="11"/>
        <v/>
      </c>
      <c r="X31" s="41" t="str">
        <f>IF($A31="","",IFERROR(MATCH($A31,Comenzi!$A$9:$A$108,0)+8,""))</f>
        <v/>
      </c>
      <c r="Y31" s="41" t="str">
        <f t="shared" si="12"/>
        <v/>
      </c>
      <c r="Z31" s="42" t="str">
        <f>IF($A31="","",IF($A31="?","Lipseste ID-ul comenzii (col. A din PI Furnizor)",IF(NOT(ISNUMBER($X31)),"ID comanda negasit in foaia Comenzi",IF(N($E31)&lt;=0,"Lipseste cantitatea",IF(N($G31)=0,"Pret unitar lipsa",IF($Y31&lt;&gt;1,"Curs sau moneda marfa lipsa (foaia Comenzi)",IF(INDEX(Comenzi!$AT:$AT,$X31)&lt;&gt;"OK","Avertisment comanda: "&amp;INDEX(Comenzi!$AT:$AT,$X31),"OK")))))))</f>
        <v/>
      </c>
      <c r="AA31" s="43" t="str">
        <f>IF(ISNUMBER($X31),INDEX(Comenzi!$H:$H,$X31),"")</f>
        <v/>
      </c>
      <c r="AB31" s="43" t="str">
        <f>IF(ISNUMBER($X31),INDEX(Comenzi!$I:$I,$X31),"")</f>
        <v/>
      </c>
      <c r="AC31" s="44" t="str">
        <f>IF(ISNUMBER($X31),IF(INDEX(Comenzi!$V:$V,$X31)="",Comenzi!$D$3,INDEX(Comenzi!$V:$V,$X31)),"")</f>
        <v/>
      </c>
      <c r="AD31" s="44" t="str">
        <f>IF(ISNUMBER($X31),IF(INDEX(Comenzi!$U:$U,$X31)="",Comenzi!$D$4,INDEX(Comenzi!$U:$U,$X31)),"")</f>
        <v/>
      </c>
      <c r="AE31" s="45" t="str">
        <f>IF($Y31&lt;&gt;1,"",IF(INDEX(Comenzi!$AM:$AM,$X31)="Greutate",INDEX('PI Furnizor'!$O:$O,ROW()-3),IF(INDEX(Comenzi!$AM:$AM,$X31)="Volum (CBM)",INDEX('PI Furnizor'!$Q:$Q,ROW()-3),IF(INDEX(Comenzi!$AM:$AM,$X31)="Valoare marfa",INDEX('PI Furnizor'!$N:$N,ROW()-3),$E31))))</f>
        <v/>
      </c>
    </row>
    <row r="32" spans="1:31" x14ac:dyDescent="0.3">
      <c r="A32" s="28" t="str">
        <f>IF(COUNTA(INDEX('PI Furnizor'!$A:$E,ROW()-3,0))=0,"",IF(INDEX('PI Furnizor'!$A:$A,ROW()-3)="","?",INDEX('PI Furnizor'!$A:$A,ROW()-3)))</f>
        <v/>
      </c>
      <c r="B32" s="29" t="str">
        <f>IF(ISNUMBER($X32),INDEX(Comenzi!$B:$B,$X32),"")</f>
        <v/>
      </c>
      <c r="C32" s="28" t="str">
        <f>IF($A32="","",INDEX('PI Furnizor'!$B:$B,ROW()-3)&amp;"")</f>
        <v/>
      </c>
      <c r="D32" s="28" t="str">
        <f>IF($A32="","",INDEX('PI Furnizor'!$C:$C,ROW()-3)&amp;"")</f>
        <v/>
      </c>
      <c r="E32" s="30" t="str">
        <f>IF($A32="","",N(INDEX('PI Furnizor'!$D:$D,ROW()-3)))</f>
        <v/>
      </c>
      <c r="F32" s="31" t="str">
        <f>IF(ISNUMBER($X32),INDEX(Comenzi!$G:$G,$X32),"")</f>
        <v/>
      </c>
      <c r="G32" s="32" t="str">
        <f>IF($A32="","",N(INDEX('PI Furnizor'!$E:$E,ROW()-3)))</f>
        <v/>
      </c>
      <c r="H32" s="33" t="str">
        <f t="shared" si="0"/>
        <v/>
      </c>
      <c r="I32" s="34" t="str">
        <f>IF($Y32&lt;&gt;1,"",IFERROR($AE32/INDEX(Comenzi!$AN:$AN,$X32),0))</f>
        <v/>
      </c>
      <c r="J32" s="33" t="str">
        <f>IF($Y32&lt;&gt;1,"",INDEX(Comenzi!$AG:$AG,$X32)*$I32/$E32)</f>
        <v/>
      </c>
      <c r="K32" s="33" t="str">
        <f t="shared" si="1"/>
        <v/>
      </c>
      <c r="L32" s="33" t="str">
        <f>IF($Y32&lt;&gt;1,"",$K32*$AD32+INDEX(Comenzi!$AJ:$AJ,$X32)*$I32/$E32)</f>
        <v/>
      </c>
      <c r="M32" s="33" t="str">
        <f t="shared" si="2"/>
        <v/>
      </c>
      <c r="N32" s="33" t="str">
        <f t="shared" si="3"/>
        <v/>
      </c>
      <c r="O32" s="33" t="str">
        <f>IF($Y32&lt;&gt;1,"",(INDEX(Comenzi!$AK:$AK,$X32)+N(INDEX(Comenzi!$T:$T,$X32)))*$I32/$E32)</f>
        <v/>
      </c>
      <c r="P32" s="35" t="str">
        <f t="shared" si="4"/>
        <v/>
      </c>
      <c r="Q32" s="36" t="str">
        <f t="shared" si="5"/>
        <v/>
      </c>
      <c r="R32" s="37" t="str">
        <f t="shared" si="6"/>
        <v/>
      </c>
      <c r="S32" s="38" t="str">
        <f t="shared" si="7"/>
        <v/>
      </c>
      <c r="T32" s="39" t="str">
        <f t="shared" si="8"/>
        <v/>
      </c>
      <c r="U32" s="40" t="str">
        <f t="shared" si="9"/>
        <v/>
      </c>
      <c r="V32" s="33" t="str">
        <f t="shared" si="10"/>
        <v/>
      </c>
      <c r="W32" s="33" t="str">
        <f t="shared" si="11"/>
        <v/>
      </c>
      <c r="X32" s="41" t="str">
        <f>IF($A32="","",IFERROR(MATCH($A32,Comenzi!$A$9:$A$108,0)+8,""))</f>
        <v/>
      </c>
      <c r="Y32" s="41" t="str">
        <f t="shared" si="12"/>
        <v/>
      </c>
      <c r="Z32" s="42" t="str">
        <f>IF($A32="","",IF($A32="?","Lipseste ID-ul comenzii (col. A din PI Furnizor)",IF(NOT(ISNUMBER($X32)),"ID comanda negasit in foaia Comenzi",IF(N($E32)&lt;=0,"Lipseste cantitatea",IF(N($G32)=0,"Pret unitar lipsa",IF($Y32&lt;&gt;1,"Curs sau moneda marfa lipsa (foaia Comenzi)",IF(INDEX(Comenzi!$AT:$AT,$X32)&lt;&gt;"OK","Avertisment comanda: "&amp;INDEX(Comenzi!$AT:$AT,$X32),"OK")))))))</f>
        <v/>
      </c>
      <c r="AA32" s="43" t="str">
        <f>IF(ISNUMBER($X32),INDEX(Comenzi!$H:$H,$X32),"")</f>
        <v/>
      </c>
      <c r="AB32" s="43" t="str">
        <f>IF(ISNUMBER($X32),INDEX(Comenzi!$I:$I,$X32),"")</f>
        <v/>
      </c>
      <c r="AC32" s="44" t="str">
        <f>IF(ISNUMBER($X32),IF(INDEX(Comenzi!$V:$V,$X32)="",Comenzi!$D$3,INDEX(Comenzi!$V:$V,$X32)),"")</f>
        <v/>
      </c>
      <c r="AD32" s="44" t="str">
        <f>IF(ISNUMBER($X32),IF(INDEX(Comenzi!$U:$U,$X32)="",Comenzi!$D$4,INDEX(Comenzi!$U:$U,$X32)),"")</f>
        <v/>
      </c>
      <c r="AE32" s="45" t="str">
        <f>IF($Y32&lt;&gt;1,"",IF(INDEX(Comenzi!$AM:$AM,$X32)="Greutate",INDEX('PI Furnizor'!$O:$O,ROW()-3),IF(INDEX(Comenzi!$AM:$AM,$X32)="Volum (CBM)",INDEX('PI Furnizor'!$Q:$Q,ROW()-3),IF(INDEX(Comenzi!$AM:$AM,$X32)="Valoare marfa",INDEX('PI Furnizor'!$N:$N,ROW()-3),$E32))))</f>
        <v/>
      </c>
    </row>
    <row r="33" spans="1:31" x14ac:dyDescent="0.3">
      <c r="A33" s="28" t="str">
        <f>IF(COUNTA(INDEX('PI Furnizor'!$A:$E,ROW()-3,0))=0,"",IF(INDEX('PI Furnizor'!$A:$A,ROW()-3)="","?",INDEX('PI Furnizor'!$A:$A,ROW()-3)))</f>
        <v/>
      </c>
      <c r="B33" s="29" t="str">
        <f>IF(ISNUMBER($X33),INDEX(Comenzi!$B:$B,$X33),"")</f>
        <v/>
      </c>
      <c r="C33" s="28" t="str">
        <f>IF($A33="","",INDEX('PI Furnizor'!$B:$B,ROW()-3)&amp;"")</f>
        <v/>
      </c>
      <c r="D33" s="28" t="str">
        <f>IF($A33="","",INDEX('PI Furnizor'!$C:$C,ROW()-3)&amp;"")</f>
        <v/>
      </c>
      <c r="E33" s="30" t="str">
        <f>IF($A33="","",N(INDEX('PI Furnizor'!$D:$D,ROW()-3)))</f>
        <v/>
      </c>
      <c r="F33" s="31" t="str">
        <f>IF(ISNUMBER($X33),INDEX(Comenzi!$G:$G,$X33),"")</f>
        <v/>
      </c>
      <c r="G33" s="32" t="str">
        <f>IF($A33="","",N(INDEX('PI Furnizor'!$E:$E,ROW()-3)))</f>
        <v/>
      </c>
      <c r="H33" s="33" t="str">
        <f t="shared" si="0"/>
        <v/>
      </c>
      <c r="I33" s="34" t="str">
        <f>IF($Y33&lt;&gt;1,"",IFERROR($AE33/INDEX(Comenzi!$AN:$AN,$X33),0))</f>
        <v/>
      </c>
      <c r="J33" s="33" t="str">
        <f>IF($Y33&lt;&gt;1,"",INDEX(Comenzi!$AG:$AG,$X33)*$I33/$E33)</f>
        <v/>
      </c>
      <c r="K33" s="33" t="str">
        <f t="shared" si="1"/>
        <v/>
      </c>
      <c r="L33" s="33" t="str">
        <f>IF($Y33&lt;&gt;1,"",$K33*$AD33+INDEX(Comenzi!$AJ:$AJ,$X33)*$I33/$E33)</f>
        <v/>
      </c>
      <c r="M33" s="33" t="str">
        <f t="shared" si="2"/>
        <v/>
      </c>
      <c r="N33" s="33" t="str">
        <f t="shared" si="3"/>
        <v/>
      </c>
      <c r="O33" s="33" t="str">
        <f>IF($Y33&lt;&gt;1,"",(INDEX(Comenzi!$AK:$AK,$X33)+N(INDEX(Comenzi!$T:$T,$X33)))*$I33/$E33)</f>
        <v/>
      </c>
      <c r="P33" s="35" t="str">
        <f t="shared" si="4"/>
        <v/>
      </c>
      <c r="Q33" s="36" t="str">
        <f t="shared" si="5"/>
        <v/>
      </c>
      <c r="R33" s="37" t="str">
        <f t="shared" si="6"/>
        <v/>
      </c>
      <c r="S33" s="38" t="str">
        <f t="shared" si="7"/>
        <v/>
      </c>
      <c r="T33" s="39" t="str">
        <f t="shared" si="8"/>
        <v/>
      </c>
      <c r="U33" s="40" t="str">
        <f t="shared" si="9"/>
        <v/>
      </c>
      <c r="V33" s="33" t="str">
        <f t="shared" si="10"/>
        <v/>
      </c>
      <c r="W33" s="33" t="str">
        <f t="shared" si="11"/>
        <v/>
      </c>
      <c r="X33" s="41" t="str">
        <f>IF($A33="","",IFERROR(MATCH($A33,Comenzi!$A$9:$A$108,0)+8,""))</f>
        <v/>
      </c>
      <c r="Y33" s="41" t="str">
        <f t="shared" si="12"/>
        <v/>
      </c>
      <c r="Z33" s="42" t="str">
        <f>IF($A33="","",IF($A33="?","Lipseste ID-ul comenzii (col. A din PI Furnizor)",IF(NOT(ISNUMBER($X33)),"ID comanda negasit in foaia Comenzi",IF(N($E33)&lt;=0,"Lipseste cantitatea",IF(N($G33)=0,"Pret unitar lipsa",IF($Y33&lt;&gt;1,"Curs sau moneda marfa lipsa (foaia Comenzi)",IF(INDEX(Comenzi!$AT:$AT,$X33)&lt;&gt;"OK","Avertisment comanda: "&amp;INDEX(Comenzi!$AT:$AT,$X33),"OK")))))))</f>
        <v/>
      </c>
      <c r="AA33" s="43" t="str">
        <f>IF(ISNUMBER($X33),INDEX(Comenzi!$H:$H,$X33),"")</f>
        <v/>
      </c>
      <c r="AB33" s="43" t="str">
        <f>IF(ISNUMBER($X33),INDEX(Comenzi!$I:$I,$X33),"")</f>
        <v/>
      </c>
      <c r="AC33" s="44" t="str">
        <f>IF(ISNUMBER($X33),IF(INDEX(Comenzi!$V:$V,$X33)="",Comenzi!$D$3,INDEX(Comenzi!$V:$V,$X33)),"")</f>
        <v/>
      </c>
      <c r="AD33" s="44" t="str">
        <f>IF(ISNUMBER($X33),IF(INDEX(Comenzi!$U:$U,$X33)="",Comenzi!$D$4,INDEX(Comenzi!$U:$U,$X33)),"")</f>
        <v/>
      </c>
      <c r="AE33" s="45" t="str">
        <f>IF($Y33&lt;&gt;1,"",IF(INDEX(Comenzi!$AM:$AM,$X33)="Greutate",INDEX('PI Furnizor'!$O:$O,ROW()-3),IF(INDEX(Comenzi!$AM:$AM,$X33)="Volum (CBM)",INDEX('PI Furnizor'!$Q:$Q,ROW()-3),IF(INDEX(Comenzi!$AM:$AM,$X33)="Valoare marfa",INDEX('PI Furnizor'!$N:$N,ROW()-3),$E33))))</f>
        <v/>
      </c>
    </row>
    <row r="34" spans="1:31" x14ac:dyDescent="0.3">
      <c r="A34" s="28" t="str">
        <f>IF(COUNTA(INDEX('PI Furnizor'!$A:$E,ROW()-3,0))=0,"",IF(INDEX('PI Furnizor'!$A:$A,ROW()-3)="","?",INDEX('PI Furnizor'!$A:$A,ROW()-3)))</f>
        <v/>
      </c>
      <c r="B34" s="29" t="str">
        <f>IF(ISNUMBER($X34),INDEX(Comenzi!$B:$B,$X34),"")</f>
        <v/>
      </c>
      <c r="C34" s="28" t="str">
        <f>IF($A34="","",INDEX('PI Furnizor'!$B:$B,ROW()-3)&amp;"")</f>
        <v/>
      </c>
      <c r="D34" s="28" t="str">
        <f>IF($A34="","",INDEX('PI Furnizor'!$C:$C,ROW()-3)&amp;"")</f>
        <v/>
      </c>
      <c r="E34" s="30" t="str">
        <f>IF($A34="","",N(INDEX('PI Furnizor'!$D:$D,ROW()-3)))</f>
        <v/>
      </c>
      <c r="F34" s="31" t="str">
        <f>IF(ISNUMBER($X34),INDEX(Comenzi!$G:$G,$X34),"")</f>
        <v/>
      </c>
      <c r="G34" s="32" t="str">
        <f>IF($A34="","",N(INDEX('PI Furnizor'!$E:$E,ROW()-3)))</f>
        <v/>
      </c>
      <c r="H34" s="33" t="str">
        <f t="shared" si="0"/>
        <v/>
      </c>
      <c r="I34" s="34" t="str">
        <f>IF($Y34&lt;&gt;1,"",IFERROR($AE34/INDEX(Comenzi!$AN:$AN,$X34),0))</f>
        <v/>
      </c>
      <c r="J34" s="33" t="str">
        <f>IF($Y34&lt;&gt;1,"",INDEX(Comenzi!$AG:$AG,$X34)*$I34/$E34)</f>
        <v/>
      </c>
      <c r="K34" s="33" t="str">
        <f t="shared" si="1"/>
        <v/>
      </c>
      <c r="L34" s="33" t="str">
        <f>IF($Y34&lt;&gt;1,"",$K34*$AD34+INDEX(Comenzi!$AJ:$AJ,$X34)*$I34/$E34)</f>
        <v/>
      </c>
      <c r="M34" s="33" t="str">
        <f t="shared" si="2"/>
        <v/>
      </c>
      <c r="N34" s="33" t="str">
        <f t="shared" si="3"/>
        <v/>
      </c>
      <c r="O34" s="33" t="str">
        <f>IF($Y34&lt;&gt;1,"",(INDEX(Comenzi!$AK:$AK,$X34)+N(INDEX(Comenzi!$T:$T,$X34)))*$I34/$E34)</f>
        <v/>
      </c>
      <c r="P34" s="35" t="str">
        <f t="shared" si="4"/>
        <v/>
      </c>
      <c r="Q34" s="36" t="str">
        <f t="shared" si="5"/>
        <v/>
      </c>
      <c r="R34" s="37" t="str">
        <f t="shared" si="6"/>
        <v/>
      </c>
      <c r="S34" s="38" t="str">
        <f t="shared" si="7"/>
        <v/>
      </c>
      <c r="T34" s="39" t="str">
        <f t="shared" si="8"/>
        <v/>
      </c>
      <c r="U34" s="40" t="str">
        <f t="shared" si="9"/>
        <v/>
      </c>
      <c r="V34" s="33" t="str">
        <f t="shared" si="10"/>
        <v/>
      </c>
      <c r="W34" s="33" t="str">
        <f t="shared" si="11"/>
        <v/>
      </c>
      <c r="X34" s="41" t="str">
        <f>IF($A34="","",IFERROR(MATCH($A34,Comenzi!$A$9:$A$108,0)+8,""))</f>
        <v/>
      </c>
      <c r="Y34" s="41" t="str">
        <f t="shared" si="12"/>
        <v/>
      </c>
      <c r="Z34" s="42" t="str">
        <f>IF($A34="","",IF($A34="?","Lipseste ID-ul comenzii (col. A din PI Furnizor)",IF(NOT(ISNUMBER($X34)),"ID comanda negasit in foaia Comenzi",IF(N($E34)&lt;=0,"Lipseste cantitatea",IF(N($G34)=0,"Pret unitar lipsa",IF($Y34&lt;&gt;1,"Curs sau moneda marfa lipsa (foaia Comenzi)",IF(INDEX(Comenzi!$AT:$AT,$X34)&lt;&gt;"OK","Avertisment comanda: "&amp;INDEX(Comenzi!$AT:$AT,$X34),"OK")))))))</f>
        <v/>
      </c>
      <c r="AA34" s="43" t="str">
        <f>IF(ISNUMBER($X34),INDEX(Comenzi!$H:$H,$X34),"")</f>
        <v/>
      </c>
      <c r="AB34" s="43" t="str">
        <f>IF(ISNUMBER($X34),INDEX(Comenzi!$I:$I,$X34),"")</f>
        <v/>
      </c>
      <c r="AC34" s="44" t="str">
        <f>IF(ISNUMBER($X34),IF(INDEX(Comenzi!$V:$V,$X34)="",Comenzi!$D$3,INDEX(Comenzi!$V:$V,$X34)),"")</f>
        <v/>
      </c>
      <c r="AD34" s="44" t="str">
        <f>IF(ISNUMBER($X34),IF(INDEX(Comenzi!$U:$U,$X34)="",Comenzi!$D$4,INDEX(Comenzi!$U:$U,$X34)),"")</f>
        <v/>
      </c>
      <c r="AE34" s="45" t="str">
        <f>IF($Y34&lt;&gt;1,"",IF(INDEX(Comenzi!$AM:$AM,$X34)="Greutate",INDEX('PI Furnizor'!$O:$O,ROW()-3),IF(INDEX(Comenzi!$AM:$AM,$X34)="Volum (CBM)",INDEX('PI Furnizor'!$Q:$Q,ROW()-3),IF(INDEX(Comenzi!$AM:$AM,$X34)="Valoare marfa",INDEX('PI Furnizor'!$N:$N,ROW()-3),$E34))))</f>
        <v/>
      </c>
    </row>
    <row r="35" spans="1:31" x14ac:dyDescent="0.3">
      <c r="A35" s="28" t="str">
        <f>IF(COUNTA(INDEX('PI Furnizor'!$A:$E,ROW()-3,0))=0,"",IF(INDEX('PI Furnizor'!$A:$A,ROW()-3)="","?",INDEX('PI Furnizor'!$A:$A,ROW()-3)))</f>
        <v/>
      </c>
      <c r="B35" s="29" t="str">
        <f>IF(ISNUMBER($X35),INDEX(Comenzi!$B:$B,$X35),"")</f>
        <v/>
      </c>
      <c r="C35" s="28" t="str">
        <f>IF($A35="","",INDEX('PI Furnizor'!$B:$B,ROW()-3)&amp;"")</f>
        <v/>
      </c>
      <c r="D35" s="28" t="str">
        <f>IF($A35="","",INDEX('PI Furnizor'!$C:$C,ROW()-3)&amp;"")</f>
        <v/>
      </c>
      <c r="E35" s="30" t="str">
        <f>IF($A35="","",N(INDEX('PI Furnizor'!$D:$D,ROW()-3)))</f>
        <v/>
      </c>
      <c r="F35" s="31" t="str">
        <f>IF(ISNUMBER($X35),INDEX(Comenzi!$G:$G,$X35),"")</f>
        <v/>
      </c>
      <c r="G35" s="32" t="str">
        <f>IF($A35="","",N(INDEX('PI Furnizor'!$E:$E,ROW()-3)))</f>
        <v/>
      </c>
      <c r="H35" s="33" t="str">
        <f t="shared" si="0"/>
        <v/>
      </c>
      <c r="I35" s="34" t="str">
        <f>IF($Y35&lt;&gt;1,"",IFERROR($AE35/INDEX(Comenzi!$AN:$AN,$X35),0))</f>
        <v/>
      </c>
      <c r="J35" s="33" t="str">
        <f>IF($Y35&lt;&gt;1,"",INDEX(Comenzi!$AG:$AG,$X35)*$I35/$E35)</f>
        <v/>
      </c>
      <c r="K35" s="33" t="str">
        <f t="shared" si="1"/>
        <v/>
      </c>
      <c r="L35" s="33" t="str">
        <f>IF($Y35&lt;&gt;1,"",$K35*$AD35+INDEX(Comenzi!$AJ:$AJ,$X35)*$I35/$E35)</f>
        <v/>
      </c>
      <c r="M35" s="33" t="str">
        <f t="shared" si="2"/>
        <v/>
      </c>
      <c r="N35" s="33" t="str">
        <f t="shared" si="3"/>
        <v/>
      </c>
      <c r="O35" s="33" t="str">
        <f>IF($Y35&lt;&gt;1,"",(INDEX(Comenzi!$AK:$AK,$X35)+N(INDEX(Comenzi!$T:$T,$X35)))*$I35/$E35)</f>
        <v/>
      </c>
      <c r="P35" s="35" t="str">
        <f t="shared" si="4"/>
        <v/>
      </c>
      <c r="Q35" s="36" t="str">
        <f t="shared" si="5"/>
        <v/>
      </c>
      <c r="R35" s="37" t="str">
        <f t="shared" si="6"/>
        <v/>
      </c>
      <c r="S35" s="38" t="str">
        <f t="shared" si="7"/>
        <v/>
      </c>
      <c r="T35" s="39" t="str">
        <f t="shared" si="8"/>
        <v/>
      </c>
      <c r="U35" s="40" t="str">
        <f t="shared" si="9"/>
        <v/>
      </c>
      <c r="V35" s="33" t="str">
        <f t="shared" si="10"/>
        <v/>
      </c>
      <c r="W35" s="33" t="str">
        <f t="shared" si="11"/>
        <v/>
      </c>
      <c r="X35" s="41" t="str">
        <f>IF($A35="","",IFERROR(MATCH($A35,Comenzi!$A$9:$A$108,0)+8,""))</f>
        <v/>
      </c>
      <c r="Y35" s="41" t="str">
        <f t="shared" si="12"/>
        <v/>
      </c>
      <c r="Z35" s="42" t="str">
        <f>IF($A35="","",IF($A35="?","Lipseste ID-ul comenzii (col. A din PI Furnizor)",IF(NOT(ISNUMBER($X35)),"ID comanda negasit in foaia Comenzi",IF(N($E35)&lt;=0,"Lipseste cantitatea",IF(N($G35)=0,"Pret unitar lipsa",IF($Y35&lt;&gt;1,"Curs sau moneda marfa lipsa (foaia Comenzi)",IF(INDEX(Comenzi!$AT:$AT,$X35)&lt;&gt;"OK","Avertisment comanda: "&amp;INDEX(Comenzi!$AT:$AT,$X35),"OK")))))))</f>
        <v/>
      </c>
      <c r="AA35" s="43" t="str">
        <f>IF(ISNUMBER($X35),INDEX(Comenzi!$H:$H,$X35),"")</f>
        <v/>
      </c>
      <c r="AB35" s="43" t="str">
        <f>IF(ISNUMBER($X35),INDEX(Comenzi!$I:$I,$X35),"")</f>
        <v/>
      </c>
      <c r="AC35" s="44" t="str">
        <f>IF(ISNUMBER($X35),IF(INDEX(Comenzi!$V:$V,$X35)="",Comenzi!$D$3,INDEX(Comenzi!$V:$V,$X35)),"")</f>
        <v/>
      </c>
      <c r="AD35" s="44" t="str">
        <f>IF(ISNUMBER($X35),IF(INDEX(Comenzi!$U:$U,$X35)="",Comenzi!$D$4,INDEX(Comenzi!$U:$U,$X35)),"")</f>
        <v/>
      </c>
      <c r="AE35" s="45" t="str">
        <f>IF($Y35&lt;&gt;1,"",IF(INDEX(Comenzi!$AM:$AM,$X35)="Greutate",INDEX('PI Furnizor'!$O:$O,ROW()-3),IF(INDEX(Comenzi!$AM:$AM,$X35)="Volum (CBM)",INDEX('PI Furnizor'!$Q:$Q,ROW()-3),IF(INDEX(Comenzi!$AM:$AM,$X35)="Valoare marfa",INDEX('PI Furnizor'!$N:$N,ROW()-3),$E35))))</f>
        <v/>
      </c>
    </row>
    <row r="36" spans="1:31" x14ac:dyDescent="0.3">
      <c r="A36" s="28" t="str">
        <f>IF(COUNTA(INDEX('PI Furnizor'!$A:$E,ROW()-3,0))=0,"",IF(INDEX('PI Furnizor'!$A:$A,ROW()-3)="","?",INDEX('PI Furnizor'!$A:$A,ROW()-3)))</f>
        <v/>
      </c>
      <c r="B36" s="29" t="str">
        <f>IF(ISNUMBER($X36),INDEX(Comenzi!$B:$B,$X36),"")</f>
        <v/>
      </c>
      <c r="C36" s="28" t="str">
        <f>IF($A36="","",INDEX('PI Furnizor'!$B:$B,ROW()-3)&amp;"")</f>
        <v/>
      </c>
      <c r="D36" s="28" t="str">
        <f>IF($A36="","",INDEX('PI Furnizor'!$C:$C,ROW()-3)&amp;"")</f>
        <v/>
      </c>
      <c r="E36" s="30" t="str">
        <f>IF($A36="","",N(INDEX('PI Furnizor'!$D:$D,ROW()-3)))</f>
        <v/>
      </c>
      <c r="F36" s="31" t="str">
        <f>IF(ISNUMBER($X36),INDEX(Comenzi!$G:$G,$X36),"")</f>
        <v/>
      </c>
      <c r="G36" s="32" t="str">
        <f>IF($A36="","",N(INDEX('PI Furnizor'!$E:$E,ROW()-3)))</f>
        <v/>
      </c>
      <c r="H36" s="33" t="str">
        <f t="shared" si="0"/>
        <v/>
      </c>
      <c r="I36" s="34" t="str">
        <f>IF($Y36&lt;&gt;1,"",IFERROR($AE36/INDEX(Comenzi!$AN:$AN,$X36),0))</f>
        <v/>
      </c>
      <c r="J36" s="33" t="str">
        <f>IF($Y36&lt;&gt;1,"",INDEX(Comenzi!$AG:$AG,$X36)*$I36/$E36)</f>
        <v/>
      </c>
      <c r="K36" s="33" t="str">
        <f t="shared" si="1"/>
        <v/>
      </c>
      <c r="L36" s="33" t="str">
        <f>IF($Y36&lt;&gt;1,"",$K36*$AD36+INDEX(Comenzi!$AJ:$AJ,$X36)*$I36/$E36)</f>
        <v/>
      </c>
      <c r="M36" s="33" t="str">
        <f t="shared" si="2"/>
        <v/>
      </c>
      <c r="N36" s="33" t="str">
        <f t="shared" si="3"/>
        <v/>
      </c>
      <c r="O36" s="33" t="str">
        <f>IF($Y36&lt;&gt;1,"",(INDEX(Comenzi!$AK:$AK,$X36)+N(INDEX(Comenzi!$T:$T,$X36)))*$I36/$E36)</f>
        <v/>
      </c>
      <c r="P36" s="35" t="str">
        <f t="shared" si="4"/>
        <v/>
      </c>
      <c r="Q36" s="36" t="str">
        <f t="shared" si="5"/>
        <v/>
      </c>
      <c r="R36" s="37" t="str">
        <f t="shared" si="6"/>
        <v/>
      </c>
      <c r="S36" s="38" t="str">
        <f t="shared" si="7"/>
        <v/>
      </c>
      <c r="T36" s="39" t="str">
        <f t="shared" si="8"/>
        <v/>
      </c>
      <c r="U36" s="40" t="str">
        <f t="shared" si="9"/>
        <v/>
      </c>
      <c r="V36" s="33" t="str">
        <f t="shared" si="10"/>
        <v/>
      </c>
      <c r="W36" s="33" t="str">
        <f t="shared" si="11"/>
        <v/>
      </c>
      <c r="X36" s="41" t="str">
        <f>IF($A36="","",IFERROR(MATCH($A36,Comenzi!$A$9:$A$108,0)+8,""))</f>
        <v/>
      </c>
      <c r="Y36" s="41" t="str">
        <f t="shared" si="12"/>
        <v/>
      </c>
      <c r="Z36" s="42" t="str">
        <f>IF($A36="","",IF($A36="?","Lipseste ID-ul comenzii (col. A din PI Furnizor)",IF(NOT(ISNUMBER($X36)),"ID comanda negasit in foaia Comenzi",IF(N($E36)&lt;=0,"Lipseste cantitatea",IF(N($G36)=0,"Pret unitar lipsa",IF($Y36&lt;&gt;1,"Curs sau moneda marfa lipsa (foaia Comenzi)",IF(INDEX(Comenzi!$AT:$AT,$X36)&lt;&gt;"OK","Avertisment comanda: "&amp;INDEX(Comenzi!$AT:$AT,$X36),"OK")))))))</f>
        <v/>
      </c>
      <c r="AA36" s="43" t="str">
        <f>IF(ISNUMBER($X36),INDEX(Comenzi!$H:$H,$X36),"")</f>
        <v/>
      </c>
      <c r="AB36" s="43" t="str">
        <f>IF(ISNUMBER($X36),INDEX(Comenzi!$I:$I,$X36),"")</f>
        <v/>
      </c>
      <c r="AC36" s="44" t="str">
        <f>IF(ISNUMBER($X36),IF(INDEX(Comenzi!$V:$V,$X36)="",Comenzi!$D$3,INDEX(Comenzi!$V:$V,$X36)),"")</f>
        <v/>
      </c>
      <c r="AD36" s="44" t="str">
        <f>IF(ISNUMBER($X36),IF(INDEX(Comenzi!$U:$U,$X36)="",Comenzi!$D$4,INDEX(Comenzi!$U:$U,$X36)),"")</f>
        <v/>
      </c>
      <c r="AE36" s="45" t="str">
        <f>IF($Y36&lt;&gt;1,"",IF(INDEX(Comenzi!$AM:$AM,$X36)="Greutate",INDEX('PI Furnizor'!$O:$O,ROW()-3),IF(INDEX(Comenzi!$AM:$AM,$X36)="Volum (CBM)",INDEX('PI Furnizor'!$Q:$Q,ROW()-3),IF(INDEX(Comenzi!$AM:$AM,$X36)="Valoare marfa",INDEX('PI Furnizor'!$N:$N,ROW()-3),$E36))))</f>
        <v/>
      </c>
    </row>
    <row r="37" spans="1:31" x14ac:dyDescent="0.3">
      <c r="A37" s="28" t="str">
        <f>IF(COUNTA(INDEX('PI Furnizor'!$A:$E,ROW()-3,0))=0,"",IF(INDEX('PI Furnizor'!$A:$A,ROW()-3)="","?",INDEX('PI Furnizor'!$A:$A,ROW()-3)))</f>
        <v/>
      </c>
      <c r="B37" s="29" t="str">
        <f>IF(ISNUMBER($X37),INDEX(Comenzi!$B:$B,$X37),"")</f>
        <v/>
      </c>
      <c r="C37" s="28" t="str">
        <f>IF($A37="","",INDEX('PI Furnizor'!$B:$B,ROW()-3)&amp;"")</f>
        <v/>
      </c>
      <c r="D37" s="28" t="str">
        <f>IF($A37="","",INDEX('PI Furnizor'!$C:$C,ROW()-3)&amp;"")</f>
        <v/>
      </c>
      <c r="E37" s="30" t="str">
        <f>IF($A37="","",N(INDEX('PI Furnizor'!$D:$D,ROW()-3)))</f>
        <v/>
      </c>
      <c r="F37" s="31" t="str">
        <f>IF(ISNUMBER($X37),INDEX(Comenzi!$G:$G,$X37),"")</f>
        <v/>
      </c>
      <c r="G37" s="32" t="str">
        <f>IF($A37="","",N(INDEX('PI Furnizor'!$E:$E,ROW()-3)))</f>
        <v/>
      </c>
      <c r="H37" s="33" t="str">
        <f t="shared" si="0"/>
        <v/>
      </c>
      <c r="I37" s="34" t="str">
        <f>IF($Y37&lt;&gt;1,"",IFERROR($AE37/INDEX(Comenzi!$AN:$AN,$X37),0))</f>
        <v/>
      </c>
      <c r="J37" s="33" t="str">
        <f>IF($Y37&lt;&gt;1,"",INDEX(Comenzi!$AG:$AG,$X37)*$I37/$E37)</f>
        <v/>
      </c>
      <c r="K37" s="33" t="str">
        <f t="shared" si="1"/>
        <v/>
      </c>
      <c r="L37" s="33" t="str">
        <f>IF($Y37&lt;&gt;1,"",$K37*$AD37+INDEX(Comenzi!$AJ:$AJ,$X37)*$I37/$E37)</f>
        <v/>
      </c>
      <c r="M37" s="33" t="str">
        <f t="shared" si="2"/>
        <v/>
      </c>
      <c r="N37" s="33" t="str">
        <f t="shared" si="3"/>
        <v/>
      </c>
      <c r="O37" s="33" t="str">
        <f>IF($Y37&lt;&gt;1,"",(INDEX(Comenzi!$AK:$AK,$X37)+N(INDEX(Comenzi!$T:$T,$X37)))*$I37/$E37)</f>
        <v/>
      </c>
      <c r="P37" s="35" t="str">
        <f t="shared" si="4"/>
        <v/>
      </c>
      <c r="Q37" s="36" t="str">
        <f t="shared" si="5"/>
        <v/>
      </c>
      <c r="R37" s="37" t="str">
        <f t="shared" si="6"/>
        <v/>
      </c>
      <c r="S37" s="38" t="str">
        <f t="shared" si="7"/>
        <v/>
      </c>
      <c r="T37" s="39" t="str">
        <f t="shared" si="8"/>
        <v/>
      </c>
      <c r="U37" s="40" t="str">
        <f t="shared" si="9"/>
        <v/>
      </c>
      <c r="V37" s="33" t="str">
        <f t="shared" si="10"/>
        <v/>
      </c>
      <c r="W37" s="33" t="str">
        <f t="shared" si="11"/>
        <v/>
      </c>
      <c r="X37" s="41" t="str">
        <f>IF($A37="","",IFERROR(MATCH($A37,Comenzi!$A$9:$A$108,0)+8,""))</f>
        <v/>
      </c>
      <c r="Y37" s="41" t="str">
        <f t="shared" si="12"/>
        <v/>
      </c>
      <c r="Z37" s="42" t="str">
        <f>IF($A37="","",IF($A37="?","Lipseste ID-ul comenzii (col. A din PI Furnizor)",IF(NOT(ISNUMBER($X37)),"ID comanda negasit in foaia Comenzi",IF(N($E37)&lt;=0,"Lipseste cantitatea",IF(N($G37)=0,"Pret unitar lipsa",IF($Y37&lt;&gt;1,"Curs sau moneda marfa lipsa (foaia Comenzi)",IF(INDEX(Comenzi!$AT:$AT,$X37)&lt;&gt;"OK","Avertisment comanda: "&amp;INDEX(Comenzi!$AT:$AT,$X37),"OK")))))))</f>
        <v/>
      </c>
      <c r="AA37" s="43" t="str">
        <f>IF(ISNUMBER($X37),INDEX(Comenzi!$H:$H,$X37),"")</f>
        <v/>
      </c>
      <c r="AB37" s="43" t="str">
        <f>IF(ISNUMBER($X37),INDEX(Comenzi!$I:$I,$X37),"")</f>
        <v/>
      </c>
      <c r="AC37" s="44" t="str">
        <f>IF(ISNUMBER($X37),IF(INDEX(Comenzi!$V:$V,$X37)="",Comenzi!$D$3,INDEX(Comenzi!$V:$V,$X37)),"")</f>
        <v/>
      </c>
      <c r="AD37" s="44" t="str">
        <f>IF(ISNUMBER($X37),IF(INDEX(Comenzi!$U:$U,$X37)="",Comenzi!$D$4,INDEX(Comenzi!$U:$U,$X37)),"")</f>
        <v/>
      </c>
      <c r="AE37" s="45" t="str">
        <f>IF($Y37&lt;&gt;1,"",IF(INDEX(Comenzi!$AM:$AM,$X37)="Greutate",INDEX('PI Furnizor'!$O:$O,ROW()-3),IF(INDEX(Comenzi!$AM:$AM,$X37)="Volum (CBM)",INDEX('PI Furnizor'!$Q:$Q,ROW()-3),IF(INDEX(Comenzi!$AM:$AM,$X37)="Valoare marfa",INDEX('PI Furnizor'!$N:$N,ROW()-3),$E37))))</f>
        <v/>
      </c>
    </row>
    <row r="38" spans="1:31" x14ac:dyDescent="0.3">
      <c r="A38" s="28" t="str">
        <f>IF(COUNTA(INDEX('PI Furnizor'!$A:$E,ROW()-3,0))=0,"",IF(INDEX('PI Furnizor'!$A:$A,ROW()-3)="","?",INDEX('PI Furnizor'!$A:$A,ROW()-3)))</f>
        <v/>
      </c>
      <c r="B38" s="29" t="str">
        <f>IF(ISNUMBER($X38),INDEX(Comenzi!$B:$B,$X38),"")</f>
        <v/>
      </c>
      <c r="C38" s="28" t="str">
        <f>IF($A38="","",INDEX('PI Furnizor'!$B:$B,ROW()-3)&amp;"")</f>
        <v/>
      </c>
      <c r="D38" s="28" t="str">
        <f>IF($A38="","",INDEX('PI Furnizor'!$C:$C,ROW()-3)&amp;"")</f>
        <v/>
      </c>
      <c r="E38" s="30" t="str">
        <f>IF($A38="","",N(INDEX('PI Furnizor'!$D:$D,ROW()-3)))</f>
        <v/>
      </c>
      <c r="F38" s="31" t="str">
        <f>IF(ISNUMBER($X38),INDEX(Comenzi!$G:$G,$X38),"")</f>
        <v/>
      </c>
      <c r="G38" s="32" t="str">
        <f>IF($A38="","",N(INDEX('PI Furnizor'!$E:$E,ROW()-3)))</f>
        <v/>
      </c>
      <c r="H38" s="33" t="str">
        <f t="shared" si="0"/>
        <v/>
      </c>
      <c r="I38" s="34" t="str">
        <f>IF($Y38&lt;&gt;1,"",IFERROR($AE38/INDEX(Comenzi!$AN:$AN,$X38),0))</f>
        <v/>
      </c>
      <c r="J38" s="33" t="str">
        <f>IF($Y38&lt;&gt;1,"",INDEX(Comenzi!$AG:$AG,$X38)*$I38/$E38)</f>
        <v/>
      </c>
      <c r="K38" s="33" t="str">
        <f t="shared" si="1"/>
        <v/>
      </c>
      <c r="L38" s="33" t="str">
        <f>IF($Y38&lt;&gt;1,"",$K38*$AD38+INDEX(Comenzi!$AJ:$AJ,$X38)*$I38/$E38)</f>
        <v/>
      </c>
      <c r="M38" s="33" t="str">
        <f t="shared" si="2"/>
        <v/>
      </c>
      <c r="N38" s="33" t="str">
        <f t="shared" si="3"/>
        <v/>
      </c>
      <c r="O38" s="33" t="str">
        <f>IF($Y38&lt;&gt;1,"",(INDEX(Comenzi!$AK:$AK,$X38)+N(INDEX(Comenzi!$T:$T,$X38)))*$I38/$E38)</f>
        <v/>
      </c>
      <c r="P38" s="35" t="str">
        <f t="shared" si="4"/>
        <v/>
      </c>
      <c r="Q38" s="36" t="str">
        <f t="shared" si="5"/>
        <v/>
      </c>
      <c r="R38" s="37" t="str">
        <f t="shared" si="6"/>
        <v/>
      </c>
      <c r="S38" s="38" t="str">
        <f t="shared" si="7"/>
        <v/>
      </c>
      <c r="T38" s="39" t="str">
        <f t="shared" si="8"/>
        <v/>
      </c>
      <c r="U38" s="40" t="str">
        <f t="shared" si="9"/>
        <v/>
      </c>
      <c r="V38" s="33" t="str">
        <f t="shared" si="10"/>
        <v/>
      </c>
      <c r="W38" s="33" t="str">
        <f t="shared" si="11"/>
        <v/>
      </c>
      <c r="X38" s="41" t="str">
        <f>IF($A38="","",IFERROR(MATCH($A38,Comenzi!$A$9:$A$108,0)+8,""))</f>
        <v/>
      </c>
      <c r="Y38" s="41" t="str">
        <f t="shared" si="12"/>
        <v/>
      </c>
      <c r="Z38" s="42" t="str">
        <f>IF($A38="","",IF($A38="?","Lipseste ID-ul comenzii (col. A din PI Furnizor)",IF(NOT(ISNUMBER($X38)),"ID comanda negasit in foaia Comenzi",IF(N($E38)&lt;=0,"Lipseste cantitatea",IF(N($G38)=0,"Pret unitar lipsa",IF($Y38&lt;&gt;1,"Curs sau moneda marfa lipsa (foaia Comenzi)",IF(INDEX(Comenzi!$AT:$AT,$X38)&lt;&gt;"OK","Avertisment comanda: "&amp;INDEX(Comenzi!$AT:$AT,$X38),"OK")))))))</f>
        <v/>
      </c>
      <c r="AA38" s="43" t="str">
        <f>IF(ISNUMBER($X38),INDEX(Comenzi!$H:$H,$X38),"")</f>
        <v/>
      </c>
      <c r="AB38" s="43" t="str">
        <f>IF(ISNUMBER($X38),INDEX(Comenzi!$I:$I,$X38),"")</f>
        <v/>
      </c>
      <c r="AC38" s="44" t="str">
        <f>IF(ISNUMBER($X38),IF(INDEX(Comenzi!$V:$V,$X38)="",Comenzi!$D$3,INDEX(Comenzi!$V:$V,$X38)),"")</f>
        <v/>
      </c>
      <c r="AD38" s="44" t="str">
        <f>IF(ISNUMBER($X38),IF(INDEX(Comenzi!$U:$U,$X38)="",Comenzi!$D$4,INDEX(Comenzi!$U:$U,$X38)),"")</f>
        <v/>
      </c>
      <c r="AE38" s="45" t="str">
        <f>IF($Y38&lt;&gt;1,"",IF(INDEX(Comenzi!$AM:$AM,$X38)="Greutate",INDEX('PI Furnizor'!$O:$O,ROW()-3),IF(INDEX(Comenzi!$AM:$AM,$X38)="Volum (CBM)",INDEX('PI Furnizor'!$Q:$Q,ROW()-3),IF(INDEX(Comenzi!$AM:$AM,$X38)="Valoare marfa",INDEX('PI Furnizor'!$N:$N,ROW()-3),$E38))))</f>
        <v/>
      </c>
    </row>
    <row r="39" spans="1:31" x14ac:dyDescent="0.3">
      <c r="A39" s="28" t="str">
        <f>IF(COUNTA(INDEX('PI Furnizor'!$A:$E,ROW()-3,0))=0,"",IF(INDEX('PI Furnizor'!$A:$A,ROW()-3)="","?",INDEX('PI Furnizor'!$A:$A,ROW()-3)))</f>
        <v/>
      </c>
      <c r="B39" s="29" t="str">
        <f>IF(ISNUMBER($X39),INDEX(Comenzi!$B:$B,$X39),"")</f>
        <v/>
      </c>
      <c r="C39" s="28" t="str">
        <f>IF($A39="","",INDEX('PI Furnizor'!$B:$B,ROW()-3)&amp;"")</f>
        <v/>
      </c>
      <c r="D39" s="28" t="str">
        <f>IF($A39="","",INDEX('PI Furnizor'!$C:$C,ROW()-3)&amp;"")</f>
        <v/>
      </c>
      <c r="E39" s="30" t="str">
        <f>IF($A39="","",N(INDEX('PI Furnizor'!$D:$D,ROW()-3)))</f>
        <v/>
      </c>
      <c r="F39" s="31" t="str">
        <f>IF(ISNUMBER($X39),INDEX(Comenzi!$G:$G,$X39),"")</f>
        <v/>
      </c>
      <c r="G39" s="32" t="str">
        <f>IF($A39="","",N(INDEX('PI Furnizor'!$E:$E,ROW()-3)))</f>
        <v/>
      </c>
      <c r="H39" s="33" t="str">
        <f t="shared" si="0"/>
        <v/>
      </c>
      <c r="I39" s="34" t="str">
        <f>IF($Y39&lt;&gt;1,"",IFERROR($AE39/INDEX(Comenzi!$AN:$AN,$X39),0))</f>
        <v/>
      </c>
      <c r="J39" s="33" t="str">
        <f>IF($Y39&lt;&gt;1,"",INDEX(Comenzi!$AG:$AG,$X39)*$I39/$E39)</f>
        <v/>
      </c>
      <c r="K39" s="33" t="str">
        <f t="shared" si="1"/>
        <v/>
      </c>
      <c r="L39" s="33" t="str">
        <f>IF($Y39&lt;&gt;1,"",$K39*$AD39+INDEX(Comenzi!$AJ:$AJ,$X39)*$I39/$E39)</f>
        <v/>
      </c>
      <c r="M39" s="33" t="str">
        <f t="shared" si="2"/>
        <v/>
      </c>
      <c r="N39" s="33" t="str">
        <f t="shared" si="3"/>
        <v/>
      </c>
      <c r="O39" s="33" t="str">
        <f>IF($Y39&lt;&gt;1,"",(INDEX(Comenzi!$AK:$AK,$X39)+N(INDEX(Comenzi!$T:$T,$X39)))*$I39/$E39)</f>
        <v/>
      </c>
      <c r="P39" s="35" t="str">
        <f t="shared" si="4"/>
        <v/>
      </c>
      <c r="Q39" s="36" t="str">
        <f t="shared" si="5"/>
        <v/>
      </c>
      <c r="R39" s="37" t="str">
        <f t="shared" si="6"/>
        <v/>
      </c>
      <c r="S39" s="38" t="str">
        <f t="shared" si="7"/>
        <v/>
      </c>
      <c r="T39" s="39" t="str">
        <f t="shared" si="8"/>
        <v/>
      </c>
      <c r="U39" s="40" t="str">
        <f t="shared" si="9"/>
        <v/>
      </c>
      <c r="V39" s="33" t="str">
        <f t="shared" si="10"/>
        <v/>
      </c>
      <c r="W39" s="33" t="str">
        <f t="shared" si="11"/>
        <v/>
      </c>
      <c r="X39" s="41" t="str">
        <f>IF($A39="","",IFERROR(MATCH($A39,Comenzi!$A$9:$A$108,0)+8,""))</f>
        <v/>
      </c>
      <c r="Y39" s="41" t="str">
        <f t="shared" si="12"/>
        <v/>
      </c>
      <c r="Z39" s="42" t="str">
        <f>IF($A39="","",IF($A39="?","Lipseste ID-ul comenzii (col. A din PI Furnizor)",IF(NOT(ISNUMBER($X39)),"ID comanda negasit in foaia Comenzi",IF(N($E39)&lt;=0,"Lipseste cantitatea",IF(N($G39)=0,"Pret unitar lipsa",IF($Y39&lt;&gt;1,"Curs sau moneda marfa lipsa (foaia Comenzi)",IF(INDEX(Comenzi!$AT:$AT,$X39)&lt;&gt;"OK","Avertisment comanda: "&amp;INDEX(Comenzi!$AT:$AT,$X39),"OK")))))))</f>
        <v/>
      </c>
      <c r="AA39" s="43" t="str">
        <f>IF(ISNUMBER($X39),INDEX(Comenzi!$H:$H,$X39),"")</f>
        <v/>
      </c>
      <c r="AB39" s="43" t="str">
        <f>IF(ISNUMBER($X39),INDEX(Comenzi!$I:$I,$X39),"")</f>
        <v/>
      </c>
      <c r="AC39" s="44" t="str">
        <f>IF(ISNUMBER($X39),IF(INDEX(Comenzi!$V:$V,$X39)="",Comenzi!$D$3,INDEX(Comenzi!$V:$V,$X39)),"")</f>
        <v/>
      </c>
      <c r="AD39" s="44" t="str">
        <f>IF(ISNUMBER($X39),IF(INDEX(Comenzi!$U:$U,$X39)="",Comenzi!$D$4,INDEX(Comenzi!$U:$U,$X39)),"")</f>
        <v/>
      </c>
      <c r="AE39" s="45" t="str">
        <f>IF($Y39&lt;&gt;1,"",IF(INDEX(Comenzi!$AM:$AM,$X39)="Greutate",INDEX('PI Furnizor'!$O:$O,ROW()-3),IF(INDEX(Comenzi!$AM:$AM,$X39)="Volum (CBM)",INDEX('PI Furnizor'!$Q:$Q,ROW()-3),IF(INDEX(Comenzi!$AM:$AM,$X39)="Valoare marfa",INDEX('PI Furnizor'!$N:$N,ROW()-3),$E39))))</f>
        <v/>
      </c>
    </row>
    <row r="40" spans="1:31" x14ac:dyDescent="0.3">
      <c r="A40" s="28" t="str">
        <f>IF(COUNTA(INDEX('PI Furnizor'!$A:$E,ROW()-3,0))=0,"",IF(INDEX('PI Furnizor'!$A:$A,ROW()-3)="","?",INDEX('PI Furnizor'!$A:$A,ROW()-3)))</f>
        <v/>
      </c>
      <c r="B40" s="29" t="str">
        <f>IF(ISNUMBER($X40),INDEX(Comenzi!$B:$B,$X40),"")</f>
        <v/>
      </c>
      <c r="C40" s="28" t="str">
        <f>IF($A40="","",INDEX('PI Furnizor'!$B:$B,ROW()-3)&amp;"")</f>
        <v/>
      </c>
      <c r="D40" s="28" t="str">
        <f>IF($A40="","",INDEX('PI Furnizor'!$C:$C,ROW()-3)&amp;"")</f>
        <v/>
      </c>
      <c r="E40" s="30" t="str">
        <f>IF($A40="","",N(INDEX('PI Furnizor'!$D:$D,ROW()-3)))</f>
        <v/>
      </c>
      <c r="F40" s="31" t="str">
        <f>IF(ISNUMBER($X40),INDEX(Comenzi!$G:$G,$X40),"")</f>
        <v/>
      </c>
      <c r="G40" s="32" t="str">
        <f>IF($A40="","",N(INDEX('PI Furnizor'!$E:$E,ROW()-3)))</f>
        <v/>
      </c>
      <c r="H40" s="33" t="str">
        <f t="shared" si="0"/>
        <v/>
      </c>
      <c r="I40" s="34" t="str">
        <f>IF($Y40&lt;&gt;1,"",IFERROR($AE40/INDEX(Comenzi!$AN:$AN,$X40),0))</f>
        <v/>
      </c>
      <c r="J40" s="33" t="str">
        <f>IF($Y40&lt;&gt;1,"",INDEX(Comenzi!$AG:$AG,$X40)*$I40/$E40)</f>
        <v/>
      </c>
      <c r="K40" s="33" t="str">
        <f t="shared" si="1"/>
        <v/>
      </c>
      <c r="L40" s="33" t="str">
        <f>IF($Y40&lt;&gt;1,"",$K40*$AD40+INDEX(Comenzi!$AJ:$AJ,$X40)*$I40/$E40)</f>
        <v/>
      </c>
      <c r="M40" s="33" t="str">
        <f t="shared" si="2"/>
        <v/>
      </c>
      <c r="N40" s="33" t="str">
        <f t="shared" si="3"/>
        <v/>
      </c>
      <c r="O40" s="33" t="str">
        <f>IF($Y40&lt;&gt;1,"",(INDEX(Comenzi!$AK:$AK,$X40)+N(INDEX(Comenzi!$T:$T,$X40)))*$I40/$E40)</f>
        <v/>
      </c>
      <c r="P40" s="35" t="str">
        <f t="shared" si="4"/>
        <v/>
      </c>
      <c r="Q40" s="36" t="str">
        <f t="shared" si="5"/>
        <v/>
      </c>
      <c r="R40" s="37" t="str">
        <f t="shared" si="6"/>
        <v/>
      </c>
      <c r="S40" s="38" t="str">
        <f t="shared" si="7"/>
        <v/>
      </c>
      <c r="T40" s="39" t="str">
        <f t="shared" si="8"/>
        <v/>
      </c>
      <c r="U40" s="40" t="str">
        <f t="shared" si="9"/>
        <v/>
      </c>
      <c r="V40" s="33" t="str">
        <f t="shared" si="10"/>
        <v/>
      </c>
      <c r="W40" s="33" t="str">
        <f t="shared" si="11"/>
        <v/>
      </c>
      <c r="X40" s="41" t="str">
        <f>IF($A40="","",IFERROR(MATCH($A40,Comenzi!$A$9:$A$108,0)+8,""))</f>
        <v/>
      </c>
      <c r="Y40" s="41" t="str">
        <f t="shared" si="12"/>
        <v/>
      </c>
      <c r="Z40" s="42" t="str">
        <f>IF($A40="","",IF($A40="?","Lipseste ID-ul comenzii (col. A din PI Furnizor)",IF(NOT(ISNUMBER($X40)),"ID comanda negasit in foaia Comenzi",IF(N($E40)&lt;=0,"Lipseste cantitatea",IF(N($G40)=0,"Pret unitar lipsa",IF($Y40&lt;&gt;1,"Curs sau moneda marfa lipsa (foaia Comenzi)",IF(INDEX(Comenzi!$AT:$AT,$X40)&lt;&gt;"OK","Avertisment comanda: "&amp;INDEX(Comenzi!$AT:$AT,$X40),"OK")))))))</f>
        <v/>
      </c>
      <c r="AA40" s="43" t="str">
        <f>IF(ISNUMBER($X40),INDEX(Comenzi!$H:$H,$X40),"")</f>
        <v/>
      </c>
      <c r="AB40" s="43" t="str">
        <f>IF(ISNUMBER($X40),INDEX(Comenzi!$I:$I,$X40),"")</f>
        <v/>
      </c>
      <c r="AC40" s="44" t="str">
        <f>IF(ISNUMBER($X40),IF(INDEX(Comenzi!$V:$V,$X40)="",Comenzi!$D$3,INDEX(Comenzi!$V:$V,$X40)),"")</f>
        <v/>
      </c>
      <c r="AD40" s="44" t="str">
        <f>IF(ISNUMBER($X40),IF(INDEX(Comenzi!$U:$U,$X40)="",Comenzi!$D$4,INDEX(Comenzi!$U:$U,$X40)),"")</f>
        <v/>
      </c>
      <c r="AE40" s="45" t="str">
        <f>IF($Y40&lt;&gt;1,"",IF(INDEX(Comenzi!$AM:$AM,$X40)="Greutate",INDEX('PI Furnizor'!$O:$O,ROW()-3),IF(INDEX(Comenzi!$AM:$AM,$X40)="Volum (CBM)",INDEX('PI Furnizor'!$Q:$Q,ROW()-3),IF(INDEX(Comenzi!$AM:$AM,$X40)="Valoare marfa",INDEX('PI Furnizor'!$N:$N,ROW()-3),$E40))))</f>
        <v/>
      </c>
    </row>
    <row r="41" spans="1:31" x14ac:dyDescent="0.3">
      <c r="A41" s="28" t="str">
        <f>IF(COUNTA(INDEX('PI Furnizor'!$A:$E,ROW()-3,0))=0,"",IF(INDEX('PI Furnizor'!$A:$A,ROW()-3)="","?",INDEX('PI Furnizor'!$A:$A,ROW()-3)))</f>
        <v/>
      </c>
      <c r="B41" s="29" t="str">
        <f>IF(ISNUMBER($X41),INDEX(Comenzi!$B:$B,$X41),"")</f>
        <v/>
      </c>
      <c r="C41" s="28" t="str">
        <f>IF($A41="","",INDEX('PI Furnizor'!$B:$B,ROW()-3)&amp;"")</f>
        <v/>
      </c>
      <c r="D41" s="28" t="str">
        <f>IF($A41="","",INDEX('PI Furnizor'!$C:$C,ROW()-3)&amp;"")</f>
        <v/>
      </c>
      <c r="E41" s="30" t="str">
        <f>IF($A41="","",N(INDEX('PI Furnizor'!$D:$D,ROW()-3)))</f>
        <v/>
      </c>
      <c r="F41" s="31" t="str">
        <f>IF(ISNUMBER($X41),INDEX(Comenzi!$G:$G,$X41),"")</f>
        <v/>
      </c>
      <c r="G41" s="32" t="str">
        <f>IF($A41="","",N(INDEX('PI Furnizor'!$E:$E,ROW()-3)))</f>
        <v/>
      </c>
      <c r="H41" s="33" t="str">
        <f t="shared" si="0"/>
        <v/>
      </c>
      <c r="I41" s="34" t="str">
        <f>IF($Y41&lt;&gt;1,"",IFERROR($AE41/INDEX(Comenzi!$AN:$AN,$X41),0))</f>
        <v/>
      </c>
      <c r="J41" s="33" t="str">
        <f>IF($Y41&lt;&gt;1,"",INDEX(Comenzi!$AG:$AG,$X41)*$I41/$E41)</f>
        <v/>
      </c>
      <c r="K41" s="33" t="str">
        <f t="shared" si="1"/>
        <v/>
      </c>
      <c r="L41" s="33" t="str">
        <f>IF($Y41&lt;&gt;1,"",$K41*$AD41+INDEX(Comenzi!$AJ:$AJ,$X41)*$I41/$E41)</f>
        <v/>
      </c>
      <c r="M41" s="33" t="str">
        <f t="shared" si="2"/>
        <v/>
      </c>
      <c r="N41" s="33" t="str">
        <f t="shared" si="3"/>
        <v/>
      </c>
      <c r="O41" s="33" t="str">
        <f>IF($Y41&lt;&gt;1,"",(INDEX(Comenzi!$AK:$AK,$X41)+N(INDEX(Comenzi!$T:$T,$X41)))*$I41/$E41)</f>
        <v/>
      </c>
      <c r="P41" s="35" t="str">
        <f t="shared" si="4"/>
        <v/>
      </c>
      <c r="Q41" s="36" t="str">
        <f t="shared" si="5"/>
        <v/>
      </c>
      <c r="R41" s="37" t="str">
        <f t="shared" si="6"/>
        <v/>
      </c>
      <c r="S41" s="38" t="str">
        <f t="shared" si="7"/>
        <v/>
      </c>
      <c r="T41" s="39" t="str">
        <f t="shared" si="8"/>
        <v/>
      </c>
      <c r="U41" s="40" t="str">
        <f t="shared" si="9"/>
        <v/>
      </c>
      <c r="V41" s="33" t="str">
        <f t="shared" si="10"/>
        <v/>
      </c>
      <c r="W41" s="33" t="str">
        <f t="shared" si="11"/>
        <v/>
      </c>
      <c r="X41" s="41" t="str">
        <f>IF($A41="","",IFERROR(MATCH($A41,Comenzi!$A$9:$A$108,0)+8,""))</f>
        <v/>
      </c>
      <c r="Y41" s="41" t="str">
        <f t="shared" si="12"/>
        <v/>
      </c>
      <c r="Z41" s="42" t="str">
        <f>IF($A41="","",IF($A41="?","Lipseste ID-ul comenzii (col. A din PI Furnizor)",IF(NOT(ISNUMBER($X41)),"ID comanda negasit in foaia Comenzi",IF(N($E41)&lt;=0,"Lipseste cantitatea",IF(N($G41)=0,"Pret unitar lipsa",IF($Y41&lt;&gt;1,"Curs sau moneda marfa lipsa (foaia Comenzi)",IF(INDEX(Comenzi!$AT:$AT,$X41)&lt;&gt;"OK","Avertisment comanda: "&amp;INDEX(Comenzi!$AT:$AT,$X41),"OK")))))))</f>
        <v/>
      </c>
      <c r="AA41" s="43" t="str">
        <f>IF(ISNUMBER($X41),INDEX(Comenzi!$H:$H,$X41),"")</f>
        <v/>
      </c>
      <c r="AB41" s="43" t="str">
        <f>IF(ISNUMBER($X41),INDEX(Comenzi!$I:$I,$X41),"")</f>
        <v/>
      </c>
      <c r="AC41" s="44" t="str">
        <f>IF(ISNUMBER($X41),IF(INDEX(Comenzi!$V:$V,$X41)="",Comenzi!$D$3,INDEX(Comenzi!$V:$V,$X41)),"")</f>
        <v/>
      </c>
      <c r="AD41" s="44" t="str">
        <f>IF(ISNUMBER($X41),IF(INDEX(Comenzi!$U:$U,$X41)="",Comenzi!$D$4,INDEX(Comenzi!$U:$U,$X41)),"")</f>
        <v/>
      </c>
      <c r="AE41" s="45" t="str">
        <f>IF($Y41&lt;&gt;1,"",IF(INDEX(Comenzi!$AM:$AM,$X41)="Greutate",INDEX('PI Furnizor'!$O:$O,ROW()-3),IF(INDEX(Comenzi!$AM:$AM,$X41)="Volum (CBM)",INDEX('PI Furnizor'!$Q:$Q,ROW()-3),IF(INDEX(Comenzi!$AM:$AM,$X41)="Valoare marfa",INDEX('PI Furnizor'!$N:$N,ROW()-3),$E41))))</f>
        <v/>
      </c>
    </row>
    <row r="42" spans="1:31" x14ac:dyDescent="0.3">
      <c r="A42" s="28" t="str">
        <f>IF(COUNTA(INDEX('PI Furnizor'!$A:$E,ROW()-3,0))=0,"",IF(INDEX('PI Furnizor'!$A:$A,ROW()-3)="","?",INDEX('PI Furnizor'!$A:$A,ROW()-3)))</f>
        <v/>
      </c>
      <c r="B42" s="29" t="str">
        <f>IF(ISNUMBER($X42),INDEX(Comenzi!$B:$B,$X42),"")</f>
        <v/>
      </c>
      <c r="C42" s="28" t="str">
        <f>IF($A42="","",INDEX('PI Furnizor'!$B:$B,ROW()-3)&amp;"")</f>
        <v/>
      </c>
      <c r="D42" s="28" t="str">
        <f>IF($A42="","",INDEX('PI Furnizor'!$C:$C,ROW()-3)&amp;"")</f>
        <v/>
      </c>
      <c r="E42" s="30" t="str">
        <f>IF($A42="","",N(INDEX('PI Furnizor'!$D:$D,ROW()-3)))</f>
        <v/>
      </c>
      <c r="F42" s="31" t="str">
        <f>IF(ISNUMBER($X42),INDEX(Comenzi!$G:$G,$X42),"")</f>
        <v/>
      </c>
      <c r="G42" s="32" t="str">
        <f>IF($A42="","",N(INDEX('PI Furnizor'!$E:$E,ROW()-3)))</f>
        <v/>
      </c>
      <c r="H42" s="33" t="str">
        <f t="shared" si="0"/>
        <v/>
      </c>
      <c r="I42" s="34" t="str">
        <f>IF($Y42&lt;&gt;1,"",IFERROR($AE42/INDEX(Comenzi!$AN:$AN,$X42),0))</f>
        <v/>
      </c>
      <c r="J42" s="33" t="str">
        <f>IF($Y42&lt;&gt;1,"",INDEX(Comenzi!$AG:$AG,$X42)*$I42/$E42)</f>
        <v/>
      </c>
      <c r="K42" s="33" t="str">
        <f t="shared" si="1"/>
        <v/>
      </c>
      <c r="L42" s="33" t="str">
        <f>IF($Y42&lt;&gt;1,"",$K42*$AD42+INDEX(Comenzi!$AJ:$AJ,$X42)*$I42/$E42)</f>
        <v/>
      </c>
      <c r="M42" s="33" t="str">
        <f t="shared" si="2"/>
        <v/>
      </c>
      <c r="N42" s="33" t="str">
        <f t="shared" si="3"/>
        <v/>
      </c>
      <c r="O42" s="33" t="str">
        <f>IF($Y42&lt;&gt;1,"",(INDEX(Comenzi!$AK:$AK,$X42)+N(INDEX(Comenzi!$T:$T,$X42)))*$I42/$E42)</f>
        <v/>
      </c>
      <c r="P42" s="35" t="str">
        <f t="shared" si="4"/>
        <v/>
      </c>
      <c r="Q42" s="36" t="str">
        <f t="shared" si="5"/>
        <v/>
      </c>
      <c r="R42" s="37" t="str">
        <f t="shared" si="6"/>
        <v/>
      </c>
      <c r="S42" s="38" t="str">
        <f t="shared" si="7"/>
        <v/>
      </c>
      <c r="T42" s="39" t="str">
        <f t="shared" si="8"/>
        <v/>
      </c>
      <c r="U42" s="40" t="str">
        <f t="shared" si="9"/>
        <v/>
      </c>
      <c r="V42" s="33" t="str">
        <f t="shared" si="10"/>
        <v/>
      </c>
      <c r="W42" s="33" t="str">
        <f t="shared" si="11"/>
        <v/>
      </c>
      <c r="X42" s="41" t="str">
        <f>IF($A42="","",IFERROR(MATCH($A42,Comenzi!$A$9:$A$108,0)+8,""))</f>
        <v/>
      </c>
      <c r="Y42" s="41" t="str">
        <f t="shared" si="12"/>
        <v/>
      </c>
      <c r="Z42" s="42" t="str">
        <f>IF($A42="","",IF($A42="?","Lipseste ID-ul comenzii (col. A din PI Furnizor)",IF(NOT(ISNUMBER($X42)),"ID comanda negasit in foaia Comenzi",IF(N($E42)&lt;=0,"Lipseste cantitatea",IF(N($G42)=0,"Pret unitar lipsa",IF($Y42&lt;&gt;1,"Curs sau moneda marfa lipsa (foaia Comenzi)",IF(INDEX(Comenzi!$AT:$AT,$X42)&lt;&gt;"OK","Avertisment comanda: "&amp;INDEX(Comenzi!$AT:$AT,$X42),"OK")))))))</f>
        <v/>
      </c>
      <c r="AA42" s="43" t="str">
        <f>IF(ISNUMBER($X42),INDEX(Comenzi!$H:$H,$X42),"")</f>
        <v/>
      </c>
      <c r="AB42" s="43" t="str">
        <f>IF(ISNUMBER($X42),INDEX(Comenzi!$I:$I,$X42),"")</f>
        <v/>
      </c>
      <c r="AC42" s="44" t="str">
        <f>IF(ISNUMBER($X42),IF(INDEX(Comenzi!$V:$V,$X42)="",Comenzi!$D$3,INDEX(Comenzi!$V:$V,$X42)),"")</f>
        <v/>
      </c>
      <c r="AD42" s="44" t="str">
        <f>IF(ISNUMBER($X42),IF(INDEX(Comenzi!$U:$U,$X42)="",Comenzi!$D$4,INDEX(Comenzi!$U:$U,$X42)),"")</f>
        <v/>
      </c>
      <c r="AE42" s="45" t="str">
        <f>IF($Y42&lt;&gt;1,"",IF(INDEX(Comenzi!$AM:$AM,$X42)="Greutate",INDEX('PI Furnizor'!$O:$O,ROW()-3),IF(INDEX(Comenzi!$AM:$AM,$X42)="Volum (CBM)",INDEX('PI Furnizor'!$Q:$Q,ROW()-3),IF(INDEX(Comenzi!$AM:$AM,$X42)="Valoare marfa",INDEX('PI Furnizor'!$N:$N,ROW()-3),$E42))))</f>
        <v/>
      </c>
    </row>
    <row r="43" spans="1:31" x14ac:dyDescent="0.3">
      <c r="A43" s="28" t="str">
        <f>IF(COUNTA(INDEX('PI Furnizor'!$A:$E,ROW()-3,0))=0,"",IF(INDEX('PI Furnizor'!$A:$A,ROW()-3)="","?",INDEX('PI Furnizor'!$A:$A,ROW()-3)))</f>
        <v/>
      </c>
      <c r="B43" s="29" t="str">
        <f>IF(ISNUMBER($X43),INDEX(Comenzi!$B:$B,$X43),"")</f>
        <v/>
      </c>
      <c r="C43" s="28" t="str">
        <f>IF($A43="","",INDEX('PI Furnizor'!$B:$B,ROW()-3)&amp;"")</f>
        <v/>
      </c>
      <c r="D43" s="28" t="str">
        <f>IF($A43="","",INDEX('PI Furnizor'!$C:$C,ROW()-3)&amp;"")</f>
        <v/>
      </c>
      <c r="E43" s="30" t="str">
        <f>IF($A43="","",N(INDEX('PI Furnizor'!$D:$D,ROW()-3)))</f>
        <v/>
      </c>
      <c r="F43" s="31" t="str">
        <f>IF(ISNUMBER($X43),INDEX(Comenzi!$G:$G,$X43),"")</f>
        <v/>
      </c>
      <c r="G43" s="32" t="str">
        <f>IF($A43="","",N(INDEX('PI Furnizor'!$E:$E,ROW()-3)))</f>
        <v/>
      </c>
      <c r="H43" s="33" t="str">
        <f t="shared" si="0"/>
        <v/>
      </c>
      <c r="I43" s="34" t="str">
        <f>IF($Y43&lt;&gt;1,"",IFERROR($AE43/INDEX(Comenzi!$AN:$AN,$X43),0))</f>
        <v/>
      </c>
      <c r="J43" s="33" t="str">
        <f>IF($Y43&lt;&gt;1,"",INDEX(Comenzi!$AG:$AG,$X43)*$I43/$E43)</f>
        <v/>
      </c>
      <c r="K43" s="33" t="str">
        <f t="shared" si="1"/>
        <v/>
      </c>
      <c r="L43" s="33" t="str">
        <f>IF($Y43&lt;&gt;1,"",$K43*$AD43+INDEX(Comenzi!$AJ:$AJ,$X43)*$I43/$E43)</f>
        <v/>
      </c>
      <c r="M43" s="33" t="str">
        <f t="shared" si="2"/>
        <v/>
      </c>
      <c r="N43" s="33" t="str">
        <f t="shared" si="3"/>
        <v/>
      </c>
      <c r="O43" s="33" t="str">
        <f>IF($Y43&lt;&gt;1,"",(INDEX(Comenzi!$AK:$AK,$X43)+N(INDEX(Comenzi!$T:$T,$X43)))*$I43/$E43)</f>
        <v/>
      </c>
      <c r="P43" s="35" t="str">
        <f t="shared" si="4"/>
        <v/>
      </c>
      <c r="Q43" s="36" t="str">
        <f t="shared" si="5"/>
        <v/>
      </c>
      <c r="R43" s="37" t="str">
        <f t="shared" si="6"/>
        <v/>
      </c>
      <c r="S43" s="38" t="str">
        <f t="shared" si="7"/>
        <v/>
      </c>
      <c r="T43" s="39" t="str">
        <f t="shared" si="8"/>
        <v/>
      </c>
      <c r="U43" s="40" t="str">
        <f t="shared" si="9"/>
        <v/>
      </c>
      <c r="V43" s="33" t="str">
        <f t="shared" si="10"/>
        <v/>
      </c>
      <c r="W43" s="33" t="str">
        <f t="shared" si="11"/>
        <v/>
      </c>
      <c r="X43" s="41" t="str">
        <f>IF($A43="","",IFERROR(MATCH($A43,Comenzi!$A$9:$A$108,0)+8,""))</f>
        <v/>
      </c>
      <c r="Y43" s="41" t="str">
        <f t="shared" si="12"/>
        <v/>
      </c>
      <c r="Z43" s="42" t="str">
        <f>IF($A43="","",IF($A43="?","Lipseste ID-ul comenzii (col. A din PI Furnizor)",IF(NOT(ISNUMBER($X43)),"ID comanda negasit in foaia Comenzi",IF(N($E43)&lt;=0,"Lipseste cantitatea",IF(N($G43)=0,"Pret unitar lipsa",IF($Y43&lt;&gt;1,"Curs sau moneda marfa lipsa (foaia Comenzi)",IF(INDEX(Comenzi!$AT:$AT,$X43)&lt;&gt;"OK","Avertisment comanda: "&amp;INDEX(Comenzi!$AT:$AT,$X43),"OK")))))))</f>
        <v/>
      </c>
      <c r="AA43" s="43" t="str">
        <f>IF(ISNUMBER($X43),INDEX(Comenzi!$H:$H,$X43),"")</f>
        <v/>
      </c>
      <c r="AB43" s="43" t="str">
        <f>IF(ISNUMBER($X43),INDEX(Comenzi!$I:$I,$X43),"")</f>
        <v/>
      </c>
      <c r="AC43" s="44" t="str">
        <f>IF(ISNUMBER($X43),IF(INDEX(Comenzi!$V:$V,$X43)="",Comenzi!$D$3,INDEX(Comenzi!$V:$V,$X43)),"")</f>
        <v/>
      </c>
      <c r="AD43" s="44" t="str">
        <f>IF(ISNUMBER($X43),IF(INDEX(Comenzi!$U:$U,$X43)="",Comenzi!$D$4,INDEX(Comenzi!$U:$U,$X43)),"")</f>
        <v/>
      </c>
      <c r="AE43" s="45" t="str">
        <f>IF($Y43&lt;&gt;1,"",IF(INDEX(Comenzi!$AM:$AM,$X43)="Greutate",INDEX('PI Furnizor'!$O:$O,ROW()-3),IF(INDEX(Comenzi!$AM:$AM,$X43)="Volum (CBM)",INDEX('PI Furnizor'!$Q:$Q,ROW()-3),IF(INDEX(Comenzi!$AM:$AM,$X43)="Valoare marfa",INDEX('PI Furnizor'!$N:$N,ROW()-3),$E43))))</f>
        <v/>
      </c>
    </row>
    <row r="44" spans="1:31" x14ac:dyDescent="0.3">
      <c r="A44" s="28" t="str">
        <f>IF(COUNTA(INDEX('PI Furnizor'!$A:$E,ROW()-3,0))=0,"",IF(INDEX('PI Furnizor'!$A:$A,ROW()-3)="","?",INDEX('PI Furnizor'!$A:$A,ROW()-3)))</f>
        <v/>
      </c>
      <c r="B44" s="29" t="str">
        <f>IF(ISNUMBER($X44),INDEX(Comenzi!$B:$B,$X44),"")</f>
        <v/>
      </c>
      <c r="C44" s="28" t="str">
        <f>IF($A44="","",INDEX('PI Furnizor'!$B:$B,ROW()-3)&amp;"")</f>
        <v/>
      </c>
      <c r="D44" s="28" t="str">
        <f>IF($A44="","",INDEX('PI Furnizor'!$C:$C,ROW()-3)&amp;"")</f>
        <v/>
      </c>
      <c r="E44" s="30" t="str">
        <f>IF($A44="","",N(INDEX('PI Furnizor'!$D:$D,ROW()-3)))</f>
        <v/>
      </c>
      <c r="F44" s="31" t="str">
        <f>IF(ISNUMBER($X44),INDEX(Comenzi!$G:$G,$X44),"")</f>
        <v/>
      </c>
      <c r="G44" s="32" t="str">
        <f>IF($A44="","",N(INDEX('PI Furnizor'!$E:$E,ROW()-3)))</f>
        <v/>
      </c>
      <c r="H44" s="33" t="str">
        <f t="shared" si="0"/>
        <v/>
      </c>
      <c r="I44" s="34" t="str">
        <f>IF($Y44&lt;&gt;1,"",IFERROR($AE44/INDEX(Comenzi!$AN:$AN,$X44),0))</f>
        <v/>
      </c>
      <c r="J44" s="33" t="str">
        <f>IF($Y44&lt;&gt;1,"",INDEX(Comenzi!$AG:$AG,$X44)*$I44/$E44)</f>
        <v/>
      </c>
      <c r="K44" s="33" t="str">
        <f t="shared" si="1"/>
        <v/>
      </c>
      <c r="L44" s="33" t="str">
        <f>IF($Y44&lt;&gt;1,"",$K44*$AD44+INDEX(Comenzi!$AJ:$AJ,$X44)*$I44/$E44)</f>
        <v/>
      </c>
      <c r="M44" s="33" t="str">
        <f t="shared" si="2"/>
        <v/>
      </c>
      <c r="N44" s="33" t="str">
        <f t="shared" si="3"/>
        <v/>
      </c>
      <c r="O44" s="33" t="str">
        <f>IF($Y44&lt;&gt;1,"",(INDEX(Comenzi!$AK:$AK,$X44)+N(INDEX(Comenzi!$T:$T,$X44)))*$I44/$E44)</f>
        <v/>
      </c>
      <c r="P44" s="35" t="str">
        <f t="shared" si="4"/>
        <v/>
      </c>
      <c r="Q44" s="36" t="str">
        <f t="shared" si="5"/>
        <v/>
      </c>
      <c r="R44" s="37" t="str">
        <f t="shared" si="6"/>
        <v/>
      </c>
      <c r="S44" s="38" t="str">
        <f t="shared" si="7"/>
        <v/>
      </c>
      <c r="T44" s="39" t="str">
        <f t="shared" si="8"/>
        <v/>
      </c>
      <c r="U44" s="40" t="str">
        <f t="shared" si="9"/>
        <v/>
      </c>
      <c r="V44" s="33" t="str">
        <f t="shared" si="10"/>
        <v/>
      </c>
      <c r="W44" s="33" t="str">
        <f t="shared" si="11"/>
        <v/>
      </c>
      <c r="X44" s="41" t="str">
        <f>IF($A44="","",IFERROR(MATCH($A44,Comenzi!$A$9:$A$108,0)+8,""))</f>
        <v/>
      </c>
      <c r="Y44" s="41" t="str">
        <f t="shared" si="12"/>
        <v/>
      </c>
      <c r="Z44" s="42" t="str">
        <f>IF($A44="","",IF($A44="?","Lipseste ID-ul comenzii (col. A din PI Furnizor)",IF(NOT(ISNUMBER($X44)),"ID comanda negasit in foaia Comenzi",IF(N($E44)&lt;=0,"Lipseste cantitatea",IF(N($G44)=0,"Pret unitar lipsa",IF($Y44&lt;&gt;1,"Curs sau moneda marfa lipsa (foaia Comenzi)",IF(INDEX(Comenzi!$AT:$AT,$X44)&lt;&gt;"OK","Avertisment comanda: "&amp;INDEX(Comenzi!$AT:$AT,$X44),"OK")))))))</f>
        <v/>
      </c>
      <c r="AA44" s="43" t="str">
        <f>IF(ISNUMBER($X44),INDEX(Comenzi!$H:$H,$X44),"")</f>
        <v/>
      </c>
      <c r="AB44" s="43" t="str">
        <f>IF(ISNUMBER($X44),INDEX(Comenzi!$I:$I,$X44),"")</f>
        <v/>
      </c>
      <c r="AC44" s="44" t="str">
        <f>IF(ISNUMBER($X44),IF(INDEX(Comenzi!$V:$V,$X44)="",Comenzi!$D$3,INDEX(Comenzi!$V:$V,$X44)),"")</f>
        <v/>
      </c>
      <c r="AD44" s="44" t="str">
        <f>IF(ISNUMBER($X44),IF(INDEX(Comenzi!$U:$U,$X44)="",Comenzi!$D$4,INDEX(Comenzi!$U:$U,$X44)),"")</f>
        <v/>
      </c>
      <c r="AE44" s="45" t="str">
        <f>IF($Y44&lt;&gt;1,"",IF(INDEX(Comenzi!$AM:$AM,$X44)="Greutate",INDEX('PI Furnizor'!$O:$O,ROW()-3),IF(INDEX(Comenzi!$AM:$AM,$X44)="Volum (CBM)",INDEX('PI Furnizor'!$Q:$Q,ROW()-3),IF(INDEX(Comenzi!$AM:$AM,$X44)="Valoare marfa",INDEX('PI Furnizor'!$N:$N,ROW()-3),$E44))))</f>
        <v/>
      </c>
    </row>
    <row r="45" spans="1:31" x14ac:dyDescent="0.3">
      <c r="A45" s="28" t="str">
        <f>IF(COUNTA(INDEX('PI Furnizor'!$A:$E,ROW()-3,0))=0,"",IF(INDEX('PI Furnizor'!$A:$A,ROW()-3)="","?",INDEX('PI Furnizor'!$A:$A,ROW()-3)))</f>
        <v/>
      </c>
      <c r="B45" s="29" t="str">
        <f>IF(ISNUMBER($X45),INDEX(Comenzi!$B:$B,$X45),"")</f>
        <v/>
      </c>
      <c r="C45" s="28" t="str">
        <f>IF($A45="","",INDEX('PI Furnizor'!$B:$B,ROW()-3)&amp;"")</f>
        <v/>
      </c>
      <c r="D45" s="28" t="str">
        <f>IF($A45="","",INDEX('PI Furnizor'!$C:$C,ROW()-3)&amp;"")</f>
        <v/>
      </c>
      <c r="E45" s="30" t="str">
        <f>IF($A45="","",N(INDEX('PI Furnizor'!$D:$D,ROW()-3)))</f>
        <v/>
      </c>
      <c r="F45" s="31" t="str">
        <f>IF(ISNUMBER($X45),INDEX(Comenzi!$G:$G,$X45),"")</f>
        <v/>
      </c>
      <c r="G45" s="32" t="str">
        <f>IF($A45="","",N(INDEX('PI Furnizor'!$E:$E,ROW()-3)))</f>
        <v/>
      </c>
      <c r="H45" s="33" t="str">
        <f t="shared" si="0"/>
        <v/>
      </c>
      <c r="I45" s="34" t="str">
        <f>IF($Y45&lt;&gt;1,"",IFERROR($AE45/INDEX(Comenzi!$AN:$AN,$X45),0))</f>
        <v/>
      </c>
      <c r="J45" s="33" t="str">
        <f>IF($Y45&lt;&gt;1,"",INDEX(Comenzi!$AG:$AG,$X45)*$I45/$E45)</f>
        <v/>
      </c>
      <c r="K45" s="33" t="str">
        <f t="shared" si="1"/>
        <v/>
      </c>
      <c r="L45" s="33" t="str">
        <f>IF($Y45&lt;&gt;1,"",$K45*$AD45+INDEX(Comenzi!$AJ:$AJ,$X45)*$I45/$E45)</f>
        <v/>
      </c>
      <c r="M45" s="33" t="str">
        <f t="shared" si="2"/>
        <v/>
      </c>
      <c r="N45" s="33" t="str">
        <f t="shared" si="3"/>
        <v/>
      </c>
      <c r="O45" s="33" t="str">
        <f>IF($Y45&lt;&gt;1,"",(INDEX(Comenzi!$AK:$AK,$X45)+N(INDEX(Comenzi!$T:$T,$X45)))*$I45/$E45)</f>
        <v/>
      </c>
      <c r="P45" s="35" t="str">
        <f t="shared" si="4"/>
        <v/>
      </c>
      <c r="Q45" s="36" t="str">
        <f t="shared" si="5"/>
        <v/>
      </c>
      <c r="R45" s="37" t="str">
        <f t="shared" si="6"/>
        <v/>
      </c>
      <c r="S45" s="38" t="str">
        <f t="shared" si="7"/>
        <v/>
      </c>
      <c r="T45" s="39" t="str">
        <f t="shared" si="8"/>
        <v/>
      </c>
      <c r="U45" s="40" t="str">
        <f t="shared" si="9"/>
        <v/>
      </c>
      <c r="V45" s="33" t="str">
        <f t="shared" si="10"/>
        <v/>
      </c>
      <c r="W45" s="33" t="str">
        <f t="shared" si="11"/>
        <v/>
      </c>
      <c r="X45" s="41" t="str">
        <f>IF($A45="","",IFERROR(MATCH($A45,Comenzi!$A$9:$A$108,0)+8,""))</f>
        <v/>
      </c>
      <c r="Y45" s="41" t="str">
        <f t="shared" si="12"/>
        <v/>
      </c>
      <c r="Z45" s="42" t="str">
        <f>IF($A45="","",IF($A45="?","Lipseste ID-ul comenzii (col. A din PI Furnizor)",IF(NOT(ISNUMBER($X45)),"ID comanda negasit in foaia Comenzi",IF(N($E45)&lt;=0,"Lipseste cantitatea",IF(N($G45)=0,"Pret unitar lipsa",IF($Y45&lt;&gt;1,"Curs sau moneda marfa lipsa (foaia Comenzi)",IF(INDEX(Comenzi!$AT:$AT,$X45)&lt;&gt;"OK","Avertisment comanda: "&amp;INDEX(Comenzi!$AT:$AT,$X45),"OK")))))))</f>
        <v/>
      </c>
      <c r="AA45" s="43" t="str">
        <f>IF(ISNUMBER($X45),INDEX(Comenzi!$H:$H,$X45),"")</f>
        <v/>
      </c>
      <c r="AB45" s="43" t="str">
        <f>IF(ISNUMBER($X45),INDEX(Comenzi!$I:$I,$X45),"")</f>
        <v/>
      </c>
      <c r="AC45" s="44" t="str">
        <f>IF(ISNUMBER($X45),IF(INDEX(Comenzi!$V:$V,$X45)="",Comenzi!$D$3,INDEX(Comenzi!$V:$V,$X45)),"")</f>
        <v/>
      </c>
      <c r="AD45" s="44" t="str">
        <f>IF(ISNUMBER($X45),IF(INDEX(Comenzi!$U:$U,$X45)="",Comenzi!$D$4,INDEX(Comenzi!$U:$U,$X45)),"")</f>
        <v/>
      </c>
      <c r="AE45" s="45" t="str">
        <f>IF($Y45&lt;&gt;1,"",IF(INDEX(Comenzi!$AM:$AM,$X45)="Greutate",INDEX('PI Furnizor'!$O:$O,ROW()-3),IF(INDEX(Comenzi!$AM:$AM,$X45)="Volum (CBM)",INDEX('PI Furnizor'!$Q:$Q,ROW()-3),IF(INDEX(Comenzi!$AM:$AM,$X45)="Valoare marfa",INDEX('PI Furnizor'!$N:$N,ROW()-3),$E45))))</f>
        <v/>
      </c>
    </row>
    <row r="46" spans="1:31" x14ac:dyDescent="0.3">
      <c r="A46" s="28" t="str">
        <f>IF(COUNTA(INDEX('PI Furnizor'!$A:$E,ROW()-3,0))=0,"",IF(INDEX('PI Furnizor'!$A:$A,ROW()-3)="","?",INDEX('PI Furnizor'!$A:$A,ROW()-3)))</f>
        <v/>
      </c>
      <c r="B46" s="29" t="str">
        <f>IF(ISNUMBER($X46),INDEX(Comenzi!$B:$B,$X46),"")</f>
        <v/>
      </c>
      <c r="C46" s="28" t="str">
        <f>IF($A46="","",INDEX('PI Furnizor'!$B:$B,ROW()-3)&amp;"")</f>
        <v/>
      </c>
      <c r="D46" s="28" t="str">
        <f>IF($A46="","",INDEX('PI Furnizor'!$C:$C,ROW()-3)&amp;"")</f>
        <v/>
      </c>
      <c r="E46" s="30" t="str">
        <f>IF($A46="","",N(INDEX('PI Furnizor'!$D:$D,ROW()-3)))</f>
        <v/>
      </c>
      <c r="F46" s="31" t="str">
        <f>IF(ISNUMBER($X46),INDEX(Comenzi!$G:$G,$X46),"")</f>
        <v/>
      </c>
      <c r="G46" s="32" t="str">
        <f>IF($A46="","",N(INDEX('PI Furnizor'!$E:$E,ROW()-3)))</f>
        <v/>
      </c>
      <c r="H46" s="33" t="str">
        <f t="shared" si="0"/>
        <v/>
      </c>
      <c r="I46" s="34" t="str">
        <f>IF($Y46&lt;&gt;1,"",IFERROR($AE46/INDEX(Comenzi!$AN:$AN,$X46),0))</f>
        <v/>
      </c>
      <c r="J46" s="33" t="str">
        <f>IF($Y46&lt;&gt;1,"",INDEX(Comenzi!$AG:$AG,$X46)*$I46/$E46)</f>
        <v/>
      </c>
      <c r="K46" s="33" t="str">
        <f t="shared" si="1"/>
        <v/>
      </c>
      <c r="L46" s="33" t="str">
        <f>IF($Y46&lt;&gt;1,"",$K46*$AD46+INDEX(Comenzi!$AJ:$AJ,$X46)*$I46/$E46)</f>
        <v/>
      </c>
      <c r="M46" s="33" t="str">
        <f t="shared" si="2"/>
        <v/>
      </c>
      <c r="N46" s="33" t="str">
        <f t="shared" si="3"/>
        <v/>
      </c>
      <c r="O46" s="33" t="str">
        <f>IF($Y46&lt;&gt;1,"",(INDEX(Comenzi!$AK:$AK,$X46)+N(INDEX(Comenzi!$T:$T,$X46)))*$I46/$E46)</f>
        <v/>
      </c>
      <c r="P46" s="35" t="str">
        <f t="shared" si="4"/>
        <v/>
      </c>
      <c r="Q46" s="36" t="str">
        <f t="shared" si="5"/>
        <v/>
      </c>
      <c r="R46" s="37" t="str">
        <f t="shared" si="6"/>
        <v/>
      </c>
      <c r="S46" s="38" t="str">
        <f t="shared" si="7"/>
        <v/>
      </c>
      <c r="T46" s="39" t="str">
        <f t="shared" si="8"/>
        <v/>
      </c>
      <c r="U46" s="40" t="str">
        <f t="shared" si="9"/>
        <v/>
      </c>
      <c r="V46" s="33" t="str">
        <f t="shared" si="10"/>
        <v/>
      </c>
      <c r="W46" s="33" t="str">
        <f t="shared" si="11"/>
        <v/>
      </c>
      <c r="X46" s="41" t="str">
        <f>IF($A46="","",IFERROR(MATCH($A46,Comenzi!$A$9:$A$108,0)+8,""))</f>
        <v/>
      </c>
      <c r="Y46" s="41" t="str">
        <f t="shared" si="12"/>
        <v/>
      </c>
      <c r="Z46" s="42" t="str">
        <f>IF($A46="","",IF($A46="?","Lipseste ID-ul comenzii (col. A din PI Furnizor)",IF(NOT(ISNUMBER($X46)),"ID comanda negasit in foaia Comenzi",IF(N($E46)&lt;=0,"Lipseste cantitatea",IF(N($G46)=0,"Pret unitar lipsa",IF($Y46&lt;&gt;1,"Curs sau moneda marfa lipsa (foaia Comenzi)",IF(INDEX(Comenzi!$AT:$AT,$X46)&lt;&gt;"OK","Avertisment comanda: "&amp;INDEX(Comenzi!$AT:$AT,$X46),"OK")))))))</f>
        <v/>
      </c>
      <c r="AA46" s="43" t="str">
        <f>IF(ISNUMBER($X46),INDEX(Comenzi!$H:$H,$X46),"")</f>
        <v/>
      </c>
      <c r="AB46" s="43" t="str">
        <f>IF(ISNUMBER($X46),INDEX(Comenzi!$I:$I,$X46),"")</f>
        <v/>
      </c>
      <c r="AC46" s="44" t="str">
        <f>IF(ISNUMBER($X46),IF(INDEX(Comenzi!$V:$V,$X46)="",Comenzi!$D$3,INDEX(Comenzi!$V:$V,$X46)),"")</f>
        <v/>
      </c>
      <c r="AD46" s="44" t="str">
        <f>IF(ISNUMBER($X46),IF(INDEX(Comenzi!$U:$U,$X46)="",Comenzi!$D$4,INDEX(Comenzi!$U:$U,$X46)),"")</f>
        <v/>
      </c>
      <c r="AE46" s="45" t="str">
        <f>IF($Y46&lt;&gt;1,"",IF(INDEX(Comenzi!$AM:$AM,$X46)="Greutate",INDEX('PI Furnizor'!$O:$O,ROW()-3),IF(INDEX(Comenzi!$AM:$AM,$X46)="Volum (CBM)",INDEX('PI Furnizor'!$Q:$Q,ROW()-3),IF(INDEX(Comenzi!$AM:$AM,$X46)="Valoare marfa",INDEX('PI Furnizor'!$N:$N,ROW()-3),$E46))))</f>
        <v/>
      </c>
    </row>
    <row r="47" spans="1:31" x14ac:dyDescent="0.3">
      <c r="A47" s="28" t="str">
        <f>IF(COUNTA(INDEX('PI Furnizor'!$A:$E,ROW()-3,0))=0,"",IF(INDEX('PI Furnizor'!$A:$A,ROW()-3)="","?",INDEX('PI Furnizor'!$A:$A,ROW()-3)))</f>
        <v/>
      </c>
      <c r="B47" s="29" t="str">
        <f>IF(ISNUMBER($X47),INDEX(Comenzi!$B:$B,$X47),"")</f>
        <v/>
      </c>
      <c r="C47" s="28" t="str">
        <f>IF($A47="","",INDEX('PI Furnizor'!$B:$B,ROW()-3)&amp;"")</f>
        <v/>
      </c>
      <c r="D47" s="28" t="str">
        <f>IF($A47="","",INDEX('PI Furnizor'!$C:$C,ROW()-3)&amp;"")</f>
        <v/>
      </c>
      <c r="E47" s="30" t="str">
        <f>IF($A47="","",N(INDEX('PI Furnizor'!$D:$D,ROW()-3)))</f>
        <v/>
      </c>
      <c r="F47" s="31" t="str">
        <f>IF(ISNUMBER($X47),INDEX(Comenzi!$G:$G,$X47),"")</f>
        <v/>
      </c>
      <c r="G47" s="32" t="str">
        <f>IF($A47="","",N(INDEX('PI Furnizor'!$E:$E,ROW()-3)))</f>
        <v/>
      </c>
      <c r="H47" s="33" t="str">
        <f t="shared" si="0"/>
        <v/>
      </c>
      <c r="I47" s="34" t="str">
        <f>IF($Y47&lt;&gt;1,"",IFERROR($AE47/INDEX(Comenzi!$AN:$AN,$X47),0))</f>
        <v/>
      </c>
      <c r="J47" s="33" t="str">
        <f>IF($Y47&lt;&gt;1,"",INDEX(Comenzi!$AG:$AG,$X47)*$I47/$E47)</f>
        <v/>
      </c>
      <c r="K47" s="33" t="str">
        <f t="shared" si="1"/>
        <v/>
      </c>
      <c r="L47" s="33" t="str">
        <f>IF($Y47&lt;&gt;1,"",$K47*$AD47+INDEX(Comenzi!$AJ:$AJ,$X47)*$I47/$E47)</f>
        <v/>
      </c>
      <c r="M47" s="33" t="str">
        <f t="shared" si="2"/>
        <v/>
      </c>
      <c r="N47" s="33" t="str">
        <f t="shared" si="3"/>
        <v/>
      </c>
      <c r="O47" s="33" t="str">
        <f>IF($Y47&lt;&gt;1,"",(INDEX(Comenzi!$AK:$AK,$X47)+N(INDEX(Comenzi!$T:$T,$X47)))*$I47/$E47)</f>
        <v/>
      </c>
      <c r="P47" s="35" t="str">
        <f t="shared" si="4"/>
        <v/>
      </c>
      <c r="Q47" s="36" t="str">
        <f t="shared" si="5"/>
        <v/>
      </c>
      <c r="R47" s="37" t="str">
        <f t="shared" si="6"/>
        <v/>
      </c>
      <c r="S47" s="38" t="str">
        <f t="shared" si="7"/>
        <v/>
      </c>
      <c r="T47" s="39" t="str">
        <f t="shared" si="8"/>
        <v/>
      </c>
      <c r="U47" s="40" t="str">
        <f t="shared" si="9"/>
        <v/>
      </c>
      <c r="V47" s="33" t="str">
        <f t="shared" si="10"/>
        <v/>
      </c>
      <c r="W47" s="33" t="str">
        <f t="shared" si="11"/>
        <v/>
      </c>
      <c r="X47" s="41" t="str">
        <f>IF($A47="","",IFERROR(MATCH($A47,Comenzi!$A$9:$A$108,0)+8,""))</f>
        <v/>
      </c>
      <c r="Y47" s="41" t="str">
        <f t="shared" si="12"/>
        <v/>
      </c>
      <c r="Z47" s="42" t="str">
        <f>IF($A47="","",IF($A47="?","Lipseste ID-ul comenzii (col. A din PI Furnizor)",IF(NOT(ISNUMBER($X47)),"ID comanda negasit in foaia Comenzi",IF(N($E47)&lt;=0,"Lipseste cantitatea",IF(N($G47)=0,"Pret unitar lipsa",IF($Y47&lt;&gt;1,"Curs sau moneda marfa lipsa (foaia Comenzi)",IF(INDEX(Comenzi!$AT:$AT,$X47)&lt;&gt;"OK","Avertisment comanda: "&amp;INDEX(Comenzi!$AT:$AT,$X47),"OK")))))))</f>
        <v/>
      </c>
      <c r="AA47" s="43" t="str">
        <f>IF(ISNUMBER($X47),INDEX(Comenzi!$H:$H,$X47),"")</f>
        <v/>
      </c>
      <c r="AB47" s="43" t="str">
        <f>IF(ISNUMBER($X47),INDEX(Comenzi!$I:$I,$X47),"")</f>
        <v/>
      </c>
      <c r="AC47" s="44" t="str">
        <f>IF(ISNUMBER($X47),IF(INDEX(Comenzi!$V:$V,$X47)="",Comenzi!$D$3,INDEX(Comenzi!$V:$V,$X47)),"")</f>
        <v/>
      </c>
      <c r="AD47" s="44" t="str">
        <f>IF(ISNUMBER($X47),IF(INDEX(Comenzi!$U:$U,$X47)="",Comenzi!$D$4,INDEX(Comenzi!$U:$U,$X47)),"")</f>
        <v/>
      </c>
      <c r="AE47" s="45" t="str">
        <f>IF($Y47&lt;&gt;1,"",IF(INDEX(Comenzi!$AM:$AM,$X47)="Greutate",INDEX('PI Furnizor'!$O:$O,ROW()-3),IF(INDEX(Comenzi!$AM:$AM,$X47)="Volum (CBM)",INDEX('PI Furnizor'!$Q:$Q,ROW()-3),IF(INDEX(Comenzi!$AM:$AM,$X47)="Valoare marfa",INDEX('PI Furnizor'!$N:$N,ROW()-3),$E47))))</f>
        <v/>
      </c>
    </row>
    <row r="48" spans="1:31" x14ac:dyDescent="0.3">
      <c r="A48" s="28" t="str">
        <f>IF(COUNTA(INDEX('PI Furnizor'!$A:$E,ROW()-3,0))=0,"",IF(INDEX('PI Furnizor'!$A:$A,ROW()-3)="","?",INDEX('PI Furnizor'!$A:$A,ROW()-3)))</f>
        <v/>
      </c>
      <c r="B48" s="29" t="str">
        <f>IF(ISNUMBER($X48),INDEX(Comenzi!$B:$B,$X48),"")</f>
        <v/>
      </c>
      <c r="C48" s="28" t="str">
        <f>IF($A48="","",INDEX('PI Furnizor'!$B:$B,ROW()-3)&amp;"")</f>
        <v/>
      </c>
      <c r="D48" s="28" t="str">
        <f>IF($A48="","",INDEX('PI Furnizor'!$C:$C,ROW()-3)&amp;"")</f>
        <v/>
      </c>
      <c r="E48" s="30" t="str">
        <f>IF($A48="","",N(INDEX('PI Furnizor'!$D:$D,ROW()-3)))</f>
        <v/>
      </c>
      <c r="F48" s="31" t="str">
        <f>IF(ISNUMBER($X48),INDEX(Comenzi!$G:$G,$X48),"")</f>
        <v/>
      </c>
      <c r="G48" s="32" t="str">
        <f>IF($A48="","",N(INDEX('PI Furnizor'!$E:$E,ROW()-3)))</f>
        <v/>
      </c>
      <c r="H48" s="33" t="str">
        <f t="shared" si="0"/>
        <v/>
      </c>
      <c r="I48" s="34" t="str">
        <f>IF($Y48&lt;&gt;1,"",IFERROR($AE48/INDEX(Comenzi!$AN:$AN,$X48),0))</f>
        <v/>
      </c>
      <c r="J48" s="33" t="str">
        <f>IF($Y48&lt;&gt;1,"",INDEX(Comenzi!$AG:$AG,$X48)*$I48/$E48)</f>
        <v/>
      </c>
      <c r="K48" s="33" t="str">
        <f t="shared" si="1"/>
        <v/>
      </c>
      <c r="L48" s="33" t="str">
        <f>IF($Y48&lt;&gt;1,"",$K48*$AD48+INDEX(Comenzi!$AJ:$AJ,$X48)*$I48/$E48)</f>
        <v/>
      </c>
      <c r="M48" s="33" t="str">
        <f t="shared" si="2"/>
        <v/>
      </c>
      <c r="N48" s="33" t="str">
        <f t="shared" si="3"/>
        <v/>
      </c>
      <c r="O48" s="33" t="str">
        <f>IF($Y48&lt;&gt;1,"",(INDEX(Comenzi!$AK:$AK,$X48)+N(INDEX(Comenzi!$T:$T,$X48)))*$I48/$E48)</f>
        <v/>
      </c>
      <c r="P48" s="35" t="str">
        <f t="shared" si="4"/>
        <v/>
      </c>
      <c r="Q48" s="36" t="str">
        <f t="shared" si="5"/>
        <v/>
      </c>
      <c r="R48" s="37" t="str">
        <f t="shared" si="6"/>
        <v/>
      </c>
      <c r="S48" s="38" t="str">
        <f t="shared" si="7"/>
        <v/>
      </c>
      <c r="T48" s="39" t="str">
        <f t="shared" si="8"/>
        <v/>
      </c>
      <c r="U48" s="40" t="str">
        <f t="shared" si="9"/>
        <v/>
      </c>
      <c r="V48" s="33" t="str">
        <f t="shared" si="10"/>
        <v/>
      </c>
      <c r="W48" s="33" t="str">
        <f t="shared" si="11"/>
        <v/>
      </c>
      <c r="X48" s="41" t="str">
        <f>IF($A48="","",IFERROR(MATCH($A48,Comenzi!$A$9:$A$108,0)+8,""))</f>
        <v/>
      </c>
      <c r="Y48" s="41" t="str">
        <f t="shared" si="12"/>
        <v/>
      </c>
      <c r="Z48" s="42" t="str">
        <f>IF($A48="","",IF($A48="?","Lipseste ID-ul comenzii (col. A din PI Furnizor)",IF(NOT(ISNUMBER($X48)),"ID comanda negasit in foaia Comenzi",IF(N($E48)&lt;=0,"Lipseste cantitatea",IF(N($G48)=0,"Pret unitar lipsa",IF($Y48&lt;&gt;1,"Curs sau moneda marfa lipsa (foaia Comenzi)",IF(INDEX(Comenzi!$AT:$AT,$X48)&lt;&gt;"OK","Avertisment comanda: "&amp;INDEX(Comenzi!$AT:$AT,$X48),"OK")))))))</f>
        <v/>
      </c>
      <c r="AA48" s="43" t="str">
        <f>IF(ISNUMBER($X48),INDEX(Comenzi!$H:$H,$X48),"")</f>
        <v/>
      </c>
      <c r="AB48" s="43" t="str">
        <f>IF(ISNUMBER($X48),INDEX(Comenzi!$I:$I,$X48),"")</f>
        <v/>
      </c>
      <c r="AC48" s="44" t="str">
        <f>IF(ISNUMBER($X48),IF(INDEX(Comenzi!$V:$V,$X48)="",Comenzi!$D$3,INDEX(Comenzi!$V:$V,$X48)),"")</f>
        <v/>
      </c>
      <c r="AD48" s="44" t="str">
        <f>IF(ISNUMBER($X48),IF(INDEX(Comenzi!$U:$U,$X48)="",Comenzi!$D$4,INDEX(Comenzi!$U:$U,$X48)),"")</f>
        <v/>
      </c>
      <c r="AE48" s="45" t="str">
        <f>IF($Y48&lt;&gt;1,"",IF(INDEX(Comenzi!$AM:$AM,$X48)="Greutate",INDEX('PI Furnizor'!$O:$O,ROW()-3),IF(INDEX(Comenzi!$AM:$AM,$X48)="Volum (CBM)",INDEX('PI Furnizor'!$Q:$Q,ROW()-3),IF(INDEX(Comenzi!$AM:$AM,$X48)="Valoare marfa",INDEX('PI Furnizor'!$N:$N,ROW()-3),$E48))))</f>
        <v/>
      </c>
    </row>
    <row r="49" spans="1:31" x14ac:dyDescent="0.3">
      <c r="A49" s="28" t="str">
        <f>IF(COUNTA(INDEX('PI Furnizor'!$A:$E,ROW()-3,0))=0,"",IF(INDEX('PI Furnizor'!$A:$A,ROW()-3)="","?",INDEX('PI Furnizor'!$A:$A,ROW()-3)))</f>
        <v/>
      </c>
      <c r="B49" s="29" t="str">
        <f>IF(ISNUMBER($X49),INDEX(Comenzi!$B:$B,$X49),"")</f>
        <v/>
      </c>
      <c r="C49" s="28" t="str">
        <f>IF($A49="","",INDEX('PI Furnizor'!$B:$B,ROW()-3)&amp;"")</f>
        <v/>
      </c>
      <c r="D49" s="28" t="str">
        <f>IF($A49="","",INDEX('PI Furnizor'!$C:$C,ROW()-3)&amp;"")</f>
        <v/>
      </c>
      <c r="E49" s="30" t="str">
        <f>IF($A49="","",N(INDEX('PI Furnizor'!$D:$D,ROW()-3)))</f>
        <v/>
      </c>
      <c r="F49" s="31" t="str">
        <f>IF(ISNUMBER($X49),INDEX(Comenzi!$G:$G,$X49),"")</f>
        <v/>
      </c>
      <c r="G49" s="32" t="str">
        <f>IF($A49="","",N(INDEX('PI Furnizor'!$E:$E,ROW()-3)))</f>
        <v/>
      </c>
      <c r="H49" s="33" t="str">
        <f t="shared" si="0"/>
        <v/>
      </c>
      <c r="I49" s="34" t="str">
        <f>IF($Y49&lt;&gt;1,"",IFERROR($AE49/INDEX(Comenzi!$AN:$AN,$X49),0))</f>
        <v/>
      </c>
      <c r="J49" s="33" t="str">
        <f>IF($Y49&lt;&gt;1,"",INDEX(Comenzi!$AG:$AG,$X49)*$I49/$E49)</f>
        <v/>
      </c>
      <c r="K49" s="33" t="str">
        <f t="shared" si="1"/>
        <v/>
      </c>
      <c r="L49" s="33" t="str">
        <f>IF($Y49&lt;&gt;1,"",$K49*$AD49+INDEX(Comenzi!$AJ:$AJ,$X49)*$I49/$E49)</f>
        <v/>
      </c>
      <c r="M49" s="33" t="str">
        <f t="shared" si="2"/>
        <v/>
      </c>
      <c r="N49" s="33" t="str">
        <f t="shared" si="3"/>
        <v/>
      </c>
      <c r="O49" s="33" t="str">
        <f>IF($Y49&lt;&gt;1,"",(INDEX(Comenzi!$AK:$AK,$X49)+N(INDEX(Comenzi!$T:$T,$X49)))*$I49/$E49)</f>
        <v/>
      </c>
      <c r="P49" s="35" t="str">
        <f t="shared" si="4"/>
        <v/>
      </c>
      <c r="Q49" s="36" t="str">
        <f t="shared" si="5"/>
        <v/>
      </c>
      <c r="R49" s="37" t="str">
        <f t="shared" si="6"/>
        <v/>
      </c>
      <c r="S49" s="38" t="str">
        <f t="shared" si="7"/>
        <v/>
      </c>
      <c r="T49" s="39" t="str">
        <f t="shared" si="8"/>
        <v/>
      </c>
      <c r="U49" s="40" t="str">
        <f t="shared" si="9"/>
        <v/>
      </c>
      <c r="V49" s="33" t="str">
        <f t="shared" si="10"/>
        <v/>
      </c>
      <c r="W49" s="33" t="str">
        <f t="shared" si="11"/>
        <v/>
      </c>
      <c r="X49" s="41" t="str">
        <f>IF($A49="","",IFERROR(MATCH($A49,Comenzi!$A$9:$A$108,0)+8,""))</f>
        <v/>
      </c>
      <c r="Y49" s="41" t="str">
        <f t="shared" si="12"/>
        <v/>
      </c>
      <c r="Z49" s="42" t="str">
        <f>IF($A49="","",IF($A49="?","Lipseste ID-ul comenzii (col. A din PI Furnizor)",IF(NOT(ISNUMBER($X49)),"ID comanda negasit in foaia Comenzi",IF(N($E49)&lt;=0,"Lipseste cantitatea",IF(N($G49)=0,"Pret unitar lipsa",IF($Y49&lt;&gt;1,"Curs sau moneda marfa lipsa (foaia Comenzi)",IF(INDEX(Comenzi!$AT:$AT,$X49)&lt;&gt;"OK","Avertisment comanda: "&amp;INDEX(Comenzi!$AT:$AT,$X49),"OK")))))))</f>
        <v/>
      </c>
      <c r="AA49" s="43" t="str">
        <f>IF(ISNUMBER($X49),INDEX(Comenzi!$H:$H,$X49),"")</f>
        <v/>
      </c>
      <c r="AB49" s="43" t="str">
        <f>IF(ISNUMBER($X49),INDEX(Comenzi!$I:$I,$X49),"")</f>
        <v/>
      </c>
      <c r="AC49" s="44" t="str">
        <f>IF(ISNUMBER($X49),IF(INDEX(Comenzi!$V:$V,$X49)="",Comenzi!$D$3,INDEX(Comenzi!$V:$V,$X49)),"")</f>
        <v/>
      </c>
      <c r="AD49" s="44" t="str">
        <f>IF(ISNUMBER($X49),IF(INDEX(Comenzi!$U:$U,$X49)="",Comenzi!$D$4,INDEX(Comenzi!$U:$U,$X49)),"")</f>
        <v/>
      </c>
      <c r="AE49" s="45" t="str">
        <f>IF($Y49&lt;&gt;1,"",IF(INDEX(Comenzi!$AM:$AM,$X49)="Greutate",INDEX('PI Furnizor'!$O:$O,ROW()-3),IF(INDEX(Comenzi!$AM:$AM,$X49)="Volum (CBM)",INDEX('PI Furnizor'!$Q:$Q,ROW()-3),IF(INDEX(Comenzi!$AM:$AM,$X49)="Valoare marfa",INDEX('PI Furnizor'!$N:$N,ROW()-3),$E49))))</f>
        <v/>
      </c>
    </row>
    <row r="50" spans="1:31" x14ac:dyDescent="0.3">
      <c r="A50" s="28" t="str">
        <f>IF(COUNTA(INDEX('PI Furnizor'!$A:$E,ROW()-3,0))=0,"",IF(INDEX('PI Furnizor'!$A:$A,ROW()-3)="","?",INDEX('PI Furnizor'!$A:$A,ROW()-3)))</f>
        <v/>
      </c>
      <c r="B50" s="29" t="str">
        <f>IF(ISNUMBER($X50),INDEX(Comenzi!$B:$B,$X50),"")</f>
        <v/>
      </c>
      <c r="C50" s="28" t="str">
        <f>IF($A50="","",INDEX('PI Furnizor'!$B:$B,ROW()-3)&amp;"")</f>
        <v/>
      </c>
      <c r="D50" s="28" t="str">
        <f>IF($A50="","",INDEX('PI Furnizor'!$C:$C,ROW()-3)&amp;"")</f>
        <v/>
      </c>
      <c r="E50" s="30" t="str">
        <f>IF($A50="","",N(INDEX('PI Furnizor'!$D:$D,ROW()-3)))</f>
        <v/>
      </c>
      <c r="F50" s="31" t="str">
        <f>IF(ISNUMBER($X50),INDEX(Comenzi!$G:$G,$X50),"")</f>
        <v/>
      </c>
      <c r="G50" s="32" t="str">
        <f>IF($A50="","",N(INDEX('PI Furnizor'!$E:$E,ROW()-3)))</f>
        <v/>
      </c>
      <c r="H50" s="33" t="str">
        <f t="shared" si="0"/>
        <v/>
      </c>
      <c r="I50" s="34" t="str">
        <f>IF($Y50&lt;&gt;1,"",IFERROR($AE50/INDEX(Comenzi!$AN:$AN,$X50),0))</f>
        <v/>
      </c>
      <c r="J50" s="33" t="str">
        <f>IF($Y50&lt;&gt;1,"",INDEX(Comenzi!$AG:$AG,$X50)*$I50/$E50)</f>
        <v/>
      </c>
      <c r="K50" s="33" t="str">
        <f t="shared" si="1"/>
        <v/>
      </c>
      <c r="L50" s="33" t="str">
        <f>IF($Y50&lt;&gt;1,"",$K50*$AD50+INDEX(Comenzi!$AJ:$AJ,$X50)*$I50/$E50)</f>
        <v/>
      </c>
      <c r="M50" s="33" t="str">
        <f t="shared" si="2"/>
        <v/>
      </c>
      <c r="N50" s="33" t="str">
        <f t="shared" si="3"/>
        <v/>
      </c>
      <c r="O50" s="33" t="str">
        <f>IF($Y50&lt;&gt;1,"",(INDEX(Comenzi!$AK:$AK,$X50)+N(INDEX(Comenzi!$T:$T,$X50)))*$I50/$E50)</f>
        <v/>
      </c>
      <c r="P50" s="35" t="str">
        <f t="shared" si="4"/>
        <v/>
      </c>
      <c r="Q50" s="36" t="str">
        <f t="shared" si="5"/>
        <v/>
      </c>
      <c r="R50" s="37" t="str">
        <f t="shared" si="6"/>
        <v/>
      </c>
      <c r="S50" s="38" t="str">
        <f t="shared" si="7"/>
        <v/>
      </c>
      <c r="T50" s="39" t="str">
        <f t="shared" si="8"/>
        <v/>
      </c>
      <c r="U50" s="40" t="str">
        <f t="shared" si="9"/>
        <v/>
      </c>
      <c r="V50" s="33" t="str">
        <f t="shared" si="10"/>
        <v/>
      </c>
      <c r="W50" s="33" t="str">
        <f t="shared" si="11"/>
        <v/>
      </c>
      <c r="X50" s="41" t="str">
        <f>IF($A50="","",IFERROR(MATCH($A50,Comenzi!$A$9:$A$108,0)+8,""))</f>
        <v/>
      </c>
      <c r="Y50" s="41" t="str">
        <f t="shared" si="12"/>
        <v/>
      </c>
      <c r="Z50" s="42" t="str">
        <f>IF($A50="","",IF($A50="?","Lipseste ID-ul comenzii (col. A din PI Furnizor)",IF(NOT(ISNUMBER($X50)),"ID comanda negasit in foaia Comenzi",IF(N($E50)&lt;=0,"Lipseste cantitatea",IF(N($G50)=0,"Pret unitar lipsa",IF($Y50&lt;&gt;1,"Curs sau moneda marfa lipsa (foaia Comenzi)",IF(INDEX(Comenzi!$AT:$AT,$X50)&lt;&gt;"OK","Avertisment comanda: "&amp;INDEX(Comenzi!$AT:$AT,$X50),"OK")))))))</f>
        <v/>
      </c>
      <c r="AA50" s="43" t="str">
        <f>IF(ISNUMBER($X50),INDEX(Comenzi!$H:$H,$X50),"")</f>
        <v/>
      </c>
      <c r="AB50" s="43" t="str">
        <f>IF(ISNUMBER($X50),INDEX(Comenzi!$I:$I,$X50),"")</f>
        <v/>
      </c>
      <c r="AC50" s="44" t="str">
        <f>IF(ISNUMBER($X50),IF(INDEX(Comenzi!$V:$V,$X50)="",Comenzi!$D$3,INDEX(Comenzi!$V:$V,$X50)),"")</f>
        <v/>
      </c>
      <c r="AD50" s="44" t="str">
        <f>IF(ISNUMBER($X50),IF(INDEX(Comenzi!$U:$U,$X50)="",Comenzi!$D$4,INDEX(Comenzi!$U:$U,$X50)),"")</f>
        <v/>
      </c>
      <c r="AE50" s="45" t="str">
        <f>IF($Y50&lt;&gt;1,"",IF(INDEX(Comenzi!$AM:$AM,$X50)="Greutate",INDEX('PI Furnizor'!$O:$O,ROW()-3),IF(INDEX(Comenzi!$AM:$AM,$X50)="Volum (CBM)",INDEX('PI Furnizor'!$Q:$Q,ROW()-3),IF(INDEX(Comenzi!$AM:$AM,$X50)="Valoare marfa",INDEX('PI Furnizor'!$N:$N,ROW()-3),$E50))))</f>
        <v/>
      </c>
    </row>
    <row r="51" spans="1:31" x14ac:dyDescent="0.3">
      <c r="A51" s="28" t="str">
        <f>IF(COUNTA(INDEX('PI Furnizor'!$A:$E,ROW()-3,0))=0,"",IF(INDEX('PI Furnizor'!$A:$A,ROW()-3)="","?",INDEX('PI Furnizor'!$A:$A,ROW()-3)))</f>
        <v/>
      </c>
      <c r="B51" s="29" t="str">
        <f>IF(ISNUMBER($X51),INDEX(Comenzi!$B:$B,$X51),"")</f>
        <v/>
      </c>
      <c r="C51" s="28" t="str">
        <f>IF($A51="","",INDEX('PI Furnizor'!$B:$B,ROW()-3)&amp;"")</f>
        <v/>
      </c>
      <c r="D51" s="28" t="str">
        <f>IF($A51="","",INDEX('PI Furnizor'!$C:$C,ROW()-3)&amp;"")</f>
        <v/>
      </c>
      <c r="E51" s="30" t="str">
        <f>IF($A51="","",N(INDEX('PI Furnizor'!$D:$D,ROW()-3)))</f>
        <v/>
      </c>
      <c r="F51" s="31" t="str">
        <f>IF(ISNUMBER($X51),INDEX(Comenzi!$G:$G,$X51),"")</f>
        <v/>
      </c>
      <c r="G51" s="32" t="str">
        <f>IF($A51="","",N(INDEX('PI Furnizor'!$E:$E,ROW()-3)))</f>
        <v/>
      </c>
      <c r="H51" s="33" t="str">
        <f t="shared" si="0"/>
        <v/>
      </c>
      <c r="I51" s="34" t="str">
        <f>IF($Y51&lt;&gt;1,"",IFERROR($AE51/INDEX(Comenzi!$AN:$AN,$X51),0))</f>
        <v/>
      </c>
      <c r="J51" s="33" t="str">
        <f>IF($Y51&lt;&gt;1,"",INDEX(Comenzi!$AG:$AG,$X51)*$I51/$E51)</f>
        <v/>
      </c>
      <c r="K51" s="33" t="str">
        <f t="shared" si="1"/>
        <v/>
      </c>
      <c r="L51" s="33" t="str">
        <f>IF($Y51&lt;&gt;1,"",$K51*$AD51+INDEX(Comenzi!$AJ:$AJ,$X51)*$I51/$E51)</f>
        <v/>
      </c>
      <c r="M51" s="33" t="str">
        <f t="shared" si="2"/>
        <v/>
      </c>
      <c r="N51" s="33" t="str">
        <f t="shared" si="3"/>
        <v/>
      </c>
      <c r="O51" s="33" t="str">
        <f>IF($Y51&lt;&gt;1,"",(INDEX(Comenzi!$AK:$AK,$X51)+N(INDEX(Comenzi!$T:$T,$X51)))*$I51/$E51)</f>
        <v/>
      </c>
      <c r="P51" s="35" t="str">
        <f t="shared" si="4"/>
        <v/>
      </c>
      <c r="Q51" s="36" t="str">
        <f t="shared" si="5"/>
        <v/>
      </c>
      <c r="R51" s="37" t="str">
        <f t="shared" si="6"/>
        <v/>
      </c>
      <c r="S51" s="38" t="str">
        <f t="shared" si="7"/>
        <v/>
      </c>
      <c r="T51" s="39" t="str">
        <f t="shared" si="8"/>
        <v/>
      </c>
      <c r="U51" s="40" t="str">
        <f t="shared" si="9"/>
        <v/>
      </c>
      <c r="V51" s="33" t="str">
        <f t="shared" si="10"/>
        <v/>
      </c>
      <c r="W51" s="33" t="str">
        <f t="shared" si="11"/>
        <v/>
      </c>
      <c r="X51" s="41" t="str">
        <f>IF($A51="","",IFERROR(MATCH($A51,Comenzi!$A$9:$A$108,0)+8,""))</f>
        <v/>
      </c>
      <c r="Y51" s="41" t="str">
        <f t="shared" si="12"/>
        <v/>
      </c>
      <c r="Z51" s="42" t="str">
        <f>IF($A51="","",IF($A51="?","Lipseste ID-ul comenzii (col. A din PI Furnizor)",IF(NOT(ISNUMBER($X51)),"ID comanda negasit in foaia Comenzi",IF(N($E51)&lt;=0,"Lipseste cantitatea",IF(N($G51)=0,"Pret unitar lipsa",IF($Y51&lt;&gt;1,"Curs sau moneda marfa lipsa (foaia Comenzi)",IF(INDEX(Comenzi!$AT:$AT,$X51)&lt;&gt;"OK","Avertisment comanda: "&amp;INDEX(Comenzi!$AT:$AT,$X51),"OK")))))))</f>
        <v/>
      </c>
      <c r="AA51" s="43" t="str">
        <f>IF(ISNUMBER($X51),INDEX(Comenzi!$H:$H,$X51),"")</f>
        <v/>
      </c>
      <c r="AB51" s="43" t="str">
        <f>IF(ISNUMBER($X51),INDEX(Comenzi!$I:$I,$X51),"")</f>
        <v/>
      </c>
      <c r="AC51" s="44" t="str">
        <f>IF(ISNUMBER($X51),IF(INDEX(Comenzi!$V:$V,$X51)="",Comenzi!$D$3,INDEX(Comenzi!$V:$V,$X51)),"")</f>
        <v/>
      </c>
      <c r="AD51" s="44" t="str">
        <f>IF(ISNUMBER($X51),IF(INDEX(Comenzi!$U:$U,$X51)="",Comenzi!$D$4,INDEX(Comenzi!$U:$U,$X51)),"")</f>
        <v/>
      </c>
      <c r="AE51" s="45" t="str">
        <f>IF($Y51&lt;&gt;1,"",IF(INDEX(Comenzi!$AM:$AM,$X51)="Greutate",INDEX('PI Furnizor'!$O:$O,ROW()-3),IF(INDEX(Comenzi!$AM:$AM,$X51)="Volum (CBM)",INDEX('PI Furnizor'!$Q:$Q,ROW()-3),IF(INDEX(Comenzi!$AM:$AM,$X51)="Valoare marfa",INDEX('PI Furnizor'!$N:$N,ROW()-3),$E51))))</f>
        <v/>
      </c>
    </row>
    <row r="52" spans="1:31" x14ac:dyDescent="0.3">
      <c r="A52" s="28" t="str">
        <f>IF(COUNTA(INDEX('PI Furnizor'!$A:$E,ROW()-3,0))=0,"",IF(INDEX('PI Furnizor'!$A:$A,ROW()-3)="","?",INDEX('PI Furnizor'!$A:$A,ROW()-3)))</f>
        <v/>
      </c>
      <c r="B52" s="29" t="str">
        <f>IF(ISNUMBER($X52),INDEX(Comenzi!$B:$B,$X52),"")</f>
        <v/>
      </c>
      <c r="C52" s="28" t="str">
        <f>IF($A52="","",INDEX('PI Furnizor'!$B:$B,ROW()-3)&amp;"")</f>
        <v/>
      </c>
      <c r="D52" s="28" t="str">
        <f>IF($A52="","",INDEX('PI Furnizor'!$C:$C,ROW()-3)&amp;"")</f>
        <v/>
      </c>
      <c r="E52" s="30" t="str">
        <f>IF($A52="","",N(INDEX('PI Furnizor'!$D:$D,ROW()-3)))</f>
        <v/>
      </c>
      <c r="F52" s="31" t="str">
        <f>IF(ISNUMBER($X52),INDEX(Comenzi!$G:$G,$X52),"")</f>
        <v/>
      </c>
      <c r="G52" s="32" t="str">
        <f>IF($A52="","",N(INDEX('PI Furnizor'!$E:$E,ROW()-3)))</f>
        <v/>
      </c>
      <c r="H52" s="33" t="str">
        <f t="shared" si="0"/>
        <v/>
      </c>
      <c r="I52" s="34" t="str">
        <f>IF($Y52&lt;&gt;1,"",IFERROR($AE52/INDEX(Comenzi!$AN:$AN,$X52),0))</f>
        <v/>
      </c>
      <c r="J52" s="33" t="str">
        <f>IF($Y52&lt;&gt;1,"",INDEX(Comenzi!$AG:$AG,$X52)*$I52/$E52)</f>
        <v/>
      </c>
      <c r="K52" s="33" t="str">
        <f t="shared" si="1"/>
        <v/>
      </c>
      <c r="L52" s="33" t="str">
        <f>IF($Y52&lt;&gt;1,"",$K52*$AD52+INDEX(Comenzi!$AJ:$AJ,$X52)*$I52/$E52)</f>
        <v/>
      </c>
      <c r="M52" s="33" t="str">
        <f t="shared" si="2"/>
        <v/>
      </c>
      <c r="N52" s="33" t="str">
        <f t="shared" si="3"/>
        <v/>
      </c>
      <c r="O52" s="33" t="str">
        <f>IF($Y52&lt;&gt;1,"",(INDEX(Comenzi!$AK:$AK,$X52)+N(INDEX(Comenzi!$T:$T,$X52)))*$I52/$E52)</f>
        <v/>
      </c>
      <c r="P52" s="35" t="str">
        <f t="shared" si="4"/>
        <v/>
      </c>
      <c r="Q52" s="36" t="str">
        <f t="shared" si="5"/>
        <v/>
      </c>
      <c r="R52" s="37" t="str">
        <f t="shared" si="6"/>
        <v/>
      </c>
      <c r="S52" s="38" t="str">
        <f t="shared" si="7"/>
        <v/>
      </c>
      <c r="T52" s="39" t="str">
        <f t="shared" si="8"/>
        <v/>
      </c>
      <c r="U52" s="40" t="str">
        <f t="shared" si="9"/>
        <v/>
      </c>
      <c r="V52" s="33" t="str">
        <f t="shared" si="10"/>
        <v/>
      </c>
      <c r="W52" s="33" t="str">
        <f t="shared" si="11"/>
        <v/>
      </c>
      <c r="X52" s="41" t="str">
        <f>IF($A52="","",IFERROR(MATCH($A52,Comenzi!$A$9:$A$108,0)+8,""))</f>
        <v/>
      </c>
      <c r="Y52" s="41" t="str">
        <f t="shared" si="12"/>
        <v/>
      </c>
      <c r="Z52" s="42" t="str">
        <f>IF($A52="","",IF($A52="?","Lipseste ID-ul comenzii (col. A din PI Furnizor)",IF(NOT(ISNUMBER($X52)),"ID comanda negasit in foaia Comenzi",IF(N($E52)&lt;=0,"Lipseste cantitatea",IF(N($G52)=0,"Pret unitar lipsa",IF($Y52&lt;&gt;1,"Curs sau moneda marfa lipsa (foaia Comenzi)",IF(INDEX(Comenzi!$AT:$AT,$X52)&lt;&gt;"OK","Avertisment comanda: "&amp;INDEX(Comenzi!$AT:$AT,$X52),"OK")))))))</f>
        <v/>
      </c>
      <c r="AA52" s="43" t="str">
        <f>IF(ISNUMBER($X52),INDEX(Comenzi!$H:$H,$X52),"")</f>
        <v/>
      </c>
      <c r="AB52" s="43" t="str">
        <f>IF(ISNUMBER($X52),INDEX(Comenzi!$I:$I,$X52),"")</f>
        <v/>
      </c>
      <c r="AC52" s="44" t="str">
        <f>IF(ISNUMBER($X52),IF(INDEX(Comenzi!$V:$V,$X52)="",Comenzi!$D$3,INDEX(Comenzi!$V:$V,$X52)),"")</f>
        <v/>
      </c>
      <c r="AD52" s="44" t="str">
        <f>IF(ISNUMBER($X52),IF(INDEX(Comenzi!$U:$U,$X52)="",Comenzi!$D$4,INDEX(Comenzi!$U:$U,$X52)),"")</f>
        <v/>
      </c>
      <c r="AE52" s="45" t="str">
        <f>IF($Y52&lt;&gt;1,"",IF(INDEX(Comenzi!$AM:$AM,$X52)="Greutate",INDEX('PI Furnizor'!$O:$O,ROW()-3),IF(INDEX(Comenzi!$AM:$AM,$X52)="Volum (CBM)",INDEX('PI Furnizor'!$Q:$Q,ROW()-3),IF(INDEX(Comenzi!$AM:$AM,$X52)="Valoare marfa",INDEX('PI Furnizor'!$N:$N,ROW()-3),$E52))))</f>
        <v/>
      </c>
    </row>
    <row r="53" spans="1:31" x14ac:dyDescent="0.3">
      <c r="A53" s="28" t="str">
        <f>IF(COUNTA(INDEX('PI Furnizor'!$A:$E,ROW()-3,0))=0,"",IF(INDEX('PI Furnizor'!$A:$A,ROW()-3)="","?",INDEX('PI Furnizor'!$A:$A,ROW()-3)))</f>
        <v/>
      </c>
      <c r="B53" s="29" t="str">
        <f>IF(ISNUMBER($X53),INDEX(Comenzi!$B:$B,$X53),"")</f>
        <v/>
      </c>
      <c r="C53" s="28" t="str">
        <f>IF($A53="","",INDEX('PI Furnizor'!$B:$B,ROW()-3)&amp;"")</f>
        <v/>
      </c>
      <c r="D53" s="28" t="str">
        <f>IF($A53="","",INDEX('PI Furnizor'!$C:$C,ROW()-3)&amp;"")</f>
        <v/>
      </c>
      <c r="E53" s="30" t="str">
        <f>IF($A53="","",N(INDEX('PI Furnizor'!$D:$D,ROW()-3)))</f>
        <v/>
      </c>
      <c r="F53" s="31" t="str">
        <f>IF(ISNUMBER($X53),INDEX(Comenzi!$G:$G,$X53),"")</f>
        <v/>
      </c>
      <c r="G53" s="32" t="str">
        <f>IF($A53="","",N(INDEX('PI Furnizor'!$E:$E,ROW()-3)))</f>
        <v/>
      </c>
      <c r="H53" s="33" t="str">
        <f t="shared" si="0"/>
        <v/>
      </c>
      <c r="I53" s="34" t="str">
        <f>IF($Y53&lt;&gt;1,"",IFERROR($AE53/INDEX(Comenzi!$AN:$AN,$X53),0))</f>
        <v/>
      </c>
      <c r="J53" s="33" t="str">
        <f>IF($Y53&lt;&gt;1,"",INDEX(Comenzi!$AG:$AG,$X53)*$I53/$E53)</f>
        <v/>
      </c>
      <c r="K53" s="33" t="str">
        <f t="shared" si="1"/>
        <v/>
      </c>
      <c r="L53" s="33" t="str">
        <f>IF($Y53&lt;&gt;1,"",$K53*$AD53+INDEX(Comenzi!$AJ:$AJ,$X53)*$I53/$E53)</f>
        <v/>
      </c>
      <c r="M53" s="33" t="str">
        <f t="shared" si="2"/>
        <v/>
      </c>
      <c r="N53" s="33" t="str">
        <f t="shared" si="3"/>
        <v/>
      </c>
      <c r="O53" s="33" t="str">
        <f>IF($Y53&lt;&gt;1,"",(INDEX(Comenzi!$AK:$AK,$X53)+N(INDEX(Comenzi!$T:$T,$X53)))*$I53/$E53)</f>
        <v/>
      </c>
      <c r="P53" s="35" t="str">
        <f t="shared" si="4"/>
        <v/>
      </c>
      <c r="Q53" s="36" t="str">
        <f t="shared" si="5"/>
        <v/>
      </c>
      <c r="R53" s="37" t="str">
        <f t="shared" si="6"/>
        <v/>
      </c>
      <c r="S53" s="38" t="str">
        <f t="shared" si="7"/>
        <v/>
      </c>
      <c r="T53" s="39" t="str">
        <f t="shared" si="8"/>
        <v/>
      </c>
      <c r="U53" s="40" t="str">
        <f t="shared" si="9"/>
        <v/>
      </c>
      <c r="V53" s="33" t="str">
        <f t="shared" si="10"/>
        <v/>
      </c>
      <c r="W53" s="33" t="str">
        <f t="shared" si="11"/>
        <v/>
      </c>
      <c r="X53" s="41" t="str">
        <f>IF($A53="","",IFERROR(MATCH($A53,Comenzi!$A$9:$A$108,0)+8,""))</f>
        <v/>
      </c>
      <c r="Y53" s="41" t="str">
        <f t="shared" si="12"/>
        <v/>
      </c>
      <c r="Z53" s="42" t="str">
        <f>IF($A53="","",IF($A53="?","Lipseste ID-ul comenzii (col. A din PI Furnizor)",IF(NOT(ISNUMBER($X53)),"ID comanda negasit in foaia Comenzi",IF(N($E53)&lt;=0,"Lipseste cantitatea",IF(N($G53)=0,"Pret unitar lipsa",IF($Y53&lt;&gt;1,"Curs sau moneda marfa lipsa (foaia Comenzi)",IF(INDEX(Comenzi!$AT:$AT,$X53)&lt;&gt;"OK","Avertisment comanda: "&amp;INDEX(Comenzi!$AT:$AT,$X53),"OK")))))))</f>
        <v/>
      </c>
      <c r="AA53" s="43" t="str">
        <f>IF(ISNUMBER($X53),INDEX(Comenzi!$H:$H,$X53),"")</f>
        <v/>
      </c>
      <c r="AB53" s="43" t="str">
        <f>IF(ISNUMBER($X53),INDEX(Comenzi!$I:$I,$X53),"")</f>
        <v/>
      </c>
      <c r="AC53" s="44" t="str">
        <f>IF(ISNUMBER($X53),IF(INDEX(Comenzi!$V:$V,$X53)="",Comenzi!$D$3,INDEX(Comenzi!$V:$V,$X53)),"")</f>
        <v/>
      </c>
      <c r="AD53" s="44" t="str">
        <f>IF(ISNUMBER($X53),IF(INDEX(Comenzi!$U:$U,$X53)="",Comenzi!$D$4,INDEX(Comenzi!$U:$U,$X53)),"")</f>
        <v/>
      </c>
      <c r="AE53" s="45" t="str">
        <f>IF($Y53&lt;&gt;1,"",IF(INDEX(Comenzi!$AM:$AM,$X53)="Greutate",INDEX('PI Furnizor'!$O:$O,ROW()-3),IF(INDEX(Comenzi!$AM:$AM,$X53)="Volum (CBM)",INDEX('PI Furnizor'!$Q:$Q,ROW()-3),IF(INDEX(Comenzi!$AM:$AM,$X53)="Valoare marfa",INDEX('PI Furnizor'!$N:$N,ROW()-3),$E53))))</f>
        <v/>
      </c>
    </row>
    <row r="54" spans="1:31" x14ac:dyDescent="0.3">
      <c r="A54" s="28" t="str">
        <f>IF(COUNTA(INDEX('PI Furnizor'!$A:$E,ROW()-3,0))=0,"",IF(INDEX('PI Furnizor'!$A:$A,ROW()-3)="","?",INDEX('PI Furnizor'!$A:$A,ROW()-3)))</f>
        <v/>
      </c>
      <c r="B54" s="29" t="str">
        <f>IF(ISNUMBER($X54),INDEX(Comenzi!$B:$B,$X54),"")</f>
        <v/>
      </c>
      <c r="C54" s="28" t="str">
        <f>IF($A54="","",INDEX('PI Furnizor'!$B:$B,ROW()-3)&amp;"")</f>
        <v/>
      </c>
      <c r="D54" s="28" t="str">
        <f>IF($A54="","",INDEX('PI Furnizor'!$C:$C,ROW()-3)&amp;"")</f>
        <v/>
      </c>
      <c r="E54" s="30" t="str">
        <f>IF($A54="","",N(INDEX('PI Furnizor'!$D:$D,ROW()-3)))</f>
        <v/>
      </c>
      <c r="F54" s="31" t="str">
        <f>IF(ISNUMBER($X54),INDEX(Comenzi!$G:$G,$X54),"")</f>
        <v/>
      </c>
      <c r="G54" s="32" t="str">
        <f>IF($A54="","",N(INDEX('PI Furnizor'!$E:$E,ROW()-3)))</f>
        <v/>
      </c>
      <c r="H54" s="33" t="str">
        <f t="shared" si="0"/>
        <v/>
      </c>
      <c r="I54" s="34" t="str">
        <f>IF($Y54&lt;&gt;1,"",IFERROR($AE54/INDEX(Comenzi!$AN:$AN,$X54),0))</f>
        <v/>
      </c>
      <c r="J54" s="33" t="str">
        <f>IF($Y54&lt;&gt;1,"",INDEX(Comenzi!$AG:$AG,$X54)*$I54/$E54)</f>
        <v/>
      </c>
      <c r="K54" s="33" t="str">
        <f t="shared" si="1"/>
        <v/>
      </c>
      <c r="L54" s="33" t="str">
        <f>IF($Y54&lt;&gt;1,"",$K54*$AD54+INDEX(Comenzi!$AJ:$AJ,$X54)*$I54/$E54)</f>
        <v/>
      </c>
      <c r="M54" s="33" t="str">
        <f t="shared" si="2"/>
        <v/>
      </c>
      <c r="N54" s="33" t="str">
        <f t="shared" si="3"/>
        <v/>
      </c>
      <c r="O54" s="33" t="str">
        <f>IF($Y54&lt;&gt;1,"",(INDEX(Comenzi!$AK:$AK,$X54)+N(INDEX(Comenzi!$T:$T,$X54)))*$I54/$E54)</f>
        <v/>
      </c>
      <c r="P54" s="35" t="str">
        <f t="shared" si="4"/>
        <v/>
      </c>
      <c r="Q54" s="36" t="str">
        <f t="shared" si="5"/>
        <v/>
      </c>
      <c r="R54" s="37" t="str">
        <f t="shared" si="6"/>
        <v/>
      </c>
      <c r="S54" s="38" t="str">
        <f t="shared" si="7"/>
        <v/>
      </c>
      <c r="T54" s="39" t="str">
        <f t="shared" si="8"/>
        <v/>
      </c>
      <c r="U54" s="40" t="str">
        <f t="shared" si="9"/>
        <v/>
      </c>
      <c r="V54" s="33" t="str">
        <f t="shared" si="10"/>
        <v/>
      </c>
      <c r="W54" s="33" t="str">
        <f t="shared" si="11"/>
        <v/>
      </c>
      <c r="X54" s="41" t="str">
        <f>IF($A54="","",IFERROR(MATCH($A54,Comenzi!$A$9:$A$108,0)+8,""))</f>
        <v/>
      </c>
      <c r="Y54" s="41" t="str">
        <f t="shared" si="12"/>
        <v/>
      </c>
      <c r="Z54" s="42" t="str">
        <f>IF($A54="","",IF($A54="?","Lipseste ID-ul comenzii (col. A din PI Furnizor)",IF(NOT(ISNUMBER($X54)),"ID comanda negasit in foaia Comenzi",IF(N($E54)&lt;=0,"Lipseste cantitatea",IF(N($G54)=0,"Pret unitar lipsa",IF($Y54&lt;&gt;1,"Curs sau moneda marfa lipsa (foaia Comenzi)",IF(INDEX(Comenzi!$AT:$AT,$X54)&lt;&gt;"OK","Avertisment comanda: "&amp;INDEX(Comenzi!$AT:$AT,$X54),"OK")))))))</f>
        <v/>
      </c>
      <c r="AA54" s="43" t="str">
        <f>IF(ISNUMBER($X54),INDEX(Comenzi!$H:$H,$X54),"")</f>
        <v/>
      </c>
      <c r="AB54" s="43" t="str">
        <f>IF(ISNUMBER($X54),INDEX(Comenzi!$I:$I,$X54),"")</f>
        <v/>
      </c>
      <c r="AC54" s="44" t="str">
        <f>IF(ISNUMBER($X54),IF(INDEX(Comenzi!$V:$V,$X54)="",Comenzi!$D$3,INDEX(Comenzi!$V:$V,$X54)),"")</f>
        <v/>
      </c>
      <c r="AD54" s="44" t="str">
        <f>IF(ISNUMBER($X54),IF(INDEX(Comenzi!$U:$U,$X54)="",Comenzi!$D$4,INDEX(Comenzi!$U:$U,$X54)),"")</f>
        <v/>
      </c>
      <c r="AE54" s="45" t="str">
        <f>IF($Y54&lt;&gt;1,"",IF(INDEX(Comenzi!$AM:$AM,$X54)="Greutate",INDEX('PI Furnizor'!$O:$O,ROW()-3),IF(INDEX(Comenzi!$AM:$AM,$X54)="Volum (CBM)",INDEX('PI Furnizor'!$Q:$Q,ROW()-3),IF(INDEX(Comenzi!$AM:$AM,$X54)="Valoare marfa",INDEX('PI Furnizor'!$N:$N,ROW()-3),$E54))))</f>
        <v/>
      </c>
    </row>
    <row r="55" spans="1:31" x14ac:dyDescent="0.3">
      <c r="A55" s="28" t="str">
        <f>IF(COUNTA(INDEX('PI Furnizor'!$A:$E,ROW()-3,0))=0,"",IF(INDEX('PI Furnizor'!$A:$A,ROW()-3)="","?",INDEX('PI Furnizor'!$A:$A,ROW()-3)))</f>
        <v/>
      </c>
      <c r="B55" s="29" t="str">
        <f>IF(ISNUMBER($X55),INDEX(Comenzi!$B:$B,$X55),"")</f>
        <v/>
      </c>
      <c r="C55" s="28" t="str">
        <f>IF($A55="","",INDEX('PI Furnizor'!$B:$B,ROW()-3)&amp;"")</f>
        <v/>
      </c>
      <c r="D55" s="28" t="str">
        <f>IF($A55="","",INDEX('PI Furnizor'!$C:$C,ROW()-3)&amp;"")</f>
        <v/>
      </c>
      <c r="E55" s="30" t="str">
        <f>IF($A55="","",N(INDEX('PI Furnizor'!$D:$D,ROW()-3)))</f>
        <v/>
      </c>
      <c r="F55" s="31" t="str">
        <f>IF(ISNUMBER($X55),INDEX(Comenzi!$G:$G,$X55),"")</f>
        <v/>
      </c>
      <c r="G55" s="32" t="str">
        <f>IF($A55="","",N(INDEX('PI Furnizor'!$E:$E,ROW()-3)))</f>
        <v/>
      </c>
      <c r="H55" s="33" t="str">
        <f t="shared" si="0"/>
        <v/>
      </c>
      <c r="I55" s="34" t="str">
        <f>IF($Y55&lt;&gt;1,"",IFERROR($AE55/INDEX(Comenzi!$AN:$AN,$X55),0))</f>
        <v/>
      </c>
      <c r="J55" s="33" t="str">
        <f>IF($Y55&lt;&gt;1,"",INDEX(Comenzi!$AG:$AG,$X55)*$I55/$E55)</f>
        <v/>
      </c>
      <c r="K55" s="33" t="str">
        <f t="shared" si="1"/>
        <v/>
      </c>
      <c r="L55" s="33" t="str">
        <f>IF($Y55&lt;&gt;1,"",$K55*$AD55+INDEX(Comenzi!$AJ:$AJ,$X55)*$I55/$E55)</f>
        <v/>
      </c>
      <c r="M55" s="33" t="str">
        <f t="shared" si="2"/>
        <v/>
      </c>
      <c r="N55" s="33" t="str">
        <f t="shared" si="3"/>
        <v/>
      </c>
      <c r="O55" s="33" t="str">
        <f>IF($Y55&lt;&gt;1,"",(INDEX(Comenzi!$AK:$AK,$X55)+N(INDEX(Comenzi!$T:$T,$X55)))*$I55/$E55)</f>
        <v/>
      </c>
      <c r="P55" s="35" t="str">
        <f t="shared" si="4"/>
        <v/>
      </c>
      <c r="Q55" s="36" t="str">
        <f t="shared" si="5"/>
        <v/>
      </c>
      <c r="R55" s="37" t="str">
        <f t="shared" si="6"/>
        <v/>
      </c>
      <c r="S55" s="38" t="str">
        <f t="shared" si="7"/>
        <v/>
      </c>
      <c r="T55" s="39" t="str">
        <f t="shared" si="8"/>
        <v/>
      </c>
      <c r="U55" s="40" t="str">
        <f t="shared" si="9"/>
        <v/>
      </c>
      <c r="V55" s="33" t="str">
        <f t="shared" si="10"/>
        <v/>
      </c>
      <c r="W55" s="33" t="str">
        <f t="shared" si="11"/>
        <v/>
      </c>
      <c r="X55" s="41" t="str">
        <f>IF($A55="","",IFERROR(MATCH($A55,Comenzi!$A$9:$A$108,0)+8,""))</f>
        <v/>
      </c>
      <c r="Y55" s="41" t="str">
        <f t="shared" si="12"/>
        <v/>
      </c>
      <c r="Z55" s="42" t="str">
        <f>IF($A55="","",IF($A55="?","Lipseste ID-ul comenzii (col. A din PI Furnizor)",IF(NOT(ISNUMBER($X55)),"ID comanda negasit in foaia Comenzi",IF(N($E55)&lt;=0,"Lipseste cantitatea",IF(N($G55)=0,"Pret unitar lipsa",IF($Y55&lt;&gt;1,"Curs sau moneda marfa lipsa (foaia Comenzi)",IF(INDEX(Comenzi!$AT:$AT,$X55)&lt;&gt;"OK","Avertisment comanda: "&amp;INDEX(Comenzi!$AT:$AT,$X55),"OK")))))))</f>
        <v/>
      </c>
      <c r="AA55" s="43" t="str">
        <f>IF(ISNUMBER($X55),INDEX(Comenzi!$H:$H,$X55),"")</f>
        <v/>
      </c>
      <c r="AB55" s="43" t="str">
        <f>IF(ISNUMBER($X55),INDEX(Comenzi!$I:$I,$X55),"")</f>
        <v/>
      </c>
      <c r="AC55" s="44" t="str">
        <f>IF(ISNUMBER($X55),IF(INDEX(Comenzi!$V:$V,$X55)="",Comenzi!$D$3,INDEX(Comenzi!$V:$V,$X55)),"")</f>
        <v/>
      </c>
      <c r="AD55" s="44" t="str">
        <f>IF(ISNUMBER($X55),IF(INDEX(Comenzi!$U:$U,$X55)="",Comenzi!$D$4,INDEX(Comenzi!$U:$U,$X55)),"")</f>
        <v/>
      </c>
      <c r="AE55" s="45" t="str">
        <f>IF($Y55&lt;&gt;1,"",IF(INDEX(Comenzi!$AM:$AM,$X55)="Greutate",INDEX('PI Furnizor'!$O:$O,ROW()-3),IF(INDEX(Comenzi!$AM:$AM,$X55)="Volum (CBM)",INDEX('PI Furnizor'!$Q:$Q,ROW()-3),IF(INDEX(Comenzi!$AM:$AM,$X55)="Valoare marfa",INDEX('PI Furnizor'!$N:$N,ROW()-3),$E55))))</f>
        <v/>
      </c>
    </row>
    <row r="56" spans="1:31" x14ac:dyDescent="0.3">
      <c r="A56" s="28" t="str">
        <f>IF(COUNTA(INDEX('PI Furnizor'!$A:$E,ROW()-3,0))=0,"",IF(INDEX('PI Furnizor'!$A:$A,ROW()-3)="","?",INDEX('PI Furnizor'!$A:$A,ROW()-3)))</f>
        <v/>
      </c>
      <c r="B56" s="29" t="str">
        <f>IF(ISNUMBER($X56),INDEX(Comenzi!$B:$B,$X56),"")</f>
        <v/>
      </c>
      <c r="C56" s="28" t="str">
        <f>IF($A56="","",INDEX('PI Furnizor'!$B:$B,ROW()-3)&amp;"")</f>
        <v/>
      </c>
      <c r="D56" s="28" t="str">
        <f>IF($A56="","",INDEX('PI Furnizor'!$C:$C,ROW()-3)&amp;"")</f>
        <v/>
      </c>
      <c r="E56" s="30" t="str">
        <f>IF($A56="","",N(INDEX('PI Furnizor'!$D:$D,ROW()-3)))</f>
        <v/>
      </c>
      <c r="F56" s="31" t="str">
        <f>IF(ISNUMBER($X56),INDEX(Comenzi!$G:$G,$X56),"")</f>
        <v/>
      </c>
      <c r="G56" s="32" t="str">
        <f>IF($A56="","",N(INDEX('PI Furnizor'!$E:$E,ROW()-3)))</f>
        <v/>
      </c>
      <c r="H56" s="33" t="str">
        <f t="shared" si="0"/>
        <v/>
      </c>
      <c r="I56" s="34" t="str">
        <f>IF($Y56&lt;&gt;1,"",IFERROR($AE56/INDEX(Comenzi!$AN:$AN,$X56),0))</f>
        <v/>
      </c>
      <c r="J56" s="33" t="str">
        <f>IF($Y56&lt;&gt;1,"",INDEX(Comenzi!$AG:$AG,$X56)*$I56/$E56)</f>
        <v/>
      </c>
      <c r="K56" s="33" t="str">
        <f t="shared" si="1"/>
        <v/>
      </c>
      <c r="L56" s="33" t="str">
        <f>IF($Y56&lt;&gt;1,"",$K56*$AD56+INDEX(Comenzi!$AJ:$AJ,$X56)*$I56/$E56)</f>
        <v/>
      </c>
      <c r="M56" s="33" t="str">
        <f t="shared" si="2"/>
        <v/>
      </c>
      <c r="N56" s="33" t="str">
        <f t="shared" si="3"/>
        <v/>
      </c>
      <c r="O56" s="33" t="str">
        <f>IF($Y56&lt;&gt;1,"",(INDEX(Comenzi!$AK:$AK,$X56)+N(INDEX(Comenzi!$T:$T,$X56)))*$I56/$E56)</f>
        <v/>
      </c>
      <c r="P56" s="35" t="str">
        <f t="shared" si="4"/>
        <v/>
      </c>
      <c r="Q56" s="36" t="str">
        <f t="shared" si="5"/>
        <v/>
      </c>
      <c r="R56" s="37" t="str">
        <f t="shared" si="6"/>
        <v/>
      </c>
      <c r="S56" s="38" t="str">
        <f t="shared" si="7"/>
        <v/>
      </c>
      <c r="T56" s="39" t="str">
        <f t="shared" si="8"/>
        <v/>
      </c>
      <c r="U56" s="40" t="str">
        <f t="shared" si="9"/>
        <v/>
      </c>
      <c r="V56" s="33" t="str">
        <f t="shared" si="10"/>
        <v/>
      </c>
      <c r="W56" s="33" t="str">
        <f t="shared" si="11"/>
        <v/>
      </c>
      <c r="X56" s="41" t="str">
        <f>IF($A56="","",IFERROR(MATCH($A56,Comenzi!$A$9:$A$108,0)+8,""))</f>
        <v/>
      </c>
      <c r="Y56" s="41" t="str">
        <f t="shared" si="12"/>
        <v/>
      </c>
      <c r="Z56" s="42" t="str">
        <f>IF($A56="","",IF($A56="?","Lipseste ID-ul comenzii (col. A din PI Furnizor)",IF(NOT(ISNUMBER($X56)),"ID comanda negasit in foaia Comenzi",IF(N($E56)&lt;=0,"Lipseste cantitatea",IF(N($G56)=0,"Pret unitar lipsa",IF($Y56&lt;&gt;1,"Curs sau moneda marfa lipsa (foaia Comenzi)",IF(INDEX(Comenzi!$AT:$AT,$X56)&lt;&gt;"OK","Avertisment comanda: "&amp;INDEX(Comenzi!$AT:$AT,$X56),"OK")))))))</f>
        <v/>
      </c>
      <c r="AA56" s="43" t="str">
        <f>IF(ISNUMBER($X56),INDEX(Comenzi!$H:$H,$X56),"")</f>
        <v/>
      </c>
      <c r="AB56" s="43" t="str">
        <f>IF(ISNUMBER($X56),INDEX(Comenzi!$I:$I,$X56),"")</f>
        <v/>
      </c>
      <c r="AC56" s="44" t="str">
        <f>IF(ISNUMBER($X56),IF(INDEX(Comenzi!$V:$V,$X56)="",Comenzi!$D$3,INDEX(Comenzi!$V:$V,$X56)),"")</f>
        <v/>
      </c>
      <c r="AD56" s="44" t="str">
        <f>IF(ISNUMBER($X56),IF(INDEX(Comenzi!$U:$U,$X56)="",Comenzi!$D$4,INDEX(Comenzi!$U:$U,$X56)),"")</f>
        <v/>
      </c>
      <c r="AE56" s="45" t="str">
        <f>IF($Y56&lt;&gt;1,"",IF(INDEX(Comenzi!$AM:$AM,$X56)="Greutate",INDEX('PI Furnizor'!$O:$O,ROW()-3),IF(INDEX(Comenzi!$AM:$AM,$X56)="Volum (CBM)",INDEX('PI Furnizor'!$Q:$Q,ROW()-3),IF(INDEX(Comenzi!$AM:$AM,$X56)="Valoare marfa",INDEX('PI Furnizor'!$N:$N,ROW()-3),$E56))))</f>
        <v/>
      </c>
    </row>
    <row r="57" spans="1:31" x14ac:dyDescent="0.3">
      <c r="A57" s="28" t="str">
        <f>IF(COUNTA(INDEX('PI Furnizor'!$A:$E,ROW()-3,0))=0,"",IF(INDEX('PI Furnizor'!$A:$A,ROW()-3)="","?",INDEX('PI Furnizor'!$A:$A,ROW()-3)))</f>
        <v/>
      </c>
      <c r="B57" s="29" t="str">
        <f>IF(ISNUMBER($X57),INDEX(Comenzi!$B:$B,$X57),"")</f>
        <v/>
      </c>
      <c r="C57" s="28" t="str">
        <f>IF($A57="","",INDEX('PI Furnizor'!$B:$B,ROW()-3)&amp;"")</f>
        <v/>
      </c>
      <c r="D57" s="28" t="str">
        <f>IF($A57="","",INDEX('PI Furnizor'!$C:$C,ROW()-3)&amp;"")</f>
        <v/>
      </c>
      <c r="E57" s="30" t="str">
        <f>IF($A57="","",N(INDEX('PI Furnizor'!$D:$D,ROW()-3)))</f>
        <v/>
      </c>
      <c r="F57" s="31" t="str">
        <f>IF(ISNUMBER($X57),INDEX(Comenzi!$G:$G,$X57),"")</f>
        <v/>
      </c>
      <c r="G57" s="32" t="str">
        <f>IF($A57="","",N(INDEX('PI Furnizor'!$E:$E,ROW()-3)))</f>
        <v/>
      </c>
      <c r="H57" s="33" t="str">
        <f t="shared" si="0"/>
        <v/>
      </c>
      <c r="I57" s="34" t="str">
        <f>IF($Y57&lt;&gt;1,"",IFERROR($AE57/INDEX(Comenzi!$AN:$AN,$X57),0))</f>
        <v/>
      </c>
      <c r="J57" s="33" t="str">
        <f>IF($Y57&lt;&gt;1,"",INDEX(Comenzi!$AG:$AG,$X57)*$I57/$E57)</f>
        <v/>
      </c>
      <c r="K57" s="33" t="str">
        <f t="shared" si="1"/>
        <v/>
      </c>
      <c r="L57" s="33" t="str">
        <f>IF($Y57&lt;&gt;1,"",$K57*$AD57+INDEX(Comenzi!$AJ:$AJ,$X57)*$I57/$E57)</f>
        <v/>
      </c>
      <c r="M57" s="33" t="str">
        <f t="shared" si="2"/>
        <v/>
      </c>
      <c r="N57" s="33" t="str">
        <f t="shared" si="3"/>
        <v/>
      </c>
      <c r="O57" s="33" t="str">
        <f>IF($Y57&lt;&gt;1,"",(INDEX(Comenzi!$AK:$AK,$X57)+N(INDEX(Comenzi!$T:$T,$X57)))*$I57/$E57)</f>
        <v/>
      </c>
      <c r="P57" s="35" t="str">
        <f t="shared" si="4"/>
        <v/>
      </c>
      <c r="Q57" s="36" t="str">
        <f t="shared" si="5"/>
        <v/>
      </c>
      <c r="R57" s="37" t="str">
        <f t="shared" si="6"/>
        <v/>
      </c>
      <c r="S57" s="38" t="str">
        <f t="shared" si="7"/>
        <v/>
      </c>
      <c r="T57" s="39" t="str">
        <f t="shared" si="8"/>
        <v/>
      </c>
      <c r="U57" s="40" t="str">
        <f t="shared" si="9"/>
        <v/>
      </c>
      <c r="V57" s="33" t="str">
        <f t="shared" si="10"/>
        <v/>
      </c>
      <c r="W57" s="33" t="str">
        <f t="shared" si="11"/>
        <v/>
      </c>
      <c r="X57" s="41" t="str">
        <f>IF($A57="","",IFERROR(MATCH($A57,Comenzi!$A$9:$A$108,0)+8,""))</f>
        <v/>
      </c>
      <c r="Y57" s="41" t="str">
        <f t="shared" si="12"/>
        <v/>
      </c>
      <c r="Z57" s="42" t="str">
        <f>IF($A57="","",IF($A57="?","Lipseste ID-ul comenzii (col. A din PI Furnizor)",IF(NOT(ISNUMBER($X57)),"ID comanda negasit in foaia Comenzi",IF(N($E57)&lt;=0,"Lipseste cantitatea",IF(N($G57)=0,"Pret unitar lipsa",IF($Y57&lt;&gt;1,"Curs sau moneda marfa lipsa (foaia Comenzi)",IF(INDEX(Comenzi!$AT:$AT,$X57)&lt;&gt;"OK","Avertisment comanda: "&amp;INDEX(Comenzi!$AT:$AT,$X57),"OK")))))))</f>
        <v/>
      </c>
      <c r="AA57" s="43" t="str">
        <f>IF(ISNUMBER($X57),INDEX(Comenzi!$H:$H,$X57),"")</f>
        <v/>
      </c>
      <c r="AB57" s="43" t="str">
        <f>IF(ISNUMBER($X57),INDEX(Comenzi!$I:$I,$X57),"")</f>
        <v/>
      </c>
      <c r="AC57" s="44" t="str">
        <f>IF(ISNUMBER($X57),IF(INDEX(Comenzi!$V:$V,$X57)="",Comenzi!$D$3,INDEX(Comenzi!$V:$V,$X57)),"")</f>
        <v/>
      </c>
      <c r="AD57" s="44" t="str">
        <f>IF(ISNUMBER($X57),IF(INDEX(Comenzi!$U:$U,$X57)="",Comenzi!$D$4,INDEX(Comenzi!$U:$U,$X57)),"")</f>
        <v/>
      </c>
      <c r="AE57" s="45" t="str">
        <f>IF($Y57&lt;&gt;1,"",IF(INDEX(Comenzi!$AM:$AM,$X57)="Greutate",INDEX('PI Furnizor'!$O:$O,ROW()-3),IF(INDEX(Comenzi!$AM:$AM,$X57)="Volum (CBM)",INDEX('PI Furnizor'!$Q:$Q,ROW()-3),IF(INDEX(Comenzi!$AM:$AM,$X57)="Valoare marfa",INDEX('PI Furnizor'!$N:$N,ROW()-3),$E57))))</f>
        <v/>
      </c>
    </row>
    <row r="58" spans="1:31" x14ac:dyDescent="0.3">
      <c r="A58" s="28" t="str">
        <f>IF(COUNTA(INDEX('PI Furnizor'!$A:$E,ROW()-3,0))=0,"",IF(INDEX('PI Furnizor'!$A:$A,ROW()-3)="","?",INDEX('PI Furnizor'!$A:$A,ROW()-3)))</f>
        <v/>
      </c>
      <c r="B58" s="29" t="str">
        <f>IF(ISNUMBER($X58),INDEX(Comenzi!$B:$B,$X58),"")</f>
        <v/>
      </c>
      <c r="C58" s="28" t="str">
        <f>IF($A58="","",INDEX('PI Furnizor'!$B:$B,ROW()-3)&amp;"")</f>
        <v/>
      </c>
      <c r="D58" s="28" t="str">
        <f>IF($A58="","",INDEX('PI Furnizor'!$C:$C,ROW()-3)&amp;"")</f>
        <v/>
      </c>
      <c r="E58" s="30" t="str">
        <f>IF($A58="","",N(INDEX('PI Furnizor'!$D:$D,ROW()-3)))</f>
        <v/>
      </c>
      <c r="F58" s="31" t="str">
        <f>IF(ISNUMBER($X58),INDEX(Comenzi!$G:$G,$X58),"")</f>
        <v/>
      </c>
      <c r="G58" s="32" t="str">
        <f>IF($A58="","",N(INDEX('PI Furnizor'!$E:$E,ROW()-3)))</f>
        <v/>
      </c>
      <c r="H58" s="33" t="str">
        <f t="shared" si="0"/>
        <v/>
      </c>
      <c r="I58" s="34" t="str">
        <f>IF($Y58&lt;&gt;1,"",IFERROR($AE58/INDEX(Comenzi!$AN:$AN,$X58),0))</f>
        <v/>
      </c>
      <c r="J58" s="33" t="str">
        <f>IF($Y58&lt;&gt;1,"",INDEX(Comenzi!$AG:$AG,$X58)*$I58/$E58)</f>
        <v/>
      </c>
      <c r="K58" s="33" t="str">
        <f t="shared" si="1"/>
        <v/>
      </c>
      <c r="L58" s="33" t="str">
        <f>IF($Y58&lt;&gt;1,"",$K58*$AD58+INDEX(Comenzi!$AJ:$AJ,$X58)*$I58/$E58)</f>
        <v/>
      </c>
      <c r="M58" s="33" t="str">
        <f t="shared" si="2"/>
        <v/>
      </c>
      <c r="N58" s="33" t="str">
        <f t="shared" si="3"/>
        <v/>
      </c>
      <c r="O58" s="33" t="str">
        <f>IF($Y58&lt;&gt;1,"",(INDEX(Comenzi!$AK:$AK,$X58)+N(INDEX(Comenzi!$T:$T,$X58)))*$I58/$E58)</f>
        <v/>
      </c>
      <c r="P58" s="35" t="str">
        <f t="shared" si="4"/>
        <v/>
      </c>
      <c r="Q58" s="36" t="str">
        <f t="shared" si="5"/>
        <v/>
      </c>
      <c r="R58" s="37" t="str">
        <f t="shared" si="6"/>
        <v/>
      </c>
      <c r="S58" s="38" t="str">
        <f t="shared" si="7"/>
        <v/>
      </c>
      <c r="T58" s="39" t="str">
        <f t="shared" si="8"/>
        <v/>
      </c>
      <c r="U58" s="40" t="str">
        <f t="shared" si="9"/>
        <v/>
      </c>
      <c r="V58" s="33" t="str">
        <f t="shared" si="10"/>
        <v/>
      </c>
      <c r="W58" s="33" t="str">
        <f t="shared" si="11"/>
        <v/>
      </c>
      <c r="X58" s="41" t="str">
        <f>IF($A58="","",IFERROR(MATCH($A58,Comenzi!$A$9:$A$108,0)+8,""))</f>
        <v/>
      </c>
      <c r="Y58" s="41" t="str">
        <f t="shared" si="12"/>
        <v/>
      </c>
      <c r="Z58" s="42" t="str">
        <f>IF($A58="","",IF($A58="?","Lipseste ID-ul comenzii (col. A din PI Furnizor)",IF(NOT(ISNUMBER($X58)),"ID comanda negasit in foaia Comenzi",IF(N($E58)&lt;=0,"Lipseste cantitatea",IF(N($G58)=0,"Pret unitar lipsa",IF($Y58&lt;&gt;1,"Curs sau moneda marfa lipsa (foaia Comenzi)",IF(INDEX(Comenzi!$AT:$AT,$X58)&lt;&gt;"OK","Avertisment comanda: "&amp;INDEX(Comenzi!$AT:$AT,$X58),"OK")))))))</f>
        <v/>
      </c>
      <c r="AA58" s="43" t="str">
        <f>IF(ISNUMBER($X58),INDEX(Comenzi!$H:$H,$X58),"")</f>
        <v/>
      </c>
      <c r="AB58" s="43" t="str">
        <f>IF(ISNUMBER($X58),INDEX(Comenzi!$I:$I,$X58),"")</f>
        <v/>
      </c>
      <c r="AC58" s="44" t="str">
        <f>IF(ISNUMBER($X58),IF(INDEX(Comenzi!$V:$V,$X58)="",Comenzi!$D$3,INDEX(Comenzi!$V:$V,$X58)),"")</f>
        <v/>
      </c>
      <c r="AD58" s="44" t="str">
        <f>IF(ISNUMBER($X58),IF(INDEX(Comenzi!$U:$U,$X58)="",Comenzi!$D$4,INDEX(Comenzi!$U:$U,$X58)),"")</f>
        <v/>
      </c>
      <c r="AE58" s="45" t="str">
        <f>IF($Y58&lt;&gt;1,"",IF(INDEX(Comenzi!$AM:$AM,$X58)="Greutate",INDEX('PI Furnizor'!$O:$O,ROW()-3),IF(INDEX(Comenzi!$AM:$AM,$X58)="Volum (CBM)",INDEX('PI Furnizor'!$Q:$Q,ROW()-3),IF(INDEX(Comenzi!$AM:$AM,$X58)="Valoare marfa",INDEX('PI Furnizor'!$N:$N,ROW()-3),$E58))))</f>
        <v/>
      </c>
    </row>
    <row r="59" spans="1:31" x14ac:dyDescent="0.3">
      <c r="A59" s="28" t="str">
        <f>IF(COUNTA(INDEX('PI Furnizor'!$A:$E,ROW()-3,0))=0,"",IF(INDEX('PI Furnizor'!$A:$A,ROW()-3)="","?",INDEX('PI Furnizor'!$A:$A,ROW()-3)))</f>
        <v/>
      </c>
      <c r="B59" s="29" t="str">
        <f>IF(ISNUMBER($X59),INDEX(Comenzi!$B:$B,$X59),"")</f>
        <v/>
      </c>
      <c r="C59" s="28" t="str">
        <f>IF($A59="","",INDEX('PI Furnizor'!$B:$B,ROW()-3)&amp;"")</f>
        <v/>
      </c>
      <c r="D59" s="28" t="str">
        <f>IF($A59="","",INDEX('PI Furnizor'!$C:$C,ROW()-3)&amp;"")</f>
        <v/>
      </c>
      <c r="E59" s="30" t="str">
        <f>IF($A59="","",N(INDEX('PI Furnizor'!$D:$D,ROW()-3)))</f>
        <v/>
      </c>
      <c r="F59" s="31" t="str">
        <f>IF(ISNUMBER($X59),INDEX(Comenzi!$G:$G,$X59),"")</f>
        <v/>
      </c>
      <c r="G59" s="32" t="str">
        <f>IF($A59="","",N(INDEX('PI Furnizor'!$E:$E,ROW()-3)))</f>
        <v/>
      </c>
      <c r="H59" s="33" t="str">
        <f t="shared" si="0"/>
        <v/>
      </c>
      <c r="I59" s="34" t="str">
        <f>IF($Y59&lt;&gt;1,"",IFERROR($AE59/INDEX(Comenzi!$AN:$AN,$X59),0))</f>
        <v/>
      </c>
      <c r="J59" s="33" t="str">
        <f>IF($Y59&lt;&gt;1,"",INDEX(Comenzi!$AG:$AG,$X59)*$I59/$E59)</f>
        <v/>
      </c>
      <c r="K59" s="33" t="str">
        <f t="shared" si="1"/>
        <v/>
      </c>
      <c r="L59" s="33" t="str">
        <f>IF($Y59&lt;&gt;1,"",$K59*$AD59+INDEX(Comenzi!$AJ:$AJ,$X59)*$I59/$E59)</f>
        <v/>
      </c>
      <c r="M59" s="33" t="str">
        <f t="shared" si="2"/>
        <v/>
      </c>
      <c r="N59" s="33" t="str">
        <f t="shared" si="3"/>
        <v/>
      </c>
      <c r="O59" s="33" t="str">
        <f>IF($Y59&lt;&gt;1,"",(INDEX(Comenzi!$AK:$AK,$X59)+N(INDEX(Comenzi!$T:$T,$X59)))*$I59/$E59)</f>
        <v/>
      </c>
      <c r="P59" s="35" t="str">
        <f t="shared" si="4"/>
        <v/>
      </c>
      <c r="Q59" s="36" t="str">
        <f t="shared" si="5"/>
        <v/>
      </c>
      <c r="R59" s="37" t="str">
        <f t="shared" si="6"/>
        <v/>
      </c>
      <c r="S59" s="38" t="str">
        <f t="shared" si="7"/>
        <v/>
      </c>
      <c r="T59" s="39" t="str">
        <f t="shared" si="8"/>
        <v/>
      </c>
      <c r="U59" s="40" t="str">
        <f t="shared" si="9"/>
        <v/>
      </c>
      <c r="V59" s="33" t="str">
        <f t="shared" si="10"/>
        <v/>
      </c>
      <c r="W59" s="33" t="str">
        <f t="shared" si="11"/>
        <v/>
      </c>
      <c r="X59" s="41" t="str">
        <f>IF($A59="","",IFERROR(MATCH($A59,Comenzi!$A$9:$A$108,0)+8,""))</f>
        <v/>
      </c>
      <c r="Y59" s="41" t="str">
        <f t="shared" si="12"/>
        <v/>
      </c>
      <c r="Z59" s="42" t="str">
        <f>IF($A59="","",IF($A59="?","Lipseste ID-ul comenzii (col. A din PI Furnizor)",IF(NOT(ISNUMBER($X59)),"ID comanda negasit in foaia Comenzi",IF(N($E59)&lt;=0,"Lipseste cantitatea",IF(N($G59)=0,"Pret unitar lipsa",IF($Y59&lt;&gt;1,"Curs sau moneda marfa lipsa (foaia Comenzi)",IF(INDEX(Comenzi!$AT:$AT,$X59)&lt;&gt;"OK","Avertisment comanda: "&amp;INDEX(Comenzi!$AT:$AT,$X59),"OK")))))))</f>
        <v/>
      </c>
      <c r="AA59" s="43" t="str">
        <f>IF(ISNUMBER($X59),INDEX(Comenzi!$H:$H,$X59),"")</f>
        <v/>
      </c>
      <c r="AB59" s="43" t="str">
        <f>IF(ISNUMBER($X59),INDEX(Comenzi!$I:$I,$X59),"")</f>
        <v/>
      </c>
      <c r="AC59" s="44" t="str">
        <f>IF(ISNUMBER($X59),IF(INDEX(Comenzi!$V:$V,$X59)="",Comenzi!$D$3,INDEX(Comenzi!$V:$V,$X59)),"")</f>
        <v/>
      </c>
      <c r="AD59" s="44" t="str">
        <f>IF(ISNUMBER($X59),IF(INDEX(Comenzi!$U:$U,$X59)="",Comenzi!$D$4,INDEX(Comenzi!$U:$U,$X59)),"")</f>
        <v/>
      </c>
      <c r="AE59" s="45" t="str">
        <f>IF($Y59&lt;&gt;1,"",IF(INDEX(Comenzi!$AM:$AM,$X59)="Greutate",INDEX('PI Furnizor'!$O:$O,ROW()-3),IF(INDEX(Comenzi!$AM:$AM,$X59)="Volum (CBM)",INDEX('PI Furnizor'!$Q:$Q,ROW()-3),IF(INDEX(Comenzi!$AM:$AM,$X59)="Valoare marfa",INDEX('PI Furnizor'!$N:$N,ROW()-3),$E59))))</f>
        <v/>
      </c>
    </row>
    <row r="60" spans="1:31" x14ac:dyDescent="0.3">
      <c r="A60" s="28" t="str">
        <f>IF(COUNTA(INDEX('PI Furnizor'!$A:$E,ROW()-3,0))=0,"",IF(INDEX('PI Furnizor'!$A:$A,ROW()-3)="","?",INDEX('PI Furnizor'!$A:$A,ROW()-3)))</f>
        <v/>
      </c>
      <c r="B60" s="29" t="str">
        <f>IF(ISNUMBER($X60),INDEX(Comenzi!$B:$B,$X60),"")</f>
        <v/>
      </c>
      <c r="C60" s="28" t="str">
        <f>IF($A60="","",INDEX('PI Furnizor'!$B:$B,ROW()-3)&amp;"")</f>
        <v/>
      </c>
      <c r="D60" s="28" t="str">
        <f>IF($A60="","",INDEX('PI Furnizor'!$C:$C,ROW()-3)&amp;"")</f>
        <v/>
      </c>
      <c r="E60" s="30" t="str">
        <f>IF($A60="","",N(INDEX('PI Furnizor'!$D:$D,ROW()-3)))</f>
        <v/>
      </c>
      <c r="F60" s="31" t="str">
        <f>IF(ISNUMBER($X60),INDEX(Comenzi!$G:$G,$X60),"")</f>
        <v/>
      </c>
      <c r="G60" s="32" t="str">
        <f>IF($A60="","",N(INDEX('PI Furnizor'!$E:$E,ROW()-3)))</f>
        <v/>
      </c>
      <c r="H60" s="33" t="str">
        <f t="shared" si="0"/>
        <v/>
      </c>
      <c r="I60" s="34" t="str">
        <f>IF($Y60&lt;&gt;1,"",IFERROR($AE60/INDEX(Comenzi!$AN:$AN,$X60),0))</f>
        <v/>
      </c>
      <c r="J60" s="33" t="str">
        <f>IF($Y60&lt;&gt;1,"",INDEX(Comenzi!$AG:$AG,$X60)*$I60/$E60)</f>
        <v/>
      </c>
      <c r="K60" s="33" t="str">
        <f t="shared" si="1"/>
        <v/>
      </c>
      <c r="L60" s="33" t="str">
        <f>IF($Y60&lt;&gt;1,"",$K60*$AD60+INDEX(Comenzi!$AJ:$AJ,$X60)*$I60/$E60)</f>
        <v/>
      </c>
      <c r="M60" s="33" t="str">
        <f t="shared" si="2"/>
        <v/>
      </c>
      <c r="N60" s="33" t="str">
        <f t="shared" si="3"/>
        <v/>
      </c>
      <c r="O60" s="33" t="str">
        <f>IF($Y60&lt;&gt;1,"",(INDEX(Comenzi!$AK:$AK,$X60)+N(INDEX(Comenzi!$T:$T,$X60)))*$I60/$E60)</f>
        <v/>
      </c>
      <c r="P60" s="35" t="str">
        <f t="shared" si="4"/>
        <v/>
      </c>
      <c r="Q60" s="36" t="str">
        <f t="shared" si="5"/>
        <v/>
      </c>
      <c r="R60" s="37" t="str">
        <f t="shared" si="6"/>
        <v/>
      </c>
      <c r="S60" s="38" t="str">
        <f t="shared" si="7"/>
        <v/>
      </c>
      <c r="T60" s="39" t="str">
        <f t="shared" si="8"/>
        <v/>
      </c>
      <c r="U60" s="40" t="str">
        <f t="shared" si="9"/>
        <v/>
      </c>
      <c r="V60" s="33" t="str">
        <f t="shared" si="10"/>
        <v/>
      </c>
      <c r="W60" s="33" t="str">
        <f t="shared" si="11"/>
        <v/>
      </c>
      <c r="X60" s="41" t="str">
        <f>IF($A60="","",IFERROR(MATCH($A60,Comenzi!$A$9:$A$108,0)+8,""))</f>
        <v/>
      </c>
      <c r="Y60" s="41" t="str">
        <f t="shared" si="12"/>
        <v/>
      </c>
      <c r="Z60" s="42" t="str">
        <f>IF($A60="","",IF($A60="?","Lipseste ID-ul comenzii (col. A din PI Furnizor)",IF(NOT(ISNUMBER($X60)),"ID comanda negasit in foaia Comenzi",IF(N($E60)&lt;=0,"Lipseste cantitatea",IF(N($G60)=0,"Pret unitar lipsa",IF($Y60&lt;&gt;1,"Curs sau moneda marfa lipsa (foaia Comenzi)",IF(INDEX(Comenzi!$AT:$AT,$X60)&lt;&gt;"OK","Avertisment comanda: "&amp;INDEX(Comenzi!$AT:$AT,$X60),"OK")))))))</f>
        <v/>
      </c>
      <c r="AA60" s="43" t="str">
        <f>IF(ISNUMBER($X60),INDEX(Comenzi!$H:$H,$X60),"")</f>
        <v/>
      </c>
      <c r="AB60" s="43" t="str">
        <f>IF(ISNUMBER($X60),INDEX(Comenzi!$I:$I,$X60),"")</f>
        <v/>
      </c>
      <c r="AC60" s="44" t="str">
        <f>IF(ISNUMBER($X60),IF(INDEX(Comenzi!$V:$V,$X60)="",Comenzi!$D$3,INDEX(Comenzi!$V:$V,$X60)),"")</f>
        <v/>
      </c>
      <c r="AD60" s="44" t="str">
        <f>IF(ISNUMBER($X60),IF(INDEX(Comenzi!$U:$U,$X60)="",Comenzi!$D$4,INDEX(Comenzi!$U:$U,$X60)),"")</f>
        <v/>
      </c>
      <c r="AE60" s="45" t="str">
        <f>IF($Y60&lt;&gt;1,"",IF(INDEX(Comenzi!$AM:$AM,$X60)="Greutate",INDEX('PI Furnizor'!$O:$O,ROW()-3),IF(INDEX(Comenzi!$AM:$AM,$X60)="Volum (CBM)",INDEX('PI Furnizor'!$Q:$Q,ROW()-3),IF(INDEX(Comenzi!$AM:$AM,$X60)="Valoare marfa",INDEX('PI Furnizor'!$N:$N,ROW()-3),$E60))))</f>
        <v/>
      </c>
    </row>
    <row r="61" spans="1:31" x14ac:dyDescent="0.3">
      <c r="A61" s="28" t="str">
        <f>IF(COUNTA(INDEX('PI Furnizor'!$A:$E,ROW()-3,0))=0,"",IF(INDEX('PI Furnizor'!$A:$A,ROW()-3)="","?",INDEX('PI Furnizor'!$A:$A,ROW()-3)))</f>
        <v/>
      </c>
      <c r="B61" s="29" t="str">
        <f>IF(ISNUMBER($X61),INDEX(Comenzi!$B:$B,$X61),"")</f>
        <v/>
      </c>
      <c r="C61" s="28" t="str">
        <f>IF($A61="","",INDEX('PI Furnizor'!$B:$B,ROW()-3)&amp;"")</f>
        <v/>
      </c>
      <c r="D61" s="28" t="str">
        <f>IF($A61="","",INDEX('PI Furnizor'!$C:$C,ROW()-3)&amp;"")</f>
        <v/>
      </c>
      <c r="E61" s="30" t="str">
        <f>IF($A61="","",N(INDEX('PI Furnizor'!$D:$D,ROW()-3)))</f>
        <v/>
      </c>
      <c r="F61" s="31" t="str">
        <f>IF(ISNUMBER($X61),INDEX(Comenzi!$G:$G,$X61),"")</f>
        <v/>
      </c>
      <c r="G61" s="32" t="str">
        <f>IF($A61="","",N(INDEX('PI Furnizor'!$E:$E,ROW()-3)))</f>
        <v/>
      </c>
      <c r="H61" s="33" t="str">
        <f t="shared" si="0"/>
        <v/>
      </c>
      <c r="I61" s="34" t="str">
        <f>IF($Y61&lt;&gt;1,"",IFERROR($AE61/INDEX(Comenzi!$AN:$AN,$X61),0))</f>
        <v/>
      </c>
      <c r="J61" s="33" t="str">
        <f>IF($Y61&lt;&gt;1,"",INDEX(Comenzi!$AG:$AG,$X61)*$I61/$E61)</f>
        <v/>
      </c>
      <c r="K61" s="33" t="str">
        <f t="shared" si="1"/>
        <v/>
      </c>
      <c r="L61" s="33" t="str">
        <f>IF($Y61&lt;&gt;1,"",$K61*$AD61+INDEX(Comenzi!$AJ:$AJ,$X61)*$I61/$E61)</f>
        <v/>
      </c>
      <c r="M61" s="33" t="str">
        <f t="shared" si="2"/>
        <v/>
      </c>
      <c r="N61" s="33" t="str">
        <f t="shared" si="3"/>
        <v/>
      </c>
      <c r="O61" s="33" t="str">
        <f>IF($Y61&lt;&gt;1,"",(INDEX(Comenzi!$AK:$AK,$X61)+N(INDEX(Comenzi!$T:$T,$X61)))*$I61/$E61)</f>
        <v/>
      </c>
      <c r="P61" s="35" t="str">
        <f t="shared" si="4"/>
        <v/>
      </c>
      <c r="Q61" s="36" t="str">
        <f t="shared" si="5"/>
        <v/>
      </c>
      <c r="R61" s="37" t="str">
        <f t="shared" si="6"/>
        <v/>
      </c>
      <c r="S61" s="38" t="str">
        <f t="shared" si="7"/>
        <v/>
      </c>
      <c r="T61" s="39" t="str">
        <f t="shared" si="8"/>
        <v/>
      </c>
      <c r="U61" s="40" t="str">
        <f t="shared" si="9"/>
        <v/>
      </c>
      <c r="V61" s="33" t="str">
        <f t="shared" si="10"/>
        <v/>
      </c>
      <c r="W61" s="33" t="str">
        <f t="shared" si="11"/>
        <v/>
      </c>
      <c r="X61" s="41" t="str">
        <f>IF($A61="","",IFERROR(MATCH($A61,Comenzi!$A$9:$A$108,0)+8,""))</f>
        <v/>
      </c>
      <c r="Y61" s="41" t="str">
        <f t="shared" si="12"/>
        <v/>
      </c>
      <c r="Z61" s="42" t="str">
        <f>IF($A61="","",IF($A61="?","Lipseste ID-ul comenzii (col. A din PI Furnizor)",IF(NOT(ISNUMBER($X61)),"ID comanda negasit in foaia Comenzi",IF(N($E61)&lt;=0,"Lipseste cantitatea",IF(N($G61)=0,"Pret unitar lipsa",IF($Y61&lt;&gt;1,"Curs sau moneda marfa lipsa (foaia Comenzi)",IF(INDEX(Comenzi!$AT:$AT,$X61)&lt;&gt;"OK","Avertisment comanda: "&amp;INDEX(Comenzi!$AT:$AT,$X61),"OK")))))))</f>
        <v/>
      </c>
      <c r="AA61" s="43" t="str">
        <f>IF(ISNUMBER($X61),INDEX(Comenzi!$H:$H,$X61),"")</f>
        <v/>
      </c>
      <c r="AB61" s="43" t="str">
        <f>IF(ISNUMBER($X61),INDEX(Comenzi!$I:$I,$X61),"")</f>
        <v/>
      </c>
      <c r="AC61" s="44" t="str">
        <f>IF(ISNUMBER($X61),IF(INDEX(Comenzi!$V:$V,$X61)="",Comenzi!$D$3,INDEX(Comenzi!$V:$V,$X61)),"")</f>
        <v/>
      </c>
      <c r="AD61" s="44" t="str">
        <f>IF(ISNUMBER($X61),IF(INDEX(Comenzi!$U:$U,$X61)="",Comenzi!$D$4,INDEX(Comenzi!$U:$U,$X61)),"")</f>
        <v/>
      </c>
      <c r="AE61" s="45" t="str">
        <f>IF($Y61&lt;&gt;1,"",IF(INDEX(Comenzi!$AM:$AM,$X61)="Greutate",INDEX('PI Furnizor'!$O:$O,ROW()-3),IF(INDEX(Comenzi!$AM:$AM,$X61)="Volum (CBM)",INDEX('PI Furnizor'!$Q:$Q,ROW()-3),IF(INDEX(Comenzi!$AM:$AM,$X61)="Valoare marfa",INDEX('PI Furnizor'!$N:$N,ROW()-3),$E61))))</f>
        <v/>
      </c>
    </row>
    <row r="62" spans="1:31" x14ac:dyDescent="0.3">
      <c r="A62" s="28" t="str">
        <f>IF(COUNTA(INDEX('PI Furnizor'!$A:$E,ROW()-3,0))=0,"",IF(INDEX('PI Furnizor'!$A:$A,ROW()-3)="","?",INDEX('PI Furnizor'!$A:$A,ROW()-3)))</f>
        <v/>
      </c>
      <c r="B62" s="29" t="str">
        <f>IF(ISNUMBER($X62),INDEX(Comenzi!$B:$B,$X62),"")</f>
        <v/>
      </c>
      <c r="C62" s="28" t="str">
        <f>IF($A62="","",INDEX('PI Furnizor'!$B:$B,ROW()-3)&amp;"")</f>
        <v/>
      </c>
      <c r="D62" s="28" t="str">
        <f>IF($A62="","",INDEX('PI Furnizor'!$C:$C,ROW()-3)&amp;"")</f>
        <v/>
      </c>
      <c r="E62" s="30" t="str">
        <f>IF($A62="","",N(INDEX('PI Furnizor'!$D:$D,ROW()-3)))</f>
        <v/>
      </c>
      <c r="F62" s="31" t="str">
        <f>IF(ISNUMBER($X62),INDEX(Comenzi!$G:$G,$X62),"")</f>
        <v/>
      </c>
      <c r="G62" s="32" t="str">
        <f>IF($A62="","",N(INDEX('PI Furnizor'!$E:$E,ROW()-3)))</f>
        <v/>
      </c>
      <c r="H62" s="33" t="str">
        <f t="shared" si="0"/>
        <v/>
      </c>
      <c r="I62" s="34" t="str">
        <f>IF($Y62&lt;&gt;1,"",IFERROR($AE62/INDEX(Comenzi!$AN:$AN,$X62),0))</f>
        <v/>
      </c>
      <c r="J62" s="33" t="str">
        <f>IF($Y62&lt;&gt;1,"",INDEX(Comenzi!$AG:$AG,$X62)*$I62/$E62)</f>
        <v/>
      </c>
      <c r="K62" s="33" t="str">
        <f t="shared" si="1"/>
        <v/>
      </c>
      <c r="L62" s="33" t="str">
        <f>IF($Y62&lt;&gt;1,"",$K62*$AD62+INDEX(Comenzi!$AJ:$AJ,$X62)*$I62/$E62)</f>
        <v/>
      </c>
      <c r="M62" s="33" t="str">
        <f t="shared" si="2"/>
        <v/>
      </c>
      <c r="N62" s="33" t="str">
        <f t="shared" si="3"/>
        <v/>
      </c>
      <c r="O62" s="33" t="str">
        <f>IF($Y62&lt;&gt;1,"",(INDEX(Comenzi!$AK:$AK,$X62)+N(INDEX(Comenzi!$T:$T,$X62)))*$I62/$E62)</f>
        <v/>
      </c>
      <c r="P62" s="35" t="str">
        <f t="shared" si="4"/>
        <v/>
      </c>
      <c r="Q62" s="36" t="str">
        <f t="shared" si="5"/>
        <v/>
      </c>
      <c r="R62" s="37" t="str">
        <f t="shared" si="6"/>
        <v/>
      </c>
      <c r="S62" s="38" t="str">
        <f t="shared" si="7"/>
        <v/>
      </c>
      <c r="T62" s="39" t="str">
        <f t="shared" si="8"/>
        <v/>
      </c>
      <c r="U62" s="40" t="str">
        <f t="shared" si="9"/>
        <v/>
      </c>
      <c r="V62" s="33" t="str">
        <f t="shared" si="10"/>
        <v/>
      </c>
      <c r="W62" s="33" t="str">
        <f t="shared" si="11"/>
        <v/>
      </c>
      <c r="X62" s="41" t="str">
        <f>IF($A62="","",IFERROR(MATCH($A62,Comenzi!$A$9:$A$108,0)+8,""))</f>
        <v/>
      </c>
      <c r="Y62" s="41" t="str">
        <f t="shared" si="12"/>
        <v/>
      </c>
      <c r="Z62" s="42" t="str">
        <f>IF($A62="","",IF($A62="?","Lipseste ID-ul comenzii (col. A din PI Furnizor)",IF(NOT(ISNUMBER($X62)),"ID comanda negasit in foaia Comenzi",IF(N($E62)&lt;=0,"Lipseste cantitatea",IF(N($G62)=0,"Pret unitar lipsa",IF($Y62&lt;&gt;1,"Curs sau moneda marfa lipsa (foaia Comenzi)",IF(INDEX(Comenzi!$AT:$AT,$X62)&lt;&gt;"OK","Avertisment comanda: "&amp;INDEX(Comenzi!$AT:$AT,$X62),"OK")))))))</f>
        <v/>
      </c>
      <c r="AA62" s="43" t="str">
        <f>IF(ISNUMBER($X62),INDEX(Comenzi!$H:$H,$X62),"")</f>
        <v/>
      </c>
      <c r="AB62" s="43" t="str">
        <f>IF(ISNUMBER($X62),INDEX(Comenzi!$I:$I,$X62),"")</f>
        <v/>
      </c>
      <c r="AC62" s="44" t="str">
        <f>IF(ISNUMBER($X62),IF(INDEX(Comenzi!$V:$V,$X62)="",Comenzi!$D$3,INDEX(Comenzi!$V:$V,$X62)),"")</f>
        <v/>
      </c>
      <c r="AD62" s="44" t="str">
        <f>IF(ISNUMBER($X62),IF(INDEX(Comenzi!$U:$U,$X62)="",Comenzi!$D$4,INDEX(Comenzi!$U:$U,$X62)),"")</f>
        <v/>
      </c>
      <c r="AE62" s="45" t="str">
        <f>IF($Y62&lt;&gt;1,"",IF(INDEX(Comenzi!$AM:$AM,$X62)="Greutate",INDEX('PI Furnizor'!$O:$O,ROW()-3),IF(INDEX(Comenzi!$AM:$AM,$X62)="Volum (CBM)",INDEX('PI Furnizor'!$Q:$Q,ROW()-3),IF(INDEX(Comenzi!$AM:$AM,$X62)="Valoare marfa",INDEX('PI Furnizor'!$N:$N,ROW()-3),$E62))))</f>
        <v/>
      </c>
    </row>
    <row r="63" spans="1:31" x14ac:dyDescent="0.3">
      <c r="A63" s="28" t="str">
        <f>IF(COUNTA(INDEX('PI Furnizor'!$A:$E,ROW()-3,0))=0,"",IF(INDEX('PI Furnizor'!$A:$A,ROW()-3)="","?",INDEX('PI Furnizor'!$A:$A,ROW()-3)))</f>
        <v/>
      </c>
      <c r="B63" s="29" t="str">
        <f>IF(ISNUMBER($X63),INDEX(Comenzi!$B:$B,$X63),"")</f>
        <v/>
      </c>
      <c r="C63" s="28" t="str">
        <f>IF($A63="","",INDEX('PI Furnizor'!$B:$B,ROW()-3)&amp;"")</f>
        <v/>
      </c>
      <c r="D63" s="28" t="str">
        <f>IF($A63="","",INDEX('PI Furnizor'!$C:$C,ROW()-3)&amp;"")</f>
        <v/>
      </c>
      <c r="E63" s="30" t="str">
        <f>IF($A63="","",N(INDEX('PI Furnizor'!$D:$D,ROW()-3)))</f>
        <v/>
      </c>
      <c r="F63" s="31" t="str">
        <f>IF(ISNUMBER($X63),INDEX(Comenzi!$G:$G,$X63),"")</f>
        <v/>
      </c>
      <c r="G63" s="32" t="str">
        <f>IF($A63="","",N(INDEX('PI Furnizor'!$E:$E,ROW()-3)))</f>
        <v/>
      </c>
      <c r="H63" s="33" t="str">
        <f t="shared" si="0"/>
        <v/>
      </c>
      <c r="I63" s="34" t="str">
        <f>IF($Y63&lt;&gt;1,"",IFERROR($AE63/INDEX(Comenzi!$AN:$AN,$X63),0))</f>
        <v/>
      </c>
      <c r="J63" s="33" t="str">
        <f>IF($Y63&lt;&gt;1,"",INDEX(Comenzi!$AG:$AG,$X63)*$I63/$E63)</f>
        <v/>
      </c>
      <c r="K63" s="33" t="str">
        <f t="shared" si="1"/>
        <v/>
      </c>
      <c r="L63" s="33" t="str">
        <f>IF($Y63&lt;&gt;1,"",$K63*$AD63+INDEX(Comenzi!$AJ:$AJ,$X63)*$I63/$E63)</f>
        <v/>
      </c>
      <c r="M63" s="33" t="str">
        <f t="shared" si="2"/>
        <v/>
      </c>
      <c r="N63" s="33" t="str">
        <f t="shared" si="3"/>
        <v/>
      </c>
      <c r="O63" s="33" t="str">
        <f>IF($Y63&lt;&gt;1,"",(INDEX(Comenzi!$AK:$AK,$X63)+N(INDEX(Comenzi!$T:$T,$X63)))*$I63/$E63)</f>
        <v/>
      </c>
      <c r="P63" s="35" t="str">
        <f t="shared" si="4"/>
        <v/>
      </c>
      <c r="Q63" s="36" t="str">
        <f t="shared" si="5"/>
        <v/>
      </c>
      <c r="R63" s="37" t="str">
        <f t="shared" si="6"/>
        <v/>
      </c>
      <c r="S63" s="38" t="str">
        <f t="shared" si="7"/>
        <v/>
      </c>
      <c r="T63" s="39" t="str">
        <f t="shared" si="8"/>
        <v/>
      </c>
      <c r="U63" s="40" t="str">
        <f t="shared" si="9"/>
        <v/>
      </c>
      <c r="V63" s="33" t="str">
        <f t="shared" si="10"/>
        <v/>
      </c>
      <c r="W63" s="33" t="str">
        <f t="shared" si="11"/>
        <v/>
      </c>
      <c r="X63" s="41" t="str">
        <f>IF($A63="","",IFERROR(MATCH($A63,Comenzi!$A$9:$A$108,0)+8,""))</f>
        <v/>
      </c>
      <c r="Y63" s="41" t="str">
        <f t="shared" si="12"/>
        <v/>
      </c>
      <c r="Z63" s="42" t="str">
        <f>IF($A63="","",IF($A63="?","Lipseste ID-ul comenzii (col. A din PI Furnizor)",IF(NOT(ISNUMBER($X63)),"ID comanda negasit in foaia Comenzi",IF(N($E63)&lt;=0,"Lipseste cantitatea",IF(N($G63)=0,"Pret unitar lipsa",IF($Y63&lt;&gt;1,"Curs sau moneda marfa lipsa (foaia Comenzi)",IF(INDEX(Comenzi!$AT:$AT,$X63)&lt;&gt;"OK","Avertisment comanda: "&amp;INDEX(Comenzi!$AT:$AT,$X63),"OK")))))))</f>
        <v/>
      </c>
      <c r="AA63" s="43" t="str">
        <f>IF(ISNUMBER($X63),INDEX(Comenzi!$H:$H,$X63),"")</f>
        <v/>
      </c>
      <c r="AB63" s="43" t="str">
        <f>IF(ISNUMBER($X63),INDEX(Comenzi!$I:$I,$X63),"")</f>
        <v/>
      </c>
      <c r="AC63" s="44" t="str">
        <f>IF(ISNUMBER($X63),IF(INDEX(Comenzi!$V:$V,$X63)="",Comenzi!$D$3,INDEX(Comenzi!$V:$V,$X63)),"")</f>
        <v/>
      </c>
      <c r="AD63" s="44" t="str">
        <f>IF(ISNUMBER($X63),IF(INDEX(Comenzi!$U:$U,$X63)="",Comenzi!$D$4,INDEX(Comenzi!$U:$U,$X63)),"")</f>
        <v/>
      </c>
      <c r="AE63" s="45" t="str">
        <f>IF($Y63&lt;&gt;1,"",IF(INDEX(Comenzi!$AM:$AM,$X63)="Greutate",INDEX('PI Furnizor'!$O:$O,ROW()-3),IF(INDEX(Comenzi!$AM:$AM,$X63)="Volum (CBM)",INDEX('PI Furnizor'!$Q:$Q,ROW()-3),IF(INDEX(Comenzi!$AM:$AM,$X63)="Valoare marfa",INDEX('PI Furnizor'!$N:$N,ROW()-3),$E63))))</f>
        <v/>
      </c>
    </row>
    <row r="64" spans="1:31" x14ac:dyDescent="0.3">
      <c r="A64" s="28" t="str">
        <f>IF(COUNTA(INDEX('PI Furnizor'!$A:$E,ROW()-3,0))=0,"",IF(INDEX('PI Furnizor'!$A:$A,ROW()-3)="","?",INDEX('PI Furnizor'!$A:$A,ROW()-3)))</f>
        <v/>
      </c>
      <c r="B64" s="29" t="str">
        <f>IF(ISNUMBER($X64),INDEX(Comenzi!$B:$B,$X64),"")</f>
        <v/>
      </c>
      <c r="C64" s="28" t="str">
        <f>IF($A64="","",INDEX('PI Furnizor'!$B:$B,ROW()-3)&amp;"")</f>
        <v/>
      </c>
      <c r="D64" s="28" t="str">
        <f>IF($A64="","",INDEX('PI Furnizor'!$C:$C,ROW()-3)&amp;"")</f>
        <v/>
      </c>
      <c r="E64" s="30" t="str">
        <f>IF($A64="","",N(INDEX('PI Furnizor'!$D:$D,ROW()-3)))</f>
        <v/>
      </c>
      <c r="F64" s="31" t="str">
        <f>IF(ISNUMBER($X64),INDEX(Comenzi!$G:$G,$X64),"")</f>
        <v/>
      </c>
      <c r="G64" s="32" t="str">
        <f>IF($A64="","",N(INDEX('PI Furnizor'!$E:$E,ROW()-3)))</f>
        <v/>
      </c>
      <c r="H64" s="33" t="str">
        <f t="shared" si="0"/>
        <v/>
      </c>
      <c r="I64" s="34" t="str">
        <f>IF($Y64&lt;&gt;1,"",IFERROR($AE64/INDEX(Comenzi!$AN:$AN,$X64),0))</f>
        <v/>
      </c>
      <c r="J64" s="33" t="str">
        <f>IF($Y64&lt;&gt;1,"",INDEX(Comenzi!$AG:$AG,$X64)*$I64/$E64)</f>
        <v/>
      </c>
      <c r="K64" s="33" t="str">
        <f t="shared" si="1"/>
        <v/>
      </c>
      <c r="L64" s="33" t="str">
        <f>IF($Y64&lt;&gt;1,"",$K64*$AD64+INDEX(Comenzi!$AJ:$AJ,$X64)*$I64/$E64)</f>
        <v/>
      </c>
      <c r="M64" s="33" t="str">
        <f t="shared" si="2"/>
        <v/>
      </c>
      <c r="N64" s="33" t="str">
        <f t="shared" si="3"/>
        <v/>
      </c>
      <c r="O64" s="33" t="str">
        <f>IF($Y64&lt;&gt;1,"",(INDEX(Comenzi!$AK:$AK,$X64)+N(INDEX(Comenzi!$T:$T,$X64)))*$I64/$E64)</f>
        <v/>
      </c>
      <c r="P64" s="35" t="str">
        <f t="shared" si="4"/>
        <v/>
      </c>
      <c r="Q64" s="36" t="str">
        <f t="shared" si="5"/>
        <v/>
      </c>
      <c r="R64" s="37" t="str">
        <f t="shared" si="6"/>
        <v/>
      </c>
      <c r="S64" s="38" t="str">
        <f t="shared" si="7"/>
        <v/>
      </c>
      <c r="T64" s="39" t="str">
        <f t="shared" si="8"/>
        <v/>
      </c>
      <c r="U64" s="40" t="str">
        <f t="shared" si="9"/>
        <v/>
      </c>
      <c r="V64" s="33" t="str">
        <f t="shared" si="10"/>
        <v/>
      </c>
      <c r="W64" s="33" t="str">
        <f t="shared" si="11"/>
        <v/>
      </c>
      <c r="X64" s="41" t="str">
        <f>IF($A64="","",IFERROR(MATCH($A64,Comenzi!$A$9:$A$108,0)+8,""))</f>
        <v/>
      </c>
      <c r="Y64" s="41" t="str">
        <f t="shared" si="12"/>
        <v/>
      </c>
      <c r="Z64" s="42" t="str">
        <f>IF($A64="","",IF($A64="?","Lipseste ID-ul comenzii (col. A din PI Furnizor)",IF(NOT(ISNUMBER($X64)),"ID comanda negasit in foaia Comenzi",IF(N($E64)&lt;=0,"Lipseste cantitatea",IF(N($G64)=0,"Pret unitar lipsa",IF($Y64&lt;&gt;1,"Curs sau moneda marfa lipsa (foaia Comenzi)",IF(INDEX(Comenzi!$AT:$AT,$X64)&lt;&gt;"OK","Avertisment comanda: "&amp;INDEX(Comenzi!$AT:$AT,$X64),"OK")))))))</f>
        <v/>
      </c>
      <c r="AA64" s="43" t="str">
        <f>IF(ISNUMBER($X64),INDEX(Comenzi!$H:$H,$X64),"")</f>
        <v/>
      </c>
      <c r="AB64" s="43" t="str">
        <f>IF(ISNUMBER($X64),INDEX(Comenzi!$I:$I,$X64),"")</f>
        <v/>
      </c>
      <c r="AC64" s="44" t="str">
        <f>IF(ISNUMBER($X64),IF(INDEX(Comenzi!$V:$V,$X64)="",Comenzi!$D$3,INDEX(Comenzi!$V:$V,$X64)),"")</f>
        <v/>
      </c>
      <c r="AD64" s="44" t="str">
        <f>IF(ISNUMBER($X64),IF(INDEX(Comenzi!$U:$U,$X64)="",Comenzi!$D$4,INDEX(Comenzi!$U:$U,$X64)),"")</f>
        <v/>
      </c>
      <c r="AE64" s="45" t="str">
        <f>IF($Y64&lt;&gt;1,"",IF(INDEX(Comenzi!$AM:$AM,$X64)="Greutate",INDEX('PI Furnizor'!$O:$O,ROW()-3),IF(INDEX(Comenzi!$AM:$AM,$X64)="Volum (CBM)",INDEX('PI Furnizor'!$Q:$Q,ROW()-3),IF(INDEX(Comenzi!$AM:$AM,$X64)="Valoare marfa",INDEX('PI Furnizor'!$N:$N,ROW()-3),$E64))))</f>
        <v/>
      </c>
    </row>
    <row r="65" spans="1:31" x14ac:dyDescent="0.3">
      <c r="A65" s="28" t="str">
        <f>IF(COUNTA(INDEX('PI Furnizor'!$A:$E,ROW()-3,0))=0,"",IF(INDEX('PI Furnizor'!$A:$A,ROW()-3)="","?",INDEX('PI Furnizor'!$A:$A,ROW()-3)))</f>
        <v/>
      </c>
      <c r="B65" s="29" t="str">
        <f>IF(ISNUMBER($X65),INDEX(Comenzi!$B:$B,$X65),"")</f>
        <v/>
      </c>
      <c r="C65" s="28" t="str">
        <f>IF($A65="","",INDEX('PI Furnizor'!$B:$B,ROW()-3)&amp;"")</f>
        <v/>
      </c>
      <c r="D65" s="28" t="str">
        <f>IF($A65="","",INDEX('PI Furnizor'!$C:$C,ROW()-3)&amp;"")</f>
        <v/>
      </c>
      <c r="E65" s="30" t="str">
        <f>IF($A65="","",N(INDEX('PI Furnizor'!$D:$D,ROW()-3)))</f>
        <v/>
      </c>
      <c r="F65" s="31" t="str">
        <f>IF(ISNUMBER($X65),INDEX(Comenzi!$G:$G,$X65),"")</f>
        <v/>
      </c>
      <c r="G65" s="32" t="str">
        <f>IF($A65="","",N(INDEX('PI Furnizor'!$E:$E,ROW()-3)))</f>
        <v/>
      </c>
      <c r="H65" s="33" t="str">
        <f t="shared" si="0"/>
        <v/>
      </c>
      <c r="I65" s="34" t="str">
        <f>IF($Y65&lt;&gt;1,"",IFERROR($AE65/INDEX(Comenzi!$AN:$AN,$X65),0))</f>
        <v/>
      </c>
      <c r="J65" s="33" t="str">
        <f>IF($Y65&lt;&gt;1,"",INDEX(Comenzi!$AG:$AG,$X65)*$I65/$E65)</f>
        <v/>
      </c>
      <c r="K65" s="33" t="str">
        <f t="shared" si="1"/>
        <v/>
      </c>
      <c r="L65" s="33" t="str">
        <f>IF($Y65&lt;&gt;1,"",$K65*$AD65+INDEX(Comenzi!$AJ:$AJ,$X65)*$I65/$E65)</f>
        <v/>
      </c>
      <c r="M65" s="33" t="str">
        <f t="shared" si="2"/>
        <v/>
      </c>
      <c r="N65" s="33" t="str">
        <f t="shared" si="3"/>
        <v/>
      </c>
      <c r="O65" s="33" t="str">
        <f>IF($Y65&lt;&gt;1,"",(INDEX(Comenzi!$AK:$AK,$X65)+N(INDEX(Comenzi!$T:$T,$X65)))*$I65/$E65)</f>
        <v/>
      </c>
      <c r="P65" s="35" t="str">
        <f t="shared" si="4"/>
        <v/>
      </c>
      <c r="Q65" s="36" t="str">
        <f t="shared" si="5"/>
        <v/>
      </c>
      <c r="R65" s="37" t="str">
        <f t="shared" si="6"/>
        <v/>
      </c>
      <c r="S65" s="38" t="str">
        <f t="shared" si="7"/>
        <v/>
      </c>
      <c r="T65" s="39" t="str">
        <f t="shared" si="8"/>
        <v/>
      </c>
      <c r="U65" s="40" t="str">
        <f t="shared" si="9"/>
        <v/>
      </c>
      <c r="V65" s="33" t="str">
        <f t="shared" si="10"/>
        <v/>
      </c>
      <c r="W65" s="33" t="str">
        <f t="shared" si="11"/>
        <v/>
      </c>
      <c r="X65" s="41" t="str">
        <f>IF($A65="","",IFERROR(MATCH($A65,Comenzi!$A$9:$A$108,0)+8,""))</f>
        <v/>
      </c>
      <c r="Y65" s="41" t="str">
        <f t="shared" si="12"/>
        <v/>
      </c>
      <c r="Z65" s="42" t="str">
        <f>IF($A65="","",IF($A65="?","Lipseste ID-ul comenzii (col. A din PI Furnizor)",IF(NOT(ISNUMBER($X65)),"ID comanda negasit in foaia Comenzi",IF(N($E65)&lt;=0,"Lipseste cantitatea",IF(N($G65)=0,"Pret unitar lipsa",IF($Y65&lt;&gt;1,"Curs sau moneda marfa lipsa (foaia Comenzi)",IF(INDEX(Comenzi!$AT:$AT,$X65)&lt;&gt;"OK","Avertisment comanda: "&amp;INDEX(Comenzi!$AT:$AT,$X65),"OK")))))))</f>
        <v/>
      </c>
      <c r="AA65" s="43" t="str">
        <f>IF(ISNUMBER($X65),INDEX(Comenzi!$H:$H,$X65),"")</f>
        <v/>
      </c>
      <c r="AB65" s="43" t="str">
        <f>IF(ISNUMBER($X65),INDEX(Comenzi!$I:$I,$X65),"")</f>
        <v/>
      </c>
      <c r="AC65" s="44" t="str">
        <f>IF(ISNUMBER($X65),IF(INDEX(Comenzi!$V:$V,$X65)="",Comenzi!$D$3,INDEX(Comenzi!$V:$V,$X65)),"")</f>
        <v/>
      </c>
      <c r="AD65" s="44" t="str">
        <f>IF(ISNUMBER($X65),IF(INDEX(Comenzi!$U:$U,$X65)="",Comenzi!$D$4,INDEX(Comenzi!$U:$U,$X65)),"")</f>
        <v/>
      </c>
      <c r="AE65" s="45" t="str">
        <f>IF($Y65&lt;&gt;1,"",IF(INDEX(Comenzi!$AM:$AM,$X65)="Greutate",INDEX('PI Furnizor'!$O:$O,ROW()-3),IF(INDEX(Comenzi!$AM:$AM,$X65)="Volum (CBM)",INDEX('PI Furnizor'!$Q:$Q,ROW()-3),IF(INDEX(Comenzi!$AM:$AM,$X65)="Valoare marfa",INDEX('PI Furnizor'!$N:$N,ROW()-3),$E65))))</f>
        <v/>
      </c>
    </row>
    <row r="66" spans="1:31" x14ac:dyDescent="0.3">
      <c r="A66" s="28" t="str">
        <f>IF(COUNTA(INDEX('PI Furnizor'!$A:$E,ROW()-3,0))=0,"",IF(INDEX('PI Furnizor'!$A:$A,ROW()-3)="","?",INDEX('PI Furnizor'!$A:$A,ROW()-3)))</f>
        <v/>
      </c>
      <c r="B66" s="29" t="str">
        <f>IF(ISNUMBER($X66),INDEX(Comenzi!$B:$B,$X66),"")</f>
        <v/>
      </c>
      <c r="C66" s="28" t="str">
        <f>IF($A66="","",INDEX('PI Furnizor'!$B:$B,ROW()-3)&amp;"")</f>
        <v/>
      </c>
      <c r="D66" s="28" t="str">
        <f>IF($A66="","",INDEX('PI Furnizor'!$C:$C,ROW()-3)&amp;"")</f>
        <v/>
      </c>
      <c r="E66" s="30" t="str">
        <f>IF($A66="","",N(INDEX('PI Furnizor'!$D:$D,ROW()-3)))</f>
        <v/>
      </c>
      <c r="F66" s="31" t="str">
        <f>IF(ISNUMBER($X66),INDEX(Comenzi!$G:$G,$X66),"")</f>
        <v/>
      </c>
      <c r="G66" s="32" t="str">
        <f>IF($A66="","",N(INDEX('PI Furnizor'!$E:$E,ROW()-3)))</f>
        <v/>
      </c>
      <c r="H66" s="33" t="str">
        <f t="shared" si="0"/>
        <v/>
      </c>
      <c r="I66" s="34" t="str">
        <f>IF($Y66&lt;&gt;1,"",IFERROR($AE66/INDEX(Comenzi!$AN:$AN,$X66),0))</f>
        <v/>
      </c>
      <c r="J66" s="33" t="str">
        <f>IF($Y66&lt;&gt;1,"",INDEX(Comenzi!$AG:$AG,$X66)*$I66/$E66)</f>
        <v/>
      </c>
      <c r="K66" s="33" t="str">
        <f t="shared" si="1"/>
        <v/>
      </c>
      <c r="L66" s="33" t="str">
        <f>IF($Y66&lt;&gt;1,"",$K66*$AD66+INDEX(Comenzi!$AJ:$AJ,$X66)*$I66/$E66)</f>
        <v/>
      </c>
      <c r="M66" s="33" t="str">
        <f t="shared" si="2"/>
        <v/>
      </c>
      <c r="N66" s="33" t="str">
        <f t="shared" si="3"/>
        <v/>
      </c>
      <c r="O66" s="33" t="str">
        <f>IF($Y66&lt;&gt;1,"",(INDEX(Comenzi!$AK:$AK,$X66)+N(INDEX(Comenzi!$T:$T,$X66)))*$I66/$E66)</f>
        <v/>
      </c>
      <c r="P66" s="35" t="str">
        <f t="shared" si="4"/>
        <v/>
      </c>
      <c r="Q66" s="36" t="str">
        <f t="shared" si="5"/>
        <v/>
      </c>
      <c r="R66" s="37" t="str">
        <f t="shared" si="6"/>
        <v/>
      </c>
      <c r="S66" s="38" t="str">
        <f t="shared" si="7"/>
        <v/>
      </c>
      <c r="T66" s="39" t="str">
        <f t="shared" si="8"/>
        <v/>
      </c>
      <c r="U66" s="40" t="str">
        <f t="shared" si="9"/>
        <v/>
      </c>
      <c r="V66" s="33" t="str">
        <f t="shared" si="10"/>
        <v/>
      </c>
      <c r="W66" s="33" t="str">
        <f t="shared" si="11"/>
        <v/>
      </c>
      <c r="X66" s="41" t="str">
        <f>IF($A66="","",IFERROR(MATCH($A66,Comenzi!$A$9:$A$108,0)+8,""))</f>
        <v/>
      </c>
      <c r="Y66" s="41" t="str">
        <f t="shared" si="12"/>
        <v/>
      </c>
      <c r="Z66" s="42" t="str">
        <f>IF($A66="","",IF($A66="?","Lipseste ID-ul comenzii (col. A din PI Furnizor)",IF(NOT(ISNUMBER($X66)),"ID comanda negasit in foaia Comenzi",IF(N($E66)&lt;=0,"Lipseste cantitatea",IF(N($G66)=0,"Pret unitar lipsa",IF($Y66&lt;&gt;1,"Curs sau moneda marfa lipsa (foaia Comenzi)",IF(INDEX(Comenzi!$AT:$AT,$X66)&lt;&gt;"OK","Avertisment comanda: "&amp;INDEX(Comenzi!$AT:$AT,$X66),"OK")))))))</f>
        <v/>
      </c>
      <c r="AA66" s="43" t="str">
        <f>IF(ISNUMBER($X66),INDEX(Comenzi!$H:$H,$X66),"")</f>
        <v/>
      </c>
      <c r="AB66" s="43" t="str">
        <f>IF(ISNUMBER($X66),INDEX(Comenzi!$I:$I,$X66),"")</f>
        <v/>
      </c>
      <c r="AC66" s="44" t="str">
        <f>IF(ISNUMBER($X66),IF(INDEX(Comenzi!$V:$V,$X66)="",Comenzi!$D$3,INDEX(Comenzi!$V:$V,$X66)),"")</f>
        <v/>
      </c>
      <c r="AD66" s="44" t="str">
        <f>IF(ISNUMBER($X66),IF(INDEX(Comenzi!$U:$U,$X66)="",Comenzi!$D$4,INDEX(Comenzi!$U:$U,$X66)),"")</f>
        <v/>
      </c>
      <c r="AE66" s="45" t="str">
        <f>IF($Y66&lt;&gt;1,"",IF(INDEX(Comenzi!$AM:$AM,$X66)="Greutate",INDEX('PI Furnizor'!$O:$O,ROW()-3),IF(INDEX(Comenzi!$AM:$AM,$X66)="Volum (CBM)",INDEX('PI Furnizor'!$Q:$Q,ROW()-3),IF(INDEX(Comenzi!$AM:$AM,$X66)="Valoare marfa",INDEX('PI Furnizor'!$N:$N,ROW()-3),$E66))))</f>
        <v/>
      </c>
    </row>
    <row r="67" spans="1:31" x14ac:dyDescent="0.3">
      <c r="A67" s="28" t="str">
        <f>IF(COUNTA(INDEX('PI Furnizor'!$A:$E,ROW()-3,0))=0,"",IF(INDEX('PI Furnizor'!$A:$A,ROW()-3)="","?",INDEX('PI Furnizor'!$A:$A,ROW()-3)))</f>
        <v/>
      </c>
      <c r="B67" s="29" t="str">
        <f>IF(ISNUMBER($X67),INDEX(Comenzi!$B:$B,$X67),"")</f>
        <v/>
      </c>
      <c r="C67" s="28" t="str">
        <f>IF($A67="","",INDEX('PI Furnizor'!$B:$B,ROW()-3)&amp;"")</f>
        <v/>
      </c>
      <c r="D67" s="28" t="str">
        <f>IF($A67="","",INDEX('PI Furnizor'!$C:$C,ROW()-3)&amp;"")</f>
        <v/>
      </c>
      <c r="E67" s="30" t="str">
        <f>IF($A67="","",N(INDEX('PI Furnizor'!$D:$D,ROW()-3)))</f>
        <v/>
      </c>
      <c r="F67" s="31" t="str">
        <f>IF(ISNUMBER($X67),INDEX(Comenzi!$G:$G,$X67),"")</f>
        <v/>
      </c>
      <c r="G67" s="32" t="str">
        <f>IF($A67="","",N(INDEX('PI Furnizor'!$E:$E,ROW()-3)))</f>
        <v/>
      </c>
      <c r="H67" s="33" t="str">
        <f t="shared" si="0"/>
        <v/>
      </c>
      <c r="I67" s="34" t="str">
        <f>IF($Y67&lt;&gt;1,"",IFERROR($AE67/INDEX(Comenzi!$AN:$AN,$X67),0))</f>
        <v/>
      </c>
      <c r="J67" s="33" t="str">
        <f>IF($Y67&lt;&gt;1,"",INDEX(Comenzi!$AG:$AG,$X67)*$I67/$E67)</f>
        <v/>
      </c>
      <c r="K67" s="33" t="str">
        <f t="shared" si="1"/>
        <v/>
      </c>
      <c r="L67" s="33" t="str">
        <f>IF($Y67&lt;&gt;1,"",$K67*$AD67+INDEX(Comenzi!$AJ:$AJ,$X67)*$I67/$E67)</f>
        <v/>
      </c>
      <c r="M67" s="33" t="str">
        <f t="shared" si="2"/>
        <v/>
      </c>
      <c r="N67" s="33" t="str">
        <f t="shared" si="3"/>
        <v/>
      </c>
      <c r="O67" s="33" t="str">
        <f>IF($Y67&lt;&gt;1,"",(INDEX(Comenzi!$AK:$AK,$X67)+N(INDEX(Comenzi!$T:$T,$X67)))*$I67/$E67)</f>
        <v/>
      </c>
      <c r="P67" s="35" t="str">
        <f t="shared" si="4"/>
        <v/>
      </c>
      <c r="Q67" s="36" t="str">
        <f t="shared" si="5"/>
        <v/>
      </c>
      <c r="R67" s="37" t="str">
        <f t="shared" si="6"/>
        <v/>
      </c>
      <c r="S67" s="38" t="str">
        <f t="shared" si="7"/>
        <v/>
      </c>
      <c r="T67" s="39" t="str">
        <f t="shared" si="8"/>
        <v/>
      </c>
      <c r="U67" s="40" t="str">
        <f t="shared" si="9"/>
        <v/>
      </c>
      <c r="V67" s="33" t="str">
        <f t="shared" si="10"/>
        <v/>
      </c>
      <c r="W67" s="33" t="str">
        <f t="shared" si="11"/>
        <v/>
      </c>
      <c r="X67" s="41" t="str">
        <f>IF($A67="","",IFERROR(MATCH($A67,Comenzi!$A$9:$A$108,0)+8,""))</f>
        <v/>
      </c>
      <c r="Y67" s="41" t="str">
        <f t="shared" si="12"/>
        <v/>
      </c>
      <c r="Z67" s="42" t="str">
        <f>IF($A67="","",IF($A67="?","Lipseste ID-ul comenzii (col. A din PI Furnizor)",IF(NOT(ISNUMBER($X67)),"ID comanda negasit in foaia Comenzi",IF(N($E67)&lt;=0,"Lipseste cantitatea",IF(N($G67)=0,"Pret unitar lipsa",IF($Y67&lt;&gt;1,"Curs sau moneda marfa lipsa (foaia Comenzi)",IF(INDEX(Comenzi!$AT:$AT,$X67)&lt;&gt;"OK","Avertisment comanda: "&amp;INDEX(Comenzi!$AT:$AT,$X67),"OK")))))))</f>
        <v/>
      </c>
      <c r="AA67" s="43" t="str">
        <f>IF(ISNUMBER($X67),INDEX(Comenzi!$H:$H,$X67),"")</f>
        <v/>
      </c>
      <c r="AB67" s="43" t="str">
        <f>IF(ISNUMBER($X67),INDEX(Comenzi!$I:$I,$X67),"")</f>
        <v/>
      </c>
      <c r="AC67" s="44" t="str">
        <f>IF(ISNUMBER($X67),IF(INDEX(Comenzi!$V:$V,$X67)="",Comenzi!$D$3,INDEX(Comenzi!$V:$V,$X67)),"")</f>
        <v/>
      </c>
      <c r="AD67" s="44" t="str">
        <f>IF(ISNUMBER($X67),IF(INDEX(Comenzi!$U:$U,$X67)="",Comenzi!$D$4,INDEX(Comenzi!$U:$U,$X67)),"")</f>
        <v/>
      </c>
      <c r="AE67" s="45" t="str">
        <f>IF($Y67&lt;&gt;1,"",IF(INDEX(Comenzi!$AM:$AM,$X67)="Greutate",INDEX('PI Furnizor'!$O:$O,ROW()-3),IF(INDEX(Comenzi!$AM:$AM,$X67)="Volum (CBM)",INDEX('PI Furnizor'!$Q:$Q,ROW()-3),IF(INDEX(Comenzi!$AM:$AM,$X67)="Valoare marfa",INDEX('PI Furnizor'!$N:$N,ROW()-3),$E67))))</f>
        <v/>
      </c>
    </row>
    <row r="68" spans="1:31" x14ac:dyDescent="0.3">
      <c r="A68" s="28" t="str">
        <f>IF(COUNTA(INDEX('PI Furnizor'!$A:$E,ROW()-3,0))=0,"",IF(INDEX('PI Furnizor'!$A:$A,ROW()-3)="","?",INDEX('PI Furnizor'!$A:$A,ROW()-3)))</f>
        <v/>
      </c>
      <c r="B68" s="29" t="str">
        <f>IF(ISNUMBER($X68),INDEX(Comenzi!$B:$B,$X68),"")</f>
        <v/>
      </c>
      <c r="C68" s="28" t="str">
        <f>IF($A68="","",INDEX('PI Furnizor'!$B:$B,ROW()-3)&amp;"")</f>
        <v/>
      </c>
      <c r="D68" s="28" t="str">
        <f>IF($A68="","",INDEX('PI Furnizor'!$C:$C,ROW()-3)&amp;"")</f>
        <v/>
      </c>
      <c r="E68" s="30" t="str">
        <f>IF($A68="","",N(INDEX('PI Furnizor'!$D:$D,ROW()-3)))</f>
        <v/>
      </c>
      <c r="F68" s="31" t="str">
        <f>IF(ISNUMBER($X68),INDEX(Comenzi!$G:$G,$X68),"")</f>
        <v/>
      </c>
      <c r="G68" s="32" t="str">
        <f>IF($A68="","",N(INDEX('PI Furnizor'!$E:$E,ROW()-3)))</f>
        <v/>
      </c>
      <c r="H68" s="33" t="str">
        <f t="shared" si="0"/>
        <v/>
      </c>
      <c r="I68" s="34" t="str">
        <f>IF($Y68&lt;&gt;1,"",IFERROR($AE68/INDEX(Comenzi!$AN:$AN,$X68),0))</f>
        <v/>
      </c>
      <c r="J68" s="33" t="str">
        <f>IF($Y68&lt;&gt;1,"",INDEX(Comenzi!$AG:$AG,$X68)*$I68/$E68)</f>
        <v/>
      </c>
      <c r="K68" s="33" t="str">
        <f t="shared" si="1"/>
        <v/>
      </c>
      <c r="L68" s="33" t="str">
        <f>IF($Y68&lt;&gt;1,"",$K68*$AD68+INDEX(Comenzi!$AJ:$AJ,$X68)*$I68/$E68)</f>
        <v/>
      </c>
      <c r="M68" s="33" t="str">
        <f t="shared" si="2"/>
        <v/>
      </c>
      <c r="N68" s="33" t="str">
        <f t="shared" si="3"/>
        <v/>
      </c>
      <c r="O68" s="33" t="str">
        <f>IF($Y68&lt;&gt;1,"",(INDEX(Comenzi!$AK:$AK,$X68)+N(INDEX(Comenzi!$T:$T,$X68)))*$I68/$E68)</f>
        <v/>
      </c>
      <c r="P68" s="35" t="str">
        <f t="shared" si="4"/>
        <v/>
      </c>
      <c r="Q68" s="36" t="str">
        <f t="shared" si="5"/>
        <v/>
      </c>
      <c r="R68" s="37" t="str">
        <f t="shared" si="6"/>
        <v/>
      </c>
      <c r="S68" s="38" t="str">
        <f t="shared" si="7"/>
        <v/>
      </c>
      <c r="T68" s="39" t="str">
        <f t="shared" si="8"/>
        <v/>
      </c>
      <c r="U68" s="40" t="str">
        <f t="shared" si="9"/>
        <v/>
      </c>
      <c r="V68" s="33" t="str">
        <f t="shared" si="10"/>
        <v/>
      </c>
      <c r="W68" s="33" t="str">
        <f t="shared" si="11"/>
        <v/>
      </c>
      <c r="X68" s="41" t="str">
        <f>IF($A68="","",IFERROR(MATCH($A68,Comenzi!$A$9:$A$108,0)+8,""))</f>
        <v/>
      </c>
      <c r="Y68" s="41" t="str">
        <f t="shared" si="12"/>
        <v/>
      </c>
      <c r="Z68" s="42" t="str">
        <f>IF($A68="","",IF($A68="?","Lipseste ID-ul comenzii (col. A din PI Furnizor)",IF(NOT(ISNUMBER($X68)),"ID comanda negasit in foaia Comenzi",IF(N($E68)&lt;=0,"Lipseste cantitatea",IF(N($G68)=0,"Pret unitar lipsa",IF($Y68&lt;&gt;1,"Curs sau moneda marfa lipsa (foaia Comenzi)",IF(INDEX(Comenzi!$AT:$AT,$X68)&lt;&gt;"OK","Avertisment comanda: "&amp;INDEX(Comenzi!$AT:$AT,$X68),"OK")))))))</f>
        <v/>
      </c>
      <c r="AA68" s="43" t="str">
        <f>IF(ISNUMBER($X68),INDEX(Comenzi!$H:$H,$X68),"")</f>
        <v/>
      </c>
      <c r="AB68" s="43" t="str">
        <f>IF(ISNUMBER($X68),INDEX(Comenzi!$I:$I,$X68),"")</f>
        <v/>
      </c>
      <c r="AC68" s="44" t="str">
        <f>IF(ISNUMBER($X68),IF(INDEX(Comenzi!$V:$V,$X68)="",Comenzi!$D$3,INDEX(Comenzi!$V:$V,$X68)),"")</f>
        <v/>
      </c>
      <c r="AD68" s="44" t="str">
        <f>IF(ISNUMBER($X68),IF(INDEX(Comenzi!$U:$U,$X68)="",Comenzi!$D$4,INDEX(Comenzi!$U:$U,$X68)),"")</f>
        <v/>
      </c>
      <c r="AE68" s="45" t="str">
        <f>IF($Y68&lt;&gt;1,"",IF(INDEX(Comenzi!$AM:$AM,$X68)="Greutate",INDEX('PI Furnizor'!$O:$O,ROW()-3),IF(INDEX(Comenzi!$AM:$AM,$X68)="Volum (CBM)",INDEX('PI Furnizor'!$Q:$Q,ROW()-3),IF(INDEX(Comenzi!$AM:$AM,$X68)="Valoare marfa",INDEX('PI Furnizor'!$N:$N,ROW()-3),$E68))))</f>
        <v/>
      </c>
    </row>
    <row r="69" spans="1:31" x14ac:dyDescent="0.3">
      <c r="A69" s="28" t="str">
        <f>IF(COUNTA(INDEX('PI Furnizor'!$A:$E,ROW()-3,0))=0,"",IF(INDEX('PI Furnizor'!$A:$A,ROW()-3)="","?",INDEX('PI Furnizor'!$A:$A,ROW()-3)))</f>
        <v/>
      </c>
      <c r="B69" s="29" t="str">
        <f>IF(ISNUMBER($X69),INDEX(Comenzi!$B:$B,$X69),"")</f>
        <v/>
      </c>
      <c r="C69" s="28" t="str">
        <f>IF($A69="","",INDEX('PI Furnizor'!$B:$B,ROW()-3)&amp;"")</f>
        <v/>
      </c>
      <c r="D69" s="28" t="str">
        <f>IF($A69="","",INDEX('PI Furnizor'!$C:$C,ROW()-3)&amp;"")</f>
        <v/>
      </c>
      <c r="E69" s="30" t="str">
        <f>IF($A69="","",N(INDEX('PI Furnizor'!$D:$D,ROW()-3)))</f>
        <v/>
      </c>
      <c r="F69" s="31" t="str">
        <f>IF(ISNUMBER($X69),INDEX(Comenzi!$G:$G,$X69),"")</f>
        <v/>
      </c>
      <c r="G69" s="32" t="str">
        <f>IF($A69="","",N(INDEX('PI Furnizor'!$E:$E,ROW()-3)))</f>
        <v/>
      </c>
      <c r="H69" s="33" t="str">
        <f t="shared" si="0"/>
        <v/>
      </c>
      <c r="I69" s="34" t="str">
        <f>IF($Y69&lt;&gt;1,"",IFERROR($AE69/INDEX(Comenzi!$AN:$AN,$X69),0))</f>
        <v/>
      </c>
      <c r="J69" s="33" t="str">
        <f>IF($Y69&lt;&gt;1,"",INDEX(Comenzi!$AG:$AG,$X69)*$I69/$E69)</f>
        <v/>
      </c>
      <c r="K69" s="33" t="str">
        <f t="shared" si="1"/>
        <v/>
      </c>
      <c r="L69" s="33" t="str">
        <f>IF($Y69&lt;&gt;1,"",$K69*$AD69+INDEX(Comenzi!$AJ:$AJ,$X69)*$I69/$E69)</f>
        <v/>
      </c>
      <c r="M69" s="33" t="str">
        <f t="shared" si="2"/>
        <v/>
      </c>
      <c r="N69" s="33" t="str">
        <f t="shared" si="3"/>
        <v/>
      </c>
      <c r="O69" s="33" t="str">
        <f>IF($Y69&lt;&gt;1,"",(INDEX(Comenzi!$AK:$AK,$X69)+N(INDEX(Comenzi!$T:$T,$X69)))*$I69/$E69)</f>
        <v/>
      </c>
      <c r="P69" s="35" t="str">
        <f t="shared" si="4"/>
        <v/>
      </c>
      <c r="Q69" s="36" t="str">
        <f t="shared" si="5"/>
        <v/>
      </c>
      <c r="R69" s="37" t="str">
        <f t="shared" si="6"/>
        <v/>
      </c>
      <c r="S69" s="38" t="str">
        <f t="shared" si="7"/>
        <v/>
      </c>
      <c r="T69" s="39" t="str">
        <f t="shared" si="8"/>
        <v/>
      </c>
      <c r="U69" s="40" t="str">
        <f t="shared" si="9"/>
        <v/>
      </c>
      <c r="V69" s="33" t="str">
        <f t="shared" si="10"/>
        <v/>
      </c>
      <c r="W69" s="33" t="str">
        <f t="shared" si="11"/>
        <v/>
      </c>
      <c r="X69" s="41" t="str">
        <f>IF($A69="","",IFERROR(MATCH($A69,Comenzi!$A$9:$A$108,0)+8,""))</f>
        <v/>
      </c>
      <c r="Y69" s="41" t="str">
        <f t="shared" si="12"/>
        <v/>
      </c>
      <c r="Z69" s="42" t="str">
        <f>IF($A69="","",IF($A69="?","Lipseste ID-ul comenzii (col. A din PI Furnizor)",IF(NOT(ISNUMBER($X69)),"ID comanda negasit in foaia Comenzi",IF(N($E69)&lt;=0,"Lipseste cantitatea",IF(N($G69)=0,"Pret unitar lipsa",IF($Y69&lt;&gt;1,"Curs sau moneda marfa lipsa (foaia Comenzi)",IF(INDEX(Comenzi!$AT:$AT,$X69)&lt;&gt;"OK","Avertisment comanda: "&amp;INDEX(Comenzi!$AT:$AT,$X69),"OK")))))))</f>
        <v/>
      </c>
      <c r="AA69" s="43" t="str">
        <f>IF(ISNUMBER($X69),INDEX(Comenzi!$H:$H,$X69),"")</f>
        <v/>
      </c>
      <c r="AB69" s="43" t="str">
        <f>IF(ISNUMBER($X69),INDEX(Comenzi!$I:$I,$X69),"")</f>
        <v/>
      </c>
      <c r="AC69" s="44" t="str">
        <f>IF(ISNUMBER($X69),IF(INDEX(Comenzi!$V:$V,$X69)="",Comenzi!$D$3,INDEX(Comenzi!$V:$V,$X69)),"")</f>
        <v/>
      </c>
      <c r="AD69" s="44" t="str">
        <f>IF(ISNUMBER($X69),IF(INDEX(Comenzi!$U:$U,$X69)="",Comenzi!$D$4,INDEX(Comenzi!$U:$U,$X69)),"")</f>
        <v/>
      </c>
      <c r="AE69" s="45" t="str">
        <f>IF($Y69&lt;&gt;1,"",IF(INDEX(Comenzi!$AM:$AM,$X69)="Greutate",INDEX('PI Furnizor'!$O:$O,ROW()-3),IF(INDEX(Comenzi!$AM:$AM,$X69)="Volum (CBM)",INDEX('PI Furnizor'!$Q:$Q,ROW()-3),IF(INDEX(Comenzi!$AM:$AM,$X69)="Valoare marfa",INDEX('PI Furnizor'!$N:$N,ROW()-3),$E69))))</f>
        <v/>
      </c>
    </row>
    <row r="70" spans="1:31" x14ac:dyDescent="0.3">
      <c r="A70" s="28" t="str">
        <f>IF(COUNTA(INDEX('PI Furnizor'!$A:$E,ROW()-3,0))=0,"",IF(INDEX('PI Furnizor'!$A:$A,ROW()-3)="","?",INDEX('PI Furnizor'!$A:$A,ROW()-3)))</f>
        <v/>
      </c>
      <c r="B70" s="29" t="str">
        <f>IF(ISNUMBER($X70),INDEX(Comenzi!$B:$B,$X70),"")</f>
        <v/>
      </c>
      <c r="C70" s="28" t="str">
        <f>IF($A70="","",INDEX('PI Furnizor'!$B:$B,ROW()-3)&amp;"")</f>
        <v/>
      </c>
      <c r="D70" s="28" t="str">
        <f>IF($A70="","",INDEX('PI Furnizor'!$C:$C,ROW()-3)&amp;"")</f>
        <v/>
      </c>
      <c r="E70" s="30" t="str">
        <f>IF($A70="","",N(INDEX('PI Furnizor'!$D:$D,ROW()-3)))</f>
        <v/>
      </c>
      <c r="F70" s="31" t="str">
        <f>IF(ISNUMBER($X70),INDEX(Comenzi!$G:$G,$X70),"")</f>
        <v/>
      </c>
      <c r="G70" s="32" t="str">
        <f>IF($A70="","",N(INDEX('PI Furnizor'!$E:$E,ROW()-3)))</f>
        <v/>
      </c>
      <c r="H70" s="33" t="str">
        <f t="shared" si="0"/>
        <v/>
      </c>
      <c r="I70" s="34" t="str">
        <f>IF($Y70&lt;&gt;1,"",IFERROR($AE70/INDEX(Comenzi!$AN:$AN,$X70),0))</f>
        <v/>
      </c>
      <c r="J70" s="33" t="str">
        <f>IF($Y70&lt;&gt;1,"",INDEX(Comenzi!$AG:$AG,$X70)*$I70/$E70)</f>
        <v/>
      </c>
      <c r="K70" s="33" t="str">
        <f t="shared" si="1"/>
        <v/>
      </c>
      <c r="L70" s="33" t="str">
        <f>IF($Y70&lt;&gt;1,"",$K70*$AD70+INDEX(Comenzi!$AJ:$AJ,$X70)*$I70/$E70)</f>
        <v/>
      </c>
      <c r="M70" s="33" t="str">
        <f t="shared" si="2"/>
        <v/>
      </c>
      <c r="N70" s="33" t="str">
        <f t="shared" si="3"/>
        <v/>
      </c>
      <c r="O70" s="33" t="str">
        <f>IF($Y70&lt;&gt;1,"",(INDEX(Comenzi!$AK:$AK,$X70)+N(INDEX(Comenzi!$T:$T,$X70)))*$I70/$E70)</f>
        <v/>
      </c>
      <c r="P70" s="35" t="str">
        <f t="shared" si="4"/>
        <v/>
      </c>
      <c r="Q70" s="36" t="str">
        <f t="shared" si="5"/>
        <v/>
      </c>
      <c r="R70" s="37" t="str">
        <f t="shared" si="6"/>
        <v/>
      </c>
      <c r="S70" s="38" t="str">
        <f t="shared" si="7"/>
        <v/>
      </c>
      <c r="T70" s="39" t="str">
        <f t="shared" si="8"/>
        <v/>
      </c>
      <c r="U70" s="40" t="str">
        <f t="shared" si="9"/>
        <v/>
      </c>
      <c r="V70" s="33" t="str">
        <f t="shared" si="10"/>
        <v/>
      </c>
      <c r="W70" s="33" t="str">
        <f t="shared" si="11"/>
        <v/>
      </c>
      <c r="X70" s="41" t="str">
        <f>IF($A70="","",IFERROR(MATCH($A70,Comenzi!$A$9:$A$108,0)+8,""))</f>
        <v/>
      </c>
      <c r="Y70" s="41" t="str">
        <f t="shared" si="12"/>
        <v/>
      </c>
      <c r="Z70" s="42" t="str">
        <f>IF($A70="","",IF($A70="?","Lipseste ID-ul comenzii (col. A din PI Furnizor)",IF(NOT(ISNUMBER($X70)),"ID comanda negasit in foaia Comenzi",IF(N($E70)&lt;=0,"Lipseste cantitatea",IF(N($G70)=0,"Pret unitar lipsa",IF($Y70&lt;&gt;1,"Curs sau moneda marfa lipsa (foaia Comenzi)",IF(INDEX(Comenzi!$AT:$AT,$X70)&lt;&gt;"OK","Avertisment comanda: "&amp;INDEX(Comenzi!$AT:$AT,$X70),"OK")))))))</f>
        <v/>
      </c>
      <c r="AA70" s="43" t="str">
        <f>IF(ISNUMBER($X70),INDEX(Comenzi!$H:$H,$X70),"")</f>
        <v/>
      </c>
      <c r="AB70" s="43" t="str">
        <f>IF(ISNUMBER($X70),INDEX(Comenzi!$I:$I,$X70),"")</f>
        <v/>
      </c>
      <c r="AC70" s="44" t="str">
        <f>IF(ISNUMBER($X70),IF(INDEX(Comenzi!$V:$V,$X70)="",Comenzi!$D$3,INDEX(Comenzi!$V:$V,$X70)),"")</f>
        <v/>
      </c>
      <c r="AD70" s="44" t="str">
        <f>IF(ISNUMBER($X70),IF(INDEX(Comenzi!$U:$U,$X70)="",Comenzi!$D$4,INDEX(Comenzi!$U:$U,$X70)),"")</f>
        <v/>
      </c>
      <c r="AE70" s="45" t="str">
        <f>IF($Y70&lt;&gt;1,"",IF(INDEX(Comenzi!$AM:$AM,$X70)="Greutate",INDEX('PI Furnizor'!$O:$O,ROW()-3),IF(INDEX(Comenzi!$AM:$AM,$X70)="Volum (CBM)",INDEX('PI Furnizor'!$Q:$Q,ROW()-3),IF(INDEX(Comenzi!$AM:$AM,$X70)="Valoare marfa",INDEX('PI Furnizor'!$N:$N,ROW()-3),$E70))))</f>
        <v/>
      </c>
    </row>
    <row r="71" spans="1:31" x14ac:dyDescent="0.3">
      <c r="A71" s="28" t="str">
        <f>IF(COUNTA(INDEX('PI Furnizor'!$A:$E,ROW()-3,0))=0,"",IF(INDEX('PI Furnizor'!$A:$A,ROW()-3)="","?",INDEX('PI Furnizor'!$A:$A,ROW()-3)))</f>
        <v/>
      </c>
      <c r="B71" s="29" t="str">
        <f>IF(ISNUMBER($X71),INDEX(Comenzi!$B:$B,$X71),"")</f>
        <v/>
      </c>
      <c r="C71" s="28" t="str">
        <f>IF($A71="","",INDEX('PI Furnizor'!$B:$B,ROW()-3)&amp;"")</f>
        <v/>
      </c>
      <c r="D71" s="28" t="str">
        <f>IF($A71="","",INDEX('PI Furnizor'!$C:$C,ROW()-3)&amp;"")</f>
        <v/>
      </c>
      <c r="E71" s="30" t="str">
        <f>IF($A71="","",N(INDEX('PI Furnizor'!$D:$D,ROW()-3)))</f>
        <v/>
      </c>
      <c r="F71" s="31" t="str">
        <f>IF(ISNUMBER($X71),INDEX(Comenzi!$G:$G,$X71),"")</f>
        <v/>
      </c>
      <c r="G71" s="32" t="str">
        <f>IF($A71="","",N(INDEX('PI Furnizor'!$E:$E,ROW()-3)))</f>
        <v/>
      </c>
      <c r="H71" s="33" t="str">
        <f t="shared" si="0"/>
        <v/>
      </c>
      <c r="I71" s="34" t="str">
        <f>IF($Y71&lt;&gt;1,"",IFERROR($AE71/INDEX(Comenzi!$AN:$AN,$X71),0))</f>
        <v/>
      </c>
      <c r="J71" s="33" t="str">
        <f>IF($Y71&lt;&gt;1,"",INDEX(Comenzi!$AG:$AG,$X71)*$I71/$E71)</f>
        <v/>
      </c>
      <c r="K71" s="33" t="str">
        <f t="shared" si="1"/>
        <v/>
      </c>
      <c r="L71" s="33" t="str">
        <f>IF($Y71&lt;&gt;1,"",$K71*$AD71+INDEX(Comenzi!$AJ:$AJ,$X71)*$I71/$E71)</f>
        <v/>
      </c>
      <c r="M71" s="33" t="str">
        <f t="shared" si="2"/>
        <v/>
      </c>
      <c r="N71" s="33" t="str">
        <f t="shared" si="3"/>
        <v/>
      </c>
      <c r="O71" s="33" t="str">
        <f>IF($Y71&lt;&gt;1,"",(INDEX(Comenzi!$AK:$AK,$X71)+N(INDEX(Comenzi!$T:$T,$X71)))*$I71/$E71)</f>
        <v/>
      </c>
      <c r="P71" s="35" t="str">
        <f t="shared" si="4"/>
        <v/>
      </c>
      <c r="Q71" s="36" t="str">
        <f t="shared" si="5"/>
        <v/>
      </c>
      <c r="R71" s="37" t="str">
        <f t="shared" si="6"/>
        <v/>
      </c>
      <c r="S71" s="38" t="str">
        <f t="shared" si="7"/>
        <v/>
      </c>
      <c r="T71" s="39" t="str">
        <f t="shared" si="8"/>
        <v/>
      </c>
      <c r="U71" s="40" t="str">
        <f t="shared" si="9"/>
        <v/>
      </c>
      <c r="V71" s="33" t="str">
        <f t="shared" si="10"/>
        <v/>
      </c>
      <c r="W71" s="33" t="str">
        <f t="shared" si="11"/>
        <v/>
      </c>
      <c r="X71" s="41" t="str">
        <f>IF($A71="","",IFERROR(MATCH($A71,Comenzi!$A$9:$A$108,0)+8,""))</f>
        <v/>
      </c>
      <c r="Y71" s="41" t="str">
        <f t="shared" si="12"/>
        <v/>
      </c>
      <c r="Z71" s="42" t="str">
        <f>IF($A71="","",IF($A71="?","Lipseste ID-ul comenzii (col. A din PI Furnizor)",IF(NOT(ISNUMBER($X71)),"ID comanda negasit in foaia Comenzi",IF(N($E71)&lt;=0,"Lipseste cantitatea",IF(N($G71)=0,"Pret unitar lipsa",IF($Y71&lt;&gt;1,"Curs sau moneda marfa lipsa (foaia Comenzi)",IF(INDEX(Comenzi!$AT:$AT,$X71)&lt;&gt;"OK","Avertisment comanda: "&amp;INDEX(Comenzi!$AT:$AT,$X71),"OK")))))))</f>
        <v/>
      </c>
      <c r="AA71" s="43" t="str">
        <f>IF(ISNUMBER($X71),INDEX(Comenzi!$H:$H,$X71),"")</f>
        <v/>
      </c>
      <c r="AB71" s="43" t="str">
        <f>IF(ISNUMBER($X71),INDEX(Comenzi!$I:$I,$X71),"")</f>
        <v/>
      </c>
      <c r="AC71" s="44" t="str">
        <f>IF(ISNUMBER($X71),IF(INDEX(Comenzi!$V:$V,$X71)="",Comenzi!$D$3,INDEX(Comenzi!$V:$V,$X71)),"")</f>
        <v/>
      </c>
      <c r="AD71" s="44" t="str">
        <f>IF(ISNUMBER($X71),IF(INDEX(Comenzi!$U:$U,$X71)="",Comenzi!$D$4,INDEX(Comenzi!$U:$U,$X71)),"")</f>
        <v/>
      </c>
      <c r="AE71" s="45" t="str">
        <f>IF($Y71&lt;&gt;1,"",IF(INDEX(Comenzi!$AM:$AM,$X71)="Greutate",INDEX('PI Furnizor'!$O:$O,ROW()-3),IF(INDEX(Comenzi!$AM:$AM,$X71)="Volum (CBM)",INDEX('PI Furnizor'!$Q:$Q,ROW()-3),IF(INDEX(Comenzi!$AM:$AM,$X71)="Valoare marfa",INDEX('PI Furnizor'!$N:$N,ROW()-3),$E71))))</f>
        <v/>
      </c>
    </row>
    <row r="72" spans="1:31" x14ac:dyDescent="0.3">
      <c r="A72" s="28" t="str">
        <f>IF(COUNTA(INDEX('PI Furnizor'!$A:$E,ROW()-3,0))=0,"",IF(INDEX('PI Furnizor'!$A:$A,ROW()-3)="","?",INDEX('PI Furnizor'!$A:$A,ROW()-3)))</f>
        <v/>
      </c>
      <c r="B72" s="29" t="str">
        <f>IF(ISNUMBER($X72),INDEX(Comenzi!$B:$B,$X72),"")</f>
        <v/>
      </c>
      <c r="C72" s="28" t="str">
        <f>IF($A72="","",INDEX('PI Furnizor'!$B:$B,ROW()-3)&amp;"")</f>
        <v/>
      </c>
      <c r="D72" s="28" t="str">
        <f>IF($A72="","",INDEX('PI Furnizor'!$C:$C,ROW()-3)&amp;"")</f>
        <v/>
      </c>
      <c r="E72" s="30" t="str">
        <f>IF($A72="","",N(INDEX('PI Furnizor'!$D:$D,ROW()-3)))</f>
        <v/>
      </c>
      <c r="F72" s="31" t="str">
        <f>IF(ISNUMBER($X72),INDEX(Comenzi!$G:$G,$X72),"")</f>
        <v/>
      </c>
      <c r="G72" s="32" t="str">
        <f>IF($A72="","",N(INDEX('PI Furnizor'!$E:$E,ROW()-3)))</f>
        <v/>
      </c>
      <c r="H72" s="33" t="str">
        <f t="shared" si="0"/>
        <v/>
      </c>
      <c r="I72" s="34" t="str">
        <f>IF($Y72&lt;&gt;1,"",IFERROR($AE72/INDEX(Comenzi!$AN:$AN,$X72),0))</f>
        <v/>
      </c>
      <c r="J72" s="33" t="str">
        <f>IF($Y72&lt;&gt;1,"",INDEX(Comenzi!$AG:$AG,$X72)*$I72/$E72)</f>
        <v/>
      </c>
      <c r="K72" s="33" t="str">
        <f t="shared" si="1"/>
        <v/>
      </c>
      <c r="L72" s="33" t="str">
        <f>IF($Y72&lt;&gt;1,"",$K72*$AD72+INDEX(Comenzi!$AJ:$AJ,$X72)*$I72/$E72)</f>
        <v/>
      </c>
      <c r="M72" s="33" t="str">
        <f t="shared" si="2"/>
        <v/>
      </c>
      <c r="N72" s="33" t="str">
        <f t="shared" si="3"/>
        <v/>
      </c>
      <c r="O72" s="33" t="str">
        <f>IF($Y72&lt;&gt;1,"",(INDEX(Comenzi!$AK:$AK,$X72)+N(INDEX(Comenzi!$T:$T,$X72)))*$I72/$E72)</f>
        <v/>
      </c>
      <c r="P72" s="35" t="str">
        <f t="shared" si="4"/>
        <v/>
      </c>
      <c r="Q72" s="36" t="str">
        <f t="shared" si="5"/>
        <v/>
      </c>
      <c r="R72" s="37" t="str">
        <f t="shared" si="6"/>
        <v/>
      </c>
      <c r="S72" s="38" t="str">
        <f t="shared" si="7"/>
        <v/>
      </c>
      <c r="T72" s="39" t="str">
        <f t="shared" si="8"/>
        <v/>
      </c>
      <c r="U72" s="40" t="str">
        <f t="shared" si="9"/>
        <v/>
      </c>
      <c r="V72" s="33" t="str">
        <f t="shared" si="10"/>
        <v/>
      </c>
      <c r="W72" s="33" t="str">
        <f t="shared" si="11"/>
        <v/>
      </c>
      <c r="X72" s="41" t="str">
        <f>IF($A72="","",IFERROR(MATCH($A72,Comenzi!$A$9:$A$108,0)+8,""))</f>
        <v/>
      </c>
      <c r="Y72" s="41" t="str">
        <f t="shared" si="12"/>
        <v/>
      </c>
      <c r="Z72" s="42" t="str">
        <f>IF($A72="","",IF($A72="?","Lipseste ID-ul comenzii (col. A din PI Furnizor)",IF(NOT(ISNUMBER($X72)),"ID comanda negasit in foaia Comenzi",IF(N($E72)&lt;=0,"Lipseste cantitatea",IF(N($G72)=0,"Pret unitar lipsa",IF($Y72&lt;&gt;1,"Curs sau moneda marfa lipsa (foaia Comenzi)",IF(INDEX(Comenzi!$AT:$AT,$X72)&lt;&gt;"OK","Avertisment comanda: "&amp;INDEX(Comenzi!$AT:$AT,$X72),"OK")))))))</f>
        <v/>
      </c>
      <c r="AA72" s="43" t="str">
        <f>IF(ISNUMBER($X72),INDEX(Comenzi!$H:$H,$X72),"")</f>
        <v/>
      </c>
      <c r="AB72" s="43" t="str">
        <f>IF(ISNUMBER($X72),INDEX(Comenzi!$I:$I,$X72),"")</f>
        <v/>
      </c>
      <c r="AC72" s="44" t="str">
        <f>IF(ISNUMBER($X72),IF(INDEX(Comenzi!$V:$V,$X72)="",Comenzi!$D$3,INDEX(Comenzi!$V:$V,$X72)),"")</f>
        <v/>
      </c>
      <c r="AD72" s="44" t="str">
        <f>IF(ISNUMBER($X72),IF(INDEX(Comenzi!$U:$U,$X72)="",Comenzi!$D$4,INDEX(Comenzi!$U:$U,$X72)),"")</f>
        <v/>
      </c>
      <c r="AE72" s="45" t="str">
        <f>IF($Y72&lt;&gt;1,"",IF(INDEX(Comenzi!$AM:$AM,$X72)="Greutate",INDEX('PI Furnizor'!$O:$O,ROW()-3),IF(INDEX(Comenzi!$AM:$AM,$X72)="Volum (CBM)",INDEX('PI Furnizor'!$Q:$Q,ROW()-3),IF(INDEX(Comenzi!$AM:$AM,$X72)="Valoare marfa",INDEX('PI Furnizor'!$N:$N,ROW()-3),$E72))))</f>
        <v/>
      </c>
    </row>
    <row r="73" spans="1:31" x14ac:dyDescent="0.3">
      <c r="A73" s="28" t="str">
        <f>IF(COUNTA(INDEX('PI Furnizor'!$A:$E,ROW()-3,0))=0,"",IF(INDEX('PI Furnizor'!$A:$A,ROW()-3)="","?",INDEX('PI Furnizor'!$A:$A,ROW()-3)))</f>
        <v/>
      </c>
      <c r="B73" s="29" t="str">
        <f>IF(ISNUMBER($X73),INDEX(Comenzi!$B:$B,$X73),"")</f>
        <v/>
      </c>
      <c r="C73" s="28" t="str">
        <f>IF($A73="","",INDEX('PI Furnizor'!$B:$B,ROW()-3)&amp;"")</f>
        <v/>
      </c>
      <c r="D73" s="28" t="str">
        <f>IF($A73="","",INDEX('PI Furnizor'!$C:$C,ROW()-3)&amp;"")</f>
        <v/>
      </c>
      <c r="E73" s="30" t="str">
        <f>IF($A73="","",N(INDEX('PI Furnizor'!$D:$D,ROW()-3)))</f>
        <v/>
      </c>
      <c r="F73" s="31" t="str">
        <f>IF(ISNUMBER($X73),INDEX(Comenzi!$G:$G,$X73),"")</f>
        <v/>
      </c>
      <c r="G73" s="32" t="str">
        <f>IF($A73="","",N(INDEX('PI Furnizor'!$E:$E,ROW()-3)))</f>
        <v/>
      </c>
      <c r="H73" s="33" t="str">
        <f t="shared" si="0"/>
        <v/>
      </c>
      <c r="I73" s="34" t="str">
        <f>IF($Y73&lt;&gt;1,"",IFERROR($AE73/INDEX(Comenzi!$AN:$AN,$X73),0))</f>
        <v/>
      </c>
      <c r="J73" s="33" t="str">
        <f>IF($Y73&lt;&gt;1,"",INDEX(Comenzi!$AG:$AG,$X73)*$I73/$E73)</f>
        <v/>
      </c>
      <c r="K73" s="33" t="str">
        <f t="shared" si="1"/>
        <v/>
      </c>
      <c r="L73" s="33" t="str">
        <f>IF($Y73&lt;&gt;1,"",$K73*$AD73+INDEX(Comenzi!$AJ:$AJ,$X73)*$I73/$E73)</f>
        <v/>
      </c>
      <c r="M73" s="33" t="str">
        <f t="shared" si="2"/>
        <v/>
      </c>
      <c r="N73" s="33" t="str">
        <f t="shared" si="3"/>
        <v/>
      </c>
      <c r="O73" s="33" t="str">
        <f>IF($Y73&lt;&gt;1,"",(INDEX(Comenzi!$AK:$AK,$X73)+N(INDEX(Comenzi!$T:$T,$X73)))*$I73/$E73)</f>
        <v/>
      </c>
      <c r="P73" s="35" t="str">
        <f t="shared" si="4"/>
        <v/>
      </c>
      <c r="Q73" s="36" t="str">
        <f t="shared" si="5"/>
        <v/>
      </c>
      <c r="R73" s="37" t="str">
        <f t="shared" si="6"/>
        <v/>
      </c>
      <c r="S73" s="38" t="str">
        <f t="shared" si="7"/>
        <v/>
      </c>
      <c r="T73" s="39" t="str">
        <f t="shared" si="8"/>
        <v/>
      </c>
      <c r="U73" s="40" t="str">
        <f t="shared" si="9"/>
        <v/>
      </c>
      <c r="V73" s="33" t="str">
        <f t="shared" si="10"/>
        <v/>
      </c>
      <c r="W73" s="33" t="str">
        <f t="shared" si="11"/>
        <v/>
      </c>
      <c r="X73" s="41" t="str">
        <f>IF($A73="","",IFERROR(MATCH($A73,Comenzi!$A$9:$A$108,0)+8,""))</f>
        <v/>
      </c>
      <c r="Y73" s="41" t="str">
        <f t="shared" si="12"/>
        <v/>
      </c>
      <c r="Z73" s="42" t="str">
        <f>IF($A73="","",IF($A73="?","Lipseste ID-ul comenzii (col. A din PI Furnizor)",IF(NOT(ISNUMBER($X73)),"ID comanda negasit in foaia Comenzi",IF(N($E73)&lt;=0,"Lipseste cantitatea",IF(N($G73)=0,"Pret unitar lipsa",IF($Y73&lt;&gt;1,"Curs sau moneda marfa lipsa (foaia Comenzi)",IF(INDEX(Comenzi!$AT:$AT,$X73)&lt;&gt;"OK","Avertisment comanda: "&amp;INDEX(Comenzi!$AT:$AT,$X73),"OK")))))))</f>
        <v/>
      </c>
      <c r="AA73" s="43" t="str">
        <f>IF(ISNUMBER($X73),INDEX(Comenzi!$H:$H,$X73),"")</f>
        <v/>
      </c>
      <c r="AB73" s="43" t="str">
        <f>IF(ISNUMBER($X73),INDEX(Comenzi!$I:$I,$X73),"")</f>
        <v/>
      </c>
      <c r="AC73" s="44" t="str">
        <f>IF(ISNUMBER($X73),IF(INDEX(Comenzi!$V:$V,$X73)="",Comenzi!$D$3,INDEX(Comenzi!$V:$V,$X73)),"")</f>
        <v/>
      </c>
      <c r="AD73" s="44" t="str">
        <f>IF(ISNUMBER($X73),IF(INDEX(Comenzi!$U:$U,$X73)="",Comenzi!$D$4,INDEX(Comenzi!$U:$U,$X73)),"")</f>
        <v/>
      </c>
      <c r="AE73" s="45" t="str">
        <f>IF($Y73&lt;&gt;1,"",IF(INDEX(Comenzi!$AM:$AM,$X73)="Greutate",INDEX('PI Furnizor'!$O:$O,ROW()-3),IF(INDEX(Comenzi!$AM:$AM,$X73)="Volum (CBM)",INDEX('PI Furnizor'!$Q:$Q,ROW()-3),IF(INDEX(Comenzi!$AM:$AM,$X73)="Valoare marfa",INDEX('PI Furnizor'!$N:$N,ROW()-3),$E73))))</f>
        <v/>
      </c>
    </row>
    <row r="74" spans="1:31" x14ac:dyDescent="0.3">
      <c r="A74" s="28" t="str">
        <f>IF(COUNTA(INDEX('PI Furnizor'!$A:$E,ROW()-3,0))=0,"",IF(INDEX('PI Furnizor'!$A:$A,ROW()-3)="","?",INDEX('PI Furnizor'!$A:$A,ROW()-3)))</f>
        <v/>
      </c>
      <c r="B74" s="29" t="str">
        <f>IF(ISNUMBER($X74),INDEX(Comenzi!$B:$B,$X74),"")</f>
        <v/>
      </c>
      <c r="C74" s="28" t="str">
        <f>IF($A74="","",INDEX('PI Furnizor'!$B:$B,ROW()-3)&amp;"")</f>
        <v/>
      </c>
      <c r="D74" s="28" t="str">
        <f>IF($A74="","",INDEX('PI Furnizor'!$C:$C,ROW()-3)&amp;"")</f>
        <v/>
      </c>
      <c r="E74" s="30" t="str">
        <f>IF($A74="","",N(INDEX('PI Furnizor'!$D:$D,ROW()-3)))</f>
        <v/>
      </c>
      <c r="F74" s="31" t="str">
        <f>IF(ISNUMBER($X74),INDEX(Comenzi!$G:$G,$X74),"")</f>
        <v/>
      </c>
      <c r="G74" s="32" t="str">
        <f>IF($A74="","",N(INDEX('PI Furnizor'!$E:$E,ROW()-3)))</f>
        <v/>
      </c>
      <c r="H74" s="33" t="str">
        <f t="shared" ref="H74:H137" si="13">IF($Y74&lt;&gt;1,"",$G74*IF($F74="USD",$AA74,IF($F74="EUR",$AB74,1)))</f>
        <v/>
      </c>
      <c r="I74" s="34" t="str">
        <f>IF($Y74&lt;&gt;1,"",IFERROR($AE74/INDEX(Comenzi!$AN:$AN,$X74),0))</f>
        <v/>
      </c>
      <c r="J74" s="33" t="str">
        <f>IF($Y74&lt;&gt;1,"",INDEX(Comenzi!$AG:$AG,$X74)*$I74/$E74)</f>
        <v/>
      </c>
      <c r="K74" s="33" t="str">
        <f t="shared" ref="K74:K137" si="14">IF($Y74&lt;&gt;1,"",$H74+$J74)</f>
        <v/>
      </c>
      <c r="L74" s="33" t="str">
        <f>IF($Y74&lt;&gt;1,"",$K74*$AD74+INDEX(Comenzi!$AJ:$AJ,$X74)*$I74/$E74)</f>
        <v/>
      </c>
      <c r="M74" s="33" t="str">
        <f t="shared" ref="M74:M137" si="15">IF($Y74&lt;&gt;1,"",$K74+$L74)</f>
        <v/>
      </c>
      <c r="N74" s="33" t="str">
        <f t="shared" ref="N74:N137" si="16">IF($Y74&lt;&gt;1,"",$M74*$AC74)</f>
        <v/>
      </c>
      <c r="O74" s="33" t="str">
        <f>IF($Y74&lt;&gt;1,"",(INDEX(Comenzi!$AK:$AK,$X74)+N(INDEX(Comenzi!$T:$T,$X74)))*$I74/$E74)</f>
        <v/>
      </c>
      <c r="P74" s="35" t="str">
        <f t="shared" ref="P74:P137" si="17">IF($Y74&lt;&gt;1,"",$M74+$O74)</f>
        <v/>
      </c>
      <c r="Q74" s="36" t="str">
        <f t="shared" ref="Q74:Q137" si="18">IF($Y74&lt;&gt;1,"",$P74/$AB74)</f>
        <v/>
      </c>
      <c r="R74" s="37" t="str">
        <f t="shared" ref="R74:R137" si="19">IF($Y74&lt;&gt;1,"",$P74/$AA74)</f>
        <v/>
      </c>
      <c r="S74" s="38" t="str">
        <f t="shared" ref="S74:S137" si="20">IF($Y74&lt;&gt;1,"",$P74+$N74)</f>
        <v/>
      </c>
      <c r="T74" s="39" t="str">
        <f t="shared" ref="T74:T137" si="21">IF($Y74&lt;&gt;1,"",$S74/$AB74)</f>
        <v/>
      </c>
      <c r="U74" s="40" t="str">
        <f t="shared" ref="U74:U137" si="22">IF($Y74&lt;&gt;1,"",$S74/$AA74)</f>
        <v/>
      </c>
      <c r="V74" s="33" t="str">
        <f t="shared" ref="V74:V137" si="23">IF($Y74&lt;&gt;1,"",$P74*$E74)</f>
        <v/>
      </c>
      <c r="W74" s="33" t="str">
        <f t="shared" ref="W74:W137" si="24">IF($Y74&lt;&gt;1,"",$S74*$E74)</f>
        <v/>
      </c>
      <c r="X74" s="41" t="str">
        <f>IF($A74="","",IFERROR(MATCH($A74,Comenzi!$A$9:$A$108,0)+8,""))</f>
        <v/>
      </c>
      <c r="Y74" s="41" t="str">
        <f t="shared" ref="Y74:Y137" si="25">IF($A74="","",IF(AND(ISNUMBER($X74),N($E74)&gt;0,N($AA74)&gt;0,N($AB74)&gt;0,OR($F74="USD",$F74="EUR",$F74="RON")),1,0))</f>
        <v/>
      </c>
      <c r="Z74" s="42" t="str">
        <f>IF($A74="","",IF($A74="?","Lipseste ID-ul comenzii (col. A din PI Furnizor)",IF(NOT(ISNUMBER($X74)),"ID comanda negasit in foaia Comenzi",IF(N($E74)&lt;=0,"Lipseste cantitatea",IF(N($G74)=0,"Pret unitar lipsa",IF($Y74&lt;&gt;1,"Curs sau moneda marfa lipsa (foaia Comenzi)",IF(INDEX(Comenzi!$AT:$AT,$X74)&lt;&gt;"OK","Avertisment comanda: "&amp;INDEX(Comenzi!$AT:$AT,$X74),"OK")))))))</f>
        <v/>
      </c>
      <c r="AA74" s="43" t="str">
        <f>IF(ISNUMBER($X74),INDEX(Comenzi!$H:$H,$X74),"")</f>
        <v/>
      </c>
      <c r="AB74" s="43" t="str">
        <f>IF(ISNUMBER($X74),INDEX(Comenzi!$I:$I,$X74),"")</f>
        <v/>
      </c>
      <c r="AC74" s="44" t="str">
        <f>IF(ISNUMBER($X74),IF(INDEX(Comenzi!$V:$V,$X74)="",Comenzi!$D$3,INDEX(Comenzi!$V:$V,$X74)),"")</f>
        <v/>
      </c>
      <c r="AD74" s="44" t="str">
        <f>IF(ISNUMBER($X74),IF(INDEX(Comenzi!$U:$U,$X74)="",Comenzi!$D$4,INDEX(Comenzi!$U:$U,$X74)),"")</f>
        <v/>
      </c>
      <c r="AE74" s="45" t="str">
        <f>IF($Y74&lt;&gt;1,"",IF(INDEX(Comenzi!$AM:$AM,$X74)="Greutate",INDEX('PI Furnizor'!$O:$O,ROW()-3),IF(INDEX(Comenzi!$AM:$AM,$X74)="Volum (CBM)",INDEX('PI Furnizor'!$Q:$Q,ROW()-3),IF(INDEX(Comenzi!$AM:$AM,$X74)="Valoare marfa",INDEX('PI Furnizor'!$N:$N,ROW()-3),$E74))))</f>
        <v/>
      </c>
    </row>
    <row r="75" spans="1:31" x14ac:dyDescent="0.3">
      <c r="A75" s="28" t="str">
        <f>IF(COUNTA(INDEX('PI Furnizor'!$A:$E,ROW()-3,0))=0,"",IF(INDEX('PI Furnizor'!$A:$A,ROW()-3)="","?",INDEX('PI Furnizor'!$A:$A,ROW()-3)))</f>
        <v/>
      </c>
      <c r="B75" s="29" t="str">
        <f>IF(ISNUMBER($X75),INDEX(Comenzi!$B:$B,$X75),"")</f>
        <v/>
      </c>
      <c r="C75" s="28" t="str">
        <f>IF($A75="","",INDEX('PI Furnizor'!$B:$B,ROW()-3)&amp;"")</f>
        <v/>
      </c>
      <c r="D75" s="28" t="str">
        <f>IF($A75="","",INDEX('PI Furnizor'!$C:$C,ROW()-3)&amp;"")</f>
        <v/>
      </c>
      <c r="E75" s="30" t="str">
        <f>IF($A75="","",N(INDEX('PI Furnizor'!$D:$D,ROW()-3)))</f>
        <v/>
      </c>
      <c r="F75" s="31" t="str">
        <f>IF(ISNUMBER($X75),INDEX(Comenzi!$G:$G,$X75),"")</f>
        <v/>
      </c>
      <c r="G75" s="32" t="str">
        <f>IF($A75="","",N(INDEX('PI Furnizor'!$E:$E,ROW()-3)))</f>
        <v/>
      </c>
      <c r="H75" s="33" t="str">
        <f t="shared" si="13"/>
        <v/>
      </c>
      <c r="I75" s="34" t="str">
        <f>IF($Y75&lt;&gt;1,"",IFERROR($AE75/INDEX(Comenzi!$AN:$AN,$X75),0))</f>
        <v/>
      </c>
      <c r="J75" s="33" t="str">
        <f>IF($Y75&lt;&gt;1,"",INDEX(Comenzi!$AG:$AG,$X75)*$I75/$E75)</f>
        <v/>
      </c>
      <c r="K75" s="33" t="str">
        <f t="shared" si="14"/>
        <v/>
      </c>
      <c r="L75" s="33" t="str">
        <f>IF($Y75&lt;&gt;1,"",$K75*$AD75+INDEX(Comenzi!$AJ:$AJ,$X75)*$I75/$E75)</f>
        <v/>
      </c>
      <c r="M75" s="33" t="str">
        <f t="shared" si="15"/>
        <v/>
      </c>
      <c r="N75" s="33" t="str">
        <f t="shared" si="16"/>
        <v/>
      </c>
      <c r="O75" s="33" t="str">
        <f>IF($Y75&lt;&gt;1,"",(INDEX(Comenzi!$AK:$AK,$X75)+N(INDEX(Comenzi!$T:$T,$X75)))*$I75/$E75)</f>
        <v/>
      </c>
      <c r="P75" s="35" t="str">
        <f t="shared" si="17"/>
        <v/>
      </c>
      <c r="Q75" s="36" t="str">
        <f t="shared" si="18"/>
        <v/>
      </c>
      <c r="R75" s="37" t="str">
        <f t="shared" si="19"/>
        <v/>
      </c>
      <c r="S75" s="38" t="str">
        <f t="shared" si="20"/>
        <v/>
      </c>
      <c r="T75" s="39" t="str">
        <f t="shared" si="21"/>
        <v/>
      </c>
      <c r="U75" s="40" t="str">
        <f t="shared" si="22"/>
        <v/>
      </c>
      <c r="V75" s="33" t="str">
        <f t="shared" si="23"/>
        <v/>
      </c>
      <c r="W75" s="33" t="str">
        <f t="shared" si="24"/>
        <v/>
      </c>
      <c r="X75" s="41" t="str">
        <f>IF($A75="","",IFERROR(MATCH($A75,Comenzi!$A$9:$A$108,0)+8,""))</f>
        <v/>
      </c>
      <c r="Y75" s="41" t="str">
        <f t="shared" si="25"/>
        <v/>
      </c>
      <c r="Z75" s="42" t="str">
        <f>IF($A75="","",IF($A75="?","Lipseste ID-ul comenzii (col. A din PI Furnizor)",IF(NOT(ISNUMBER($X75)),"ID comanda negasit in foaia Comenzi",IF(N($E75)&lt;=0,"Lipseste cantitatea",IF(N($G75)=0,"Pret unitar lipsa",IF($Y75&lt;&gt;1,"Curs sau moneda marfa lipsa (foaia Comenzi)",IF(INDEX(Comenzi!$AT:$AT,$X75)&lt;&gt;"OK","Avertisment comanda: "&amp;INDEX(Comenzi!$AT:$AT,$X75),"OK")))))))</f>
        <v/>
      </c>
      <c r="AA75" s="43" t="str">
        <f>IF(ISNUMBER($X75),INDEX(Comenzi!$H:$H,$X75),"")</f>
        <v/>
      </c>
      <c r="AB75" s="43" t="str">
        <f>IF(ISNUMBER($X75),INDEX(Comenzi!$I:$I,$X75),"")</f>
        <v/>
      </c>
      <c r="AC75" s="44" t="str">
        <f>IF(ISNUMBER($X75),IF(INDEX(Comenzi!$V:$V,$X75)="",Comenzi!$D$3,INDEX(Comenzi!$V:$V,$X75)),"")</f>
        <v/>
      </c>
      <c r="AD75" s="44" t="str">
        <f>IF(ISNUMBER($X75),IF(INDEX(Comenzi!$U:$U,$X75)="",Comenzi!$D$4,INDEX(Comenzi!$U:$U,$X75)),"")</f>
        <v/>
      </c>
      <c r="AE75" s="45" t="str">
        <f>IF($Y75&lt;&gt;1,"",IF(INDEX(Comenzi!$AM:$AM,$X75)="Greutate",INDEX('PI Furnizor'!$O:$O,ROW()-3),IF(INDEX(Comenzi!$AM:$AM,$X75)="Volum (CBM)",INDEX('PI Furnizor'!$Q:$Q,ROW()-3),IF(INDEX(Comenzi!$AM:$AM,$X75)="Valoare marfa",INDEX('PI Furnizor'!$N:$N,ROW()-3),$E75))))</f>
        <v/>
      </c>
    </row>
    <row r="76" spans="1:31" x14ac:dyDescent="0.3">
      <c r="A76" s="28" t="str">
        <f>IF(COUNTA(INDEX('PI Furnizor'!$A:$E,ROW()-3,0))=0,"",IF(INDEX('PI Furnizor'!$A:$A,ROW()-3)="","?",INDEX('PI Furnizor'!$A:$A,ROW()-3)))</f>
        <v/>
      </c>
      <c r="B76" s="29" t="str">
        <f>IF(ISNUMBER($X76),INDEX(Comenzi!$B:$B,$X76),"")</f>
        <v/>
      </c>
      <c r="C76" s="28" t="str">
        <f>IF($A76="","",INDEX('PI Furnizor'!$B:$B,ROW()-3)&amp;"")</f>
        <v/>
      </c>
      <c r="D76" s="28" t="str">
        <f>IF($A76="","",INDEX('PI Furnizor'!$C:$C,ROW()-3)&amp;"")</f>
        <v/>
      </c>
      <c r="E76" s="30" t="str">
        <f>IF($A76="","",N(INDEX('PI Furnizor'!$D:$D,ROW()-3)))</f>
        <v/>
      </c>
      <c r="F76" s="31" t="str">
        <f>IF(ISNUMBER($X76),INDEX(Comenzi!$G:$G,$X76),"")</f>
        <v/>
      </c>
      <c r="G76" s="32" t="str">
        <f>IF($A76="","",N(INDEX('PI Furnizor'!$E:$E,ROW()-3)))</f>
        <v/>
      </c>
      <c r="H76" s="33" t="str">
        <f t="shared" si="13"/>
        <v/>
      </c>
      <c r="I76" s="34" t="str">
        <f>IF($Y76&lt;&gt;1,"",IFERROR($AE76/INDEX(Comenzi!$AN:$AN,$X76),0))</f>
        <v/>
      </c>
      <c r="J76" s="33" t="str">
        <f>IF($Y76&lt;&gt;1,"",INDEX(Comenzi!$AG:$AG,$X76)*$I76/$E76)</f>
        <v/>
      </c>
      <c r="K76" s="33" t="str">
        <f t="shared" si="14"/>
        <v/>
      </c>
      <c r="L76" s="33" t="str">
        <f>IF($Y76&lt;&gt;1,"",$K76*$AD76+INDEX(Comenzi!$AJ:$AJ,$X76)*$I76/$E76)</f>
        <v/>
      </c>
      <c r="M76" s="33" t="str">
        <f t="shared" si="15"/>
        <v/>
      </c>
      <c r="N76" s="33" t="str">
        <f t="shared" si="16"/>
        <v/>
      </c>
      <c r="O76" s="33" t="str">
        <f>IF($Y76&lt;&gt;1,"",(INDEX(Comenzi!$AK:$AK,$X76)+N(INDEX(Comenzi!$T:$T,$X76)))*$I76/$E76)</f>
        <v/>
      </c>
      <c r="P76" s="35" t="str">
        <f t="shared" si="17"/>
        <v/>
      </c>
      <c r="Q76" s="36" t="str">
        <f t="shared" si="18"/>
        <v/>
      </c>
      <c r="R76" s="37" t="str">
        <f t="shared" si="19"/>
        <v/>
      </c>
      <c r="S76" s="38" t="str">
        <f t="shared" si="20"/>
        <v/>
      </c>
      <c r="T76" s="39" t="str">
        <f t="shared" si="21"/>
        <v/>
      </c>
      <c r="U76" s="40" t="str">
        <f t="shared" si="22"/>
        <v/>
      </c>
      <c r="V76" s="33" t="str">
        <f t="shared" si="23"/>
        <v/>
      </c>
      <c r="W76" s="33" t="str">
        <f t="shared" si="24"/>
        <v/>
      </c>
      <c r="X76" s="41" t="str">
        <f>IF($A76="","",IFERROR(MATCH($A76,Comenzi!$A$9:$A$108,0)+8,""))</f>
        <v/>
      </c>
      <c r="Y76" s="41" t="str">
        <f t="shared" si="25"/>
        <v/>
      </c>
      <c r="Z76" s="42" t="str">
        <f>IF($A76="","",IF($A76="?","Lipseste ID-ul comenzii (col. A din PI Furnizor)",IF(NOT(ISNUMBER($X76)),"ID comanda negasit in foaia Comenzi",IF(N($E76)&lt;=0,"Lipseste cantitatea",IF(N($G76)=0,"Pret unitar lipsa",IF($Y76&lt;&gt;1,"Curs sau moneda marfa lipsa (foaia Comenzi)",IF(INDEX(Comenzi!$AT:$AT,$X76)&lt;&gt;"OK","Avertisment comanda: "&amp;INDEX(Comenzi!$AT:$AT,$X76),"OK")))))))</f>
        <v/>
      </c>
      <c r="AA76" s="43" t="str">
        <f>IF(ISNUMBER($X76),INDEX(Comenzi!$H:$H,$X76),"")</f>
        <v/>
      </c>
      <c r="AB76" s="43" t="str">
        <f>IF(ISNUMBER($X76),INDEX(Comenzi!$I:$I,$X76),"")</f>
        <v/>
      </c>
      <c r="AC76" s="44" t="str">
        <f>IF(ISNUMBER($X76),IF(INDEX(Comenzi!$V:$V,$X76)="",Comenzi!$D$3,INDEX(Comenzi!$V:$V,$X76)),"")</f>
        <v/>
      </c>
      <c r="AD76" s="44" t="str">
        <f>IF(ISNUMBER($X76),IF(INDEX(Comenzi!$U:$U,$X76)="",Comenzi!$D$4,INDEX(Comenzi!$U:$U,$X76)),"")</f>
        <v/>
      </c>
      <c r="AE76" s="45" t="str">
        <f>IF($Y76&lt;&gt;1,"",IF(INDEX(Comenzi!$AM:$AM,$X76)="Greutate",INDEX('PI Furnizor'!$O:$O,ROW()-3),IF(INDEX(Comenzi!$AM:$AM,$X76)="Volum (CBM)",INDEX('PI Furnizor'!$Q:$Q,ROW()-3),IF(INDEX(Comenzi!$AM:$AM,$X76)="Valoare marfa",INDEX('PI Furnizor'!$N:$N,ROW()-3),$E76))))</f>
        <v/>
      </c>
    </row>
    <row r="77" spans="1:31" x14ac:dyDescent="0.3">
      <c r="A77" s="28" t="str">
        <f>IF(COUNTA(INDEX('PI Furnizor'!$A:$E,ROW()-3,0))=0,"",IF(INDEX('PI Furnizor'!$A:$A,ROW()-3)="","?",INDEX('PI Furnizor'!$A:$A,ROW()-3)))</f>
        <v/>
      </c>
      <c r="B77" s="29" t="str">
        <f>IF(ISNUMBER($X77),INDEX(Comenzi!$B:$B,$X77),"")</f>
        <v/>
      </c>
      <c r="C77" s="28" t="str">
        <f>IF($A77="","",INDEX('PI Furnizor'!$B:$B,ROW()-3)&amp;"")</f>
        <v/>
      </c>
      <c r="D77" s="28" t="str">
        <f>IF($A77="","",INDEX('PI Furnizor'!$C:$C,ROW()-3)&amp;"")</f>
        <v/>
      </c>
      <c r="E77" s="30" t="str">
        <f>IF($A77="","",N(INDEX('PI Furnizor'!$D:$D,ROW()-3)))</f>
        <v/>
      </c>
      <c r="F77" s="31" t="str">
        <f>IF(ISNUMBER($X77),INDEX(Comenzi!$G:$G,$X77),"")</f>
        <v/>
      </c>
      <c r="G77" s="32" t="str">
        <f>IF($A77="","",N(INDEX('PI Furnizor'!$E:$E,ROW()-3)))</f>
        <v/>
      </c>
      <c r="H77" s="33" t="str">
        <f t="shared" si="13"/>
        <v/>
      </c>
      <c r="I77" s="34" t="str">
        <f>IF($Y77&lt;&gt;1,"",IFERROR($AE77/INDEX(Comenzi!$AN:$AN,$X77),0))</f>
        <v/>
      </c>
      <c r="J77" s="33" t="str">
        <f>IF($Y77&lt;&gt;1,"",INDEX(Comenzi!$AG:$AG,$X77)*$I77/$E77)</f>
        <v/>
      </c>
      <c r="K77" s="33" t="str">
        <f t="shared" si="14"/>
        <v/>
      </c>
      <c r="L77" s="33" t="str">
        <f>IF($Y77&lt;&gt;1,"",$K77*$AD77+INDEX(Comenzi!$AJ:$AJ,$X77)*$I77/$E77)</f>
        <v/>
      </c>
      <c r="M77" s="33" t="str">
        <f t="shared" si="15"/>
        <v/>
      </c>
      <c r="N77" s="33" t="str">
        <f t="shared" si="16"/>
        <v/>
      </c>
      <c r="O77" s="33" t="str">
        <f>IF($Y77&lt;&gt;1,"",(INDEX(Comenzi!$AK:$AK,$X77)+N(INDEX(Comenzi!$T:$T,$X77)))*$I77/$E77)</f>
        <v/>
      </c>
      <c r="P77" s="35" t="str">
        <f t="shared" si="17"/>
        <v/>
      </c>
      <c r="Q77" s="36" t="str">
        <f t="shared" si="18"/>
        <v/>
      </c>
      <c r="R77" s="37" t="str">
        <f t="shared" si="19"/>
        <v/>
      </c>
      <c r="S77" s="38" t="str">
        <f t="shared" si="20"/>
        <v/>
      </c>
      <c r="T77" s="39" t="str">
        <f t="shared" si="21"/>
        <v/>
      </c>
      <c r="U77" s="40" t="str">
        <f t="shared" si="22"/>
        <v/>
      </c>
      <c r="V77" s="33" t="str">
        <f t="shared" si="23"/>
        <v/>
      </c>
      <c r="W77" s="33" t="str">
        <f t="shared" si="24"/>
        <v/>
      </c>
      <c r="X77" s="41" t="str">
        <f>IF($A77="","",IFERROR(MATCH($A77,Comenzi!$A$9:$A$108,0)+8,""))</f>
        <v/>
      </c>
      <c r="Y77" s="41" t="str">
        <f t="shared" si="25"/>
        <v/>
      </c>
      <c r="Z77" s="42" t="str">
        <f>IF($A77="","",IF($A77="?","Lipseste ID-ul comenzii (col. A din PI Furnizor)",IF(NOT(ISNUMBER($X77)),"ID comanda negasit in foaia Comenzi",IF(N($E77)&lt;=0,"Lipseste cantitatea",IF(N($G77)=0,"Pret unitar lipsa",IF($Y77&lt;&gt;1,"Curs sau moneda marfa lipsa (foaia Comenzi)",IF(INDEX(Comenzi!$AT:$AT,$X77)&lt;&gt;"OK","Avertisment comanda: "&amp;INDEX(Comenzi!$AT:$AT,$X77),"OK")))))))</f>
        <v/>
      </c>
      <c r="AA77" s="43" t="str">
        <f>IF(ISNUMBER($X77),INDEX(Comenzi!$H:$H,$X77),"")</f>
        <v/>
      </c>
      <c r="AB77" s="43" t="str">
        <f>IF(ISNUMBER($X77),INDEX(Comenzi!$I:$I,$X77),"")</f>
        <v/>
      </c>
      <c r="AC77" s="44" t="str">
        <f>IF(ISNUMBER($X77),IF(INDEX(Comenzi!$V:$V,$X77)="",Comenzi!$D$3,INDEX(Comenzi!$V:$V,$X77)),"")</f>
        <v/>
      </c>
      <c r="AD77" s="44" t="str">
        <f>IF(ISNUMBER($X77),IF(INDEX(Comenzi!$U:$U,$X77)="",Comenzi!$D$4,INDEX(Comenzi!$U:$U,$X77)),"")</f>
        <v/>
      </c>
      <c r="AE77" s="45" t="str">
        <f>IF($Y77&lt;&gt;1,"",IF(INDEX(Comenzi!$AM:$AM,$X77)="Greutate",INDEX('PI Furnizor'!$O:$O,ROW()-3),IF(INDEX(Comenzi!$AM:$AM,$X77)="Volum (CBM)",INDEX('PI Furnizor'!$Q:$Q,ROW()-3),IF(INDEX(Comenzi!$AM:$AM,$X77)="Valoare marfa",INDEX('PI Furnizor'!$N:$N,ROW()-3),$E77))))</f>
        <v/>
      </c>
    </row>
    <row r="78" spans="1:31" x14ac:dyDescent="0.3">
      <c r="A78" s="28" t="str">
        <f>IF(COUNTA(INDEX('PI Furnizor'!$A:$E,ROW()-3,0))=0,"",IF(INDEX('PI Furnizor'!$A:$A,ROW()-3)="","?",INDEX('PI Furnizor'!$A:$A,ROW()-3)))</f>
        <v/>
      </c>
      <c r="B78" s="29" t="str">
        <f>IF(ISNUMBER($X78),INDEX(Comenzi!$B:$B,$X78),"")</f>
        <v/>
      </c>
      <c r="C78" s="28" t="str">
        <f>IF($A78="","",INDEX('PI Furnizor'!$B:$B,ROW()-3)&amp;"")</f>
        <v/>
      </c>
      <c r="D78" s="28" t="str">
        <f>IF($A78="","",INDEX('PI Furnizor'!$C:$C,ROW()-3)&amp;"")</f>
        <v/>
      </c>
      <c r="E78" s="30" t="str">
        <f>IF($A78="","",N(INDEX('PI Furnizor'!$D:$D,ROW()-3)))</f>
        <v/>
      </c>
      <c r="F78" s="31" t="str">
        <f>IF(ISNUMBER($X78),INDEX(Comenzi!$G:$G,$X78),"")</f>
        <v/>
      </c>
      <c r="G78" s="32" t="str">
        <f>IF($A78="","",N(INDEX('PI Furnizor'!$E:$E,ROW()-3)))</f>
        <v/>
      </c>
      <c r="H78" s="33" t="str">
        <f t="shared" si="13"/>
        <v/>
      </c>
      <c r="I78" s="34" t="str">
        <f>IF($Y78&lt;&gt;1,"",IFERROR($AE78/INDEX(Comenzi!$AN:$AN,$X78),0))</f>
        <v/>
      </c>
      <c r="J78" s="33" t="str">
        <f>IF($Y78&lt;&gt;1,"",INDEX(Comenzi!$AG:$AG,$X78)*$I78/$E78)</f>
        <v/>
      </c>
      <c r="K78" s="33" t="str">
        <f t="shared" si="14"/>
        <v/>
      </c>
      <c r="L78" s="33" t="str">
        <f>IF($Y78&lt;&gt;1,"",$K78*$AD78+INDEX(Comenzi!$AJ:$AJ,$X78)*$I78/$E78)</f>
        <v/>
      </c>
      <c r="M78" s="33" t="str">
        <f t="shared" si="15"/>
        <v/>
      </c>
      <c r="N78" s="33" t="str">
        <f t="shared" si="16"/>
        <v/>
      </c>
      <c r="O78" s="33" t="str">
        <f>IF($Y78&lt;&gt;1,"",(INDEX(Comenzi!$AK:$AK,$X78)+N(INDEX(Comenzi!$T:$T,$X78)))*$I78/$E78)</f>
        <v/>
      </c>
      <c r="P78" s="35" t="str">
        <f t="shared" si="17"/>
        <v/>
      </c>
      <c r="Q78" s="36" t="str">
        <f t="shared" si="18"/>
        <v/>
      </c>
      <c r="R78" s="37" t="str">
        <f t="shared" si="19"/>
        <v/>
      </c>
      <c r="S78" s="38" t="str">
        <f t="shared" si="20"/>
        <v/>
      </c>
      <c r="T78" s="39" t="str">
        <f t="shared" si="21"/>
        <v/>
      </c>
      <c r="U78" s="40" t="str">
        <f t="shared" si="22"/>
        <v/>
      </c>
      <c r="V78" s="33" t="str">
        <f t="shared" si="23"/>
        <v/>
      </c>
      <c r="W78" s="33" t="str">
        <f t="shared" si="24"/>
        <v/>
      </c>
      <c r="X78" s="41" t="str">
        <f>IF($A78="","",IFERROR(MATCH($A78,Comenzi!$A$9:$A$108,0)+8,""))</f>
        <v/>
      </c>
      <c r="Y78" s="41" t="str">
        <f t="shared" si="25"/>
        <v/>
      </c>
      <c r="Z78" s="42" t="str">
        <f>IF($A78="","",IF($A78="?","Lipseste ID-ul comenzii (col. A din PI Furnizor)",IF(NOT(ISNUMBER($X78)),"ID comanda negasit in foaia Comenzi",IF(N($E78)&lt;=0,"Lipseste cantitatea",IF(N($G78)=0,"Pret unitar lipsa",IF($Y78&lt;&gt;1,"Curs sau moneda marfa lipsa (foaia Comenzi)",IF(INDEX(Comenzi!$AT:$AT,$X78)&lt;&gt;"OK","Avertisment comanda: "&amp;INDEX(Comenzi!$AT:$AT,$X78),"OK")))))))</f>
        <v/>
      </c>
      <c r="AA78" s="43" t="str">
        <f>IF(ISNUMBER($X78),INDEX(Comenzi!$H:$H,$X78),"")</f>
        <v/>
      </c>
      <c r="AB78" s="43" t="str">
        <f>IF(ISNUMBER($X78),INDEX(Comenzi!$I:$I,$X78),"")</f>
        <v/>
      </c>
      <c r="AC78" s="44" t="str">
        <f>IF(ISNUMBER($X78),IF(INDEX(Comenzi!$V:$V,$X78)="",Comenzi!$D$3,INDEX(Comenzi!$V:$V,$X78)),"")</f>
        <v/>
      </c>
      <c r="AD78" s="44" t="str">
        <f>IF(ISNUMBER($X78),IF(INDEX(Comenzi!$U:$U,$X78)="",Comenzi!$D$4,INDEX(Comenzi!$U:$U,$X78)),"")</f>
        <v/>
      </c>
      <c r="AE78" s="45" t="str">
        <f>IF($Y78&lt;&gt;1,"",IF(INDEX(Comenzi!$AM:$AM,$X78)="Greutate",INDEX('PI Furnizor'!$O:$O,ROW()-3),IF(INDEX(Comenzi!$AM:$AM,$X78)="Volum (CBM)",INDEX('PI Furnizor'!$Q:$Q,ROW()-3),IF(INDEX(Comenzi!$AM:$AM,$X78)="Valoare marfa",INDEX('PI Furnizor'!$N:$N,ROW()-3),$E78))))</f>
        <v/>
      </c>
    </row>
    <row r="79" spans="1:31" x14ac:dyDescent="0.3">
      <c r="A79" s="28" t="str">
        <f>IF(COUNTA(INDEX('PI Furnizor'!$A:$E,ROW()-3,0))=0,"",IF(INDEX('PI Furnizor'!$A:$A,ROW()-3)="","?",INDEX('PI Furnizor'!$A:$A,ROW()-3)))</f>
        <v/>
      </c>
      <c r="B79" s="29" t="str">
        <f>IF(ISNUMBER($X79),INDEX(Comenzi!$B:$B,$X79),"")</f>
        <v/>
      </c>
      <c r="C79" s="28" t="str">
        <f>IF($A79="","",INDEX('PI Furnizor'!$B:$B,ROW()-3)&amp;"")</f>
        <v/>
      </c>
      <c r="D79" s="28" t="str">
        <f>IF($A79="","",INDEX('PI Furnizor'!$C:$C,ROW()-3)&amp;"")</f>
        <v/>
      </c>
      <c r="E79" s="30" t="str">
        <f>IF($A79="","",N(INDEX('PI Furnizor'!$D:$D,ROW()-3)))</f>
        <v/>
      </c>
      <c r="F79" s="31" t="str">
        <f>IF(ISNUMBER($X79),INDEX(Comenzi!$G:$G,$X79),"")</f>
        <v/>
      </c>
      <c r="G79" s="32" t="str">
        <f>IF($A79="","",N(INDEX('PI Furnizor'!$E:$E,ROW()-3)))</f>
        <v/>
      </c>
      <c r="H79" s="33" t="str">
        <f t="shared" si="13"/>
        <v/>
      </c>
      <c r="I79" s="34" t="str">
        <f>IF($Y79&lt;&gt;1,"",IFERROR($AE79/INDEX(Comenzi!$AN:$AN,$X79),0))</f>
        <v/>
      </c>
      <c r="J79" s="33" t="str">
        <f>IF($Y79&lt;&gt;1,"",INDEX(Comenzi!$AG:$AG,$X79)*$I79/$E79)</f>
        <v/>
      </c>
      <c r="K79" s="33" t="str">
        <f t="shared" si="14"/>
        <v/>
      </c>
      <c r="L79" s="33" t="str">
        <f>IF($Y79&lt;&gt;1,"",$K79*$AD79+INDEX(Comenzi!$AJ:$AJ,$X79)*$I79/$E79)</f>
        <v/>
      </c>
      <c r="M79" s="33" t="str">
        <f t="shared" si="15"/>
        <v/>
      </c>
      <c r="N79" s="33" t="str">
        <f t="shared" si="16"/>
        <v/>
      </c>
      <c r="O79" s="33" t="str">
        <f>IF($Y79&lt;&gt;1,"",(INDEX(Comenzi!$AK:$AK,$X79)+N(INDEX(Comenzi!$T:$T,$X79)))*$I79/$E79)</f>
        <v/>
      </c>
      <c r="P79" s="35" t="str">
        <f t="shared" si="17"/>
        <v/>
      </c>
      <c r="Q79" s="36" t="str">
        <f t="shared" si="18"/>
        <v/>
      </c>
      <c r="R79" s="37" t="str">
        <f t="shared" si="19"/>
        <v/>
      </c>
      <c r="S79" s="38" t="str">
        <f t="shared" si="20"/>
        <v/>
      </c>
      <c r="T79" s="39" t="str">
        <f t="shared" si="21"/>
        <v/>
      </c>
      <c r="U79" s="40" t="str">
        <f t="shared" si="22"/>
        <v/>
      </c>
      <c r="V79" s="33" t="str">
        <f t="shared" si="23"/>
        <v/>
      </c>
      <c r="W79" s="33" t="str">
        <f t="shared" si="24"/>
        <v/>
      </c>
      <c r="X79" s="41" t="str">
        <f>IF($A79="","",IFERROR(MATCH($A79,Comenzi!$A$9:$A$108,0)+8,""))</f>
        <v/>
      </c>
      <c r="Y79" s="41" t="str">
        <f t="shared" si="25"/>
        <v/>
      </c>
      <c r="Z79" s="42" t="str">
        <f>IF($A79="","",IF($A79="?","Lipseste ID-ul comenzii (col. A din PI Furnizor)",IF(NOT(ISNUMBER($X79)),"ID comanda negasit in foaia Comenzi",IF(N($E79)&lt;=0,"Lipseste cantitatea",IF(N($G79)=0,"Pret unitar lipsa",IF($Y79&lt;&gt;1,"Curs sau moneda marfa lipsa (foaia Comenzi)",IF(INDEX(Comenzi!$AT:$AT,$X79)&lt;&gt;"OK","Avertisment comanda: "&amp;INDEX(Comenzi!$AT:$AT,$X79),"OK")))))))</f>
        <v/>
      </c>
      <c r="AA79" s="43" t="str">
        <f>IF(ISNUMBER($X79),INDEX(Comenzi!$H:$H,$X79),"")</f>
        <v/>
      </c>
      <c r="AB79" s="43" t="str">
        <f>IF(ISNUMBER($X79),INDEX(Comenzi!$I:$I,$X79),"")</f>
        <v/>
      </c>
      <c r="AC79" s="44" t="str">
        <f>IF(ISNUMBER($X79),IF(INDEX(Comenzi!$V:$V,$X79)="",Comenzi!$D$3,INDEX(Comenzi!$V:$V,$X79)),"")</f>
        <v/>
      </c>
      <c r="AD79" s="44" t="str">
        <f>IF(ISNUMBER($X79),IF(INDEX(Comenzi!$U:$U,$X79)="",Comenzi!$D$4,INDEX(Comenzi!$U:$U,$X79)),"")</f>
        <v/>
      </c>
      <c r="AE79" s="45" t="str">
        <f>IF($Y79&lt;&gt;1,"",IF(INDEX(Comenzi!$AM:$AM,$X79)="Greutate",INDEX('PI Furnizor'!$O:$O,ROW()-3),IF(INDEX(Comenzi!$AM:$AM,$X79)="Volum (CBM)",INDEX('PI Furnizor'!$Q:$Q,ROW()-3),IF(INDEX(Comenzi!$AM:$AM,$X79)="Valoare marfa",INDEX('PI Furnizor'!$N:$N,ROW()-3),$E79))))</f>
        <v/>
      </c>
    </row>
    <row r="80" spans="1:31" x14ac:dyDescent="0.3">
      <c r="A80" s="28" t="str">
        <f>IF(COUNTA(INDEX('PI Furnizor'!$A:$E,ROW()-3,0))=0,"",IF(INDEX('PI Furnizor'!$A:$A,ROW()-3)="","?",INDEX('PI Furnizor'!$A:$A,ROW()-3)))</f>
        <v/>
      </c>
      <c r="B80" s="29" t="str">
        <f>IF(ISNUMBER($X80),INDEX(Comenzi!$B:$B,$X80),"")</f>
        <v/>
      </c>
      <c r="C80" s="28" t="str">
        <f>IF($A80="","",INDEX('PI Furnizor'!$B:$B,ROW()-3)&amp;"")</f>
        <v/>
      </c>
      <c r="D80" s="28" t="str">
        <f>IF($A80="","",INDEX('PI Furnizor'!$C:$C,ROW()-3)&amp;"")</f>
        <v/>
      </c>
      <c r="E80" s="30" t="str">
        <f>IF($A80="","",N(INDEX('PI Furnizor'!$D:$D,ROW()-3)))</f>
        <v/>
      </c>
      <c r="F80" s="31" t="str">
        <f>IF(ISNUMBER($X80),INDEX(Comenzi!$G:$G,$X80),"")</f>
        <v/>
      </c>
      <c r="G80" s="32" t="str">
        <f>IF($A80="","",N(INDEX('PI Furnizor'!$E:$E,ROW()-3)))</f>
        <v/>
      </c>
      <c r="H80" s="33" t="str">
        <f t="shared" si="13"/>
        <v/>
      </c>
      <c r="I80" s="34" t="str">
        <f>IF($Y80&lt;&gt;1,"",IFERROR($AE80/INDEX(Comenzi!$AN:$AN,$X80),0))</f>
        <v/>
      </c>
      <c r="J80" s="33" t="str">
        <f>IF($Y80&lt;&gt;1,"",INDEX(Comenzi!$AG:$AG,$X80)*$I80/$E80)</f>
        <v/>
      </c>
      <c r="K80" s="33" t="str">
        <f t="shared" si="14"/>
        <v/>
      </c>
      <c r="L80" s="33" t="str">
        <f>IF($Y80&lt;&gt;1,"",$K80*$AD80+INDEX(Comenzi!$AJ:$AJ,$X80)*$I80/$E80)</f>
        <v/>
      </c>
      <c r="M80" s="33" t="str">
        <f t="shared" si="15"/>
        <v/>
      </c>
      <c r="N80" s="33" t="str">
        <f t="shared" si="16"/>
        <v/>
      </c>
      <c r="O80" s="33" t="str">
        <f>IF($Y80&lt;&gt;1,"",(INDEX(Comenzi!$AK:$AK,$X80)+N(INDEX(Comenzi!$T:$T,$X80)))*$I80/$E80)</f>
        <v/>
      </c>
      <c r="P80" s="35" t="str">
        <f t="shared" si="17"/>
        <v/>
      </c>
      <c r="Q80" s="36" t="str">
        <f t="shared" si="18"/>
        <v/>
      </c>
      <c r="R80" s="37" t="str">
        <f t="shared" si="19"/>
        <v/>
      </c>
      <c r="S80" s="38" t="str">
        <f t="shared" si="20"/>
        <v/>
      </c>
      <c r="T80" s="39" t="str">
        <f t="shared" si="21"/>
        <v/>
      </c>
      <c r="U80" s="40" t="str">
        <f t="shared" si="22"/>
        <v/>
      </c>
      <c r="V80" s="33" t="str">
        <f t="shared" si="23"/>
        <v/>
      </c>
      <c r="W80" s="33" t="str">
        <f t="shared" si="24"/>
        <v/>
      </c>
      <c r="X80" s="41" t="str">
        <f>IF($A80="","",IFERROR(MATCH($A80,Comenzi!$A$9:$A$108,0)+8,""))</f>
        <v/>
      </c>
      <c r="Y80" s="41" t="str">
        <f t="shared" si="25"/>
        <v/>
      </c>
      <c r="Z80" s="42" t="str">
        <f>IF($A80="","",IF($A80="?","Lipseste ID-ul comenzii (col. A din PI Furnizor)",IF(NOT(ISNUMBER($X80)),"ID comanda negasit in foaia Comenzi",IF(N($E80)&lt;=0,"Lipseste cantitatea",IF(N($G80)=0,"Pret unitar lipsa",IF($Y80&lt;&gt;1,"Curs sau moneda marfa lipsa (foaia Comenzi)",IF(INDEX(Comenzi!$AT:$AT,$X80)&lt;&gt;"OK","Avertisment comanda: "&amp;INDEX(Comenzi!$AT:$AT,$X80),"OK")))))))</f>
        <v/>
      </c>
      <c r="AA80" s="43" t="str">
        <f>IF(ISNUMBER($X80),INDEX(Comenzi!$H:$H,$X80),"")</f>
        <v/>
      </c>
      <c r="AB80" s="43" t="str">
        <f>IF(ISNUMBER($X80),INDEX(Comenzi!$I:$I,$X80),"")</f>
        <v/>
      </c>
      <c r="AC80" s="44" t="str">
        <f>IF(ISNUMBER($X80),IF(INDEX(Comenzi!$V:$V,$X80)="",Comenzi!$D$3,INDEX(Comenzi!$V:$V,$X80)),"")</f>
        <v/>
      </c>
      <c r="AD80" s="44" t="str">
        <f>IF(ISNUMBER($X80),IF(INDEX(Comenzi!$U:$U,$X80)="",Comenzi!$D$4,INDEX(Comenzi!$U:$U,$X80)),"")</f>
        <v/>
      </c>
      <c r="AE80" s="45" t="str">
        <f>IF($Y80&lt;&gt;1,"",IF(INDEX(Comenzi!$AM:$AM,$X80)="Greutate",INDEX('PI Furnizor'!$O:$O,ROW()-3),IF(INDEX(Comenzi!$AM:$AM,$X80)="Volum (CBM)",INDEX('PI Furnizor'!$Q:$Q,ROW()-3),IF(INDEX(Comenzi!$AM:$AM,$X80)="Valoare marfa",INDEX('PI Furnizor'!$N:$N,ROW()-3),$E80))))</f>
        <v/>
      </c>
    </row>
    <row r="81" spans="1:31" x14ac:dyDescent="0.3">
      <c r="A81" s="28" t="str">
        <f>IF(COUNTA(INDEX('PI Furnizor'!$A:$E,ROW()-3,0))=0,"",IF(INDEX('PI Furnizor'!$A:$A,ROW()-3)="","?",INDEX('PI Furnizor'!$A:$A,ROW()-3)))</f>
        <v/>
      </c>
      <c r="B81" s="29" t="str">
        <f>IF(ISNUMBER($X81),INDEX(Comenzi!$B:$B,$X81),"")</f>
        <v/>
      </c>
      <c r="C81" s="28" t="str">
        <f>IF($A81="","",INDEX('PI Furnizor'!$B:$B,ROW()-3)&amp;"")</f>
        <v/>
      </c>
      <c r="D81" s="28" t="str">
        <f>IF($A81="","",INDEX('PI Furnizor'!$C:$C,ROW()-3)&amp;"")</f>
        <v/>
      </c>
      <c r="E81" s="30" t="str">
        <f>IF($A81="","",N(INDEX('PI Furnizor'!$D:$D,ROW()-3)))</f>
        <v/>
      </c>
      <c r="F81" s="31" t="str">
        <f>IF(ISNUMBER($X81),INDEX(Comenzi!$G:$G,$X81),"")</f>
        <v/>
      </c>
      <c r="G81" s="32" t="str">
        <f>IF($A81="","",N(INDEX('PI Furnizor'!$E:$E,ROW()-3)))</f>
        <v/>
      </c>
      <c r="H81" s="33" t="str">
        <f t="shared" si="13"/>
        <v/>
      </c>
      <c r="I81" s="34" t="str">
        <f>IF($Y81&lt;&gt;1,"",IFERROR($AE81/INDEX(Comenzi!$AN:$AN,$X81),0))</f>
        <v/>
      </c>
      <c r="J81" s="33" t="str">
        <f>IF($Y81&lt;&gt;1,"",INDEX(Comenzi!$AG:$AG,$X81)*$I81/$E81)</f>
        <v/>
      </c>
      <c r="K81" s="33" t="str">
        <f t="shared" si="14"/>
        <v/>
      </c>
      <c r="L81" s="33" t="str">
        <f>IF($Y81&lt;&gt;1,"",$K81*$AD81+INDEX(Comenzi!$AJ:$AJ,$X81)*$I81/$E81)</f>
        <v/>
      </c>
      <c r="M81" s="33" t="str">
        <f t="shared" si="15"/>
        <v/>
      </c>
      <c r="N81" s="33" t="str">
        <f t="shared" si="16"/>
        <v/>
      </c>
      <c r="O81" s="33" t="str">
        <f>IF($Y81&lt;&gt;1,"",(INDEX(Comenzi!$AK:$AK,$X81)+N(INDEX(Comenzi!$T:$T,$X81)))*$I81/$E81)</f>
        <v/>
      </c>
      <c r="P81" s="35" t="str">
        <f t="shared" si="17"/>
        <v/>
      </c>
      <c r="Q81" s="36" t="str">
        <f t="shared" si="18"/>
        <v/>
      </c>
      <c r="R81" s="37" t="str">
        <f t="shared" si="19"/>
        <v/>
      </c>
      <c r="S81" s="38" t="str">
        <f t="shared" si="20"/>
        <v/>
      </c>
      <c r="T81" s="39" t="str">
        <f t="shared" si="21"/>
        <v/>
      </c>
      <c r="U81" s="40" t="str">
        <f t="shared" si="22"/>
        <v/>
      </c>
      <c r="V81" s="33" t="str">
        <f t="shared" si="23"/>
        <v/>
      </c>
      <c r="W81" s="33" t="str">
        <f t="shared" si="24"/>
        <v/>
      </c>
      <c r="X81" s="41" t="str">
        <f>IF($A81="","",IFERROR(MATCH($A81,Comenzi!$A$9:$A$108,0)+8,""))</f>
        <v/>
      </c>
      <c r="Y81" s="41" t="str">
        <f t="shared" si="25"/>
        <v/>
      </c>
      <c r="Z81" s="42" t="str">
        <f>IF($A81="","",IF($A81="?","Lipseste ID-ul comenzii (col. A din PI Furnizor)",IF(NOT(ISNUMBER($X81)),"ID comanda negasit in foaia Comenzi",IF(N($E81)&lt;=0,"Lipseste cantitatea",IF(N($G81)=0,"Pret unitar lipsa",IF($Y81&lt;&gt;1,"Curs sau moneda marfa lipsa (foaia Comenzi)",IF(INDEX(Comenzi!$AT:$AT,$X81)&lt;&gt;"OK","Avertisment comanda: "&amp;INDEX(Comenzi!$AT:$AT,$X81),"OK")))))))</f>
        <v/>
      </c>
      <c r="AA81" s="43" t="str">
        <f>IF(ISNUMBER($X81),INDEX(Comenzi!$H:$H,$X81),"")</f>
        <v/>
      </c>
      <c r="AB81" s="43" t="str">
        <f>IF(ISNUMBER($X81),INDEX(Comenzi!$I:$I,$X81),"")</f>
        <v/>
      </c>
      <c r="AC81" s="44" t="str">
        <f>IF(ISNUMBER($X81),IF(INDEX(Comenzi!$V:$V,$X81)="",Comenzi!$D$3,INDEX(Comenzi!$V:$V,$X81)),"")</f>
        <v/>
      </c>
      <c r="AD81" s="44" t="str">
        <f>IF(ISNUMBER($X81),IF(INDEX(Comenzi!$U:$U,$X81)="",Comenzi!$D$4,INDEX(Comenzi!$U:$U,$X81)),"")</f>
        <v/>
      </c>
      <c r="AE81" s="45" t="str">
        <f>IF($Y81&lt;&gt;1,"",IF(INDEX(Comenzi!$AM:$AM,$X81)="Greutate",INDEX('PI Furnizor'!$O:$O,ROW()-3),IF(INDEX(Comenzi!$AM:$AM,$X81)="Volum (CBM)",INDEX('PI Furnizor'!$Q:$Q,ROW()-3),IF(INDEX(Comenzi!$AM:$AM,$X81)="Valoare marfa",INDEX('PI Furnizor'!$N:$N,ROW()-3),$E81))))</f>
        <v/>
      </c>
    </row>
    <row r="82" spans="1:31" x14ac:dyDescent="0.3">
      <c r="A82" s="28" t="str">
        <f>IF(COUNTA(INDEX('PI Furnizor'!$A:$E,ROW()-3,0))=0,"",IF(INDEX('PI Furnizor'!$A:$A,ROW()-3)="","?",INDEX('PI Furnizor'!$A:$A,ROW()-3)))</f>
        <v/>
      </c>
      <c r="B82" s="29" t="str">
        <f>IF(ISNUMBER($X82),INDEX(Comenzi!$B:$B,$X82),"")</f>
        <v/>
      </c>
      <c r="C82" s="28" t="str">
        <f>IF($A82="","",INDEX('PI Furnizor'!$B:$B,ROW()-3)&amp;"")</f>
        <v/>
      </c>
      <c r="D82" s="28" t="str">
        <f>IF($A82="","",INDEX('PI Furnizor'!$C:$C,ROW()-3)&amp;"")</f>
        <v/>
      </c>
      <c r="E82" s="30" t="str">
        <f>IF($A82="","",N(INDEX('PI Furnizor'!$D:$D,ROW()-3)))</f>
        <v/>
      </c>
      <c r="F82" s="31" t="str">
        <f>IF(ISNUMBER($X82),INDEX(Comenzi!$G:$G,$X82),"")</f>
        <v/>
      </c>
      <c r="G82" s="32" t="str">
        <f>IF($A82="","",N(INDEX('PI Furnizor'!$E:$E,ROW()-3)))</f>
        <v/>
      </c>
      <c r="H82" s="33" t="str">
        <f t="shared" si="13"/>
        <v/>
      </c>
      <c r="I82" s="34" t="str">
        <f>IF($Y82&lt;&gt;1,"",IFERROR($AE82/INDEX(Comenzi!$AN:$AN,$X82),0))</f>
        <v/>
      </c>
      <c r="J82" s="33" t="str">
        <f>IF($Y82&lt;&gt;1,"",INDEX(Comenzi!$AG:$AG,$X82)*$I82/$E82)</f>
        <v/>
      </c>
      <c r="K82" s="33" t="str">
        <f t="shared" si="14"/>
        <v/>
      </c>
      <c r="L82" s="33" t="str">
        <f>IF($Y82&lt;&gt;1,"",$K82*$AD82+INDEX(Comenzi!$AJ:$AJ,$X82)*$I82/$E82)</f>
        <v/>
      </c>
      <c r="M82" s="33" t="str">
        <f t="shared" si="15"/>
        <v/>
      </c>
      <c r="N82" s="33" t="str">
        <f t="shared" si="16"/>
        <v/>
      </c>
      <c r="O82" s="33" t="str">
        <f>IF($Y82&lt;&gt;1,"",(INDEX(Comenzi!$AK:$AK,$X82)+N(INDEX(Comenzi!$T:$T,$X82)))*$I82/$E82)</f>
        <v/>
      </c>
      <c r="P82" s="35" t="str">
        <f t="shared" si="17"/>
        <v/>
      </c>
      <c r="Q82" s="36" t="str">
        <f t="shared" si="18"/>
        <v/>
      </c>
      <c r="R82" s="37" t="str">
        <f t="shared" si="19"/>
        <v/>
      </c>
      <c r="S82" s="38" t="str">
        <f t="shared" si="20"/>
        <v/>
      </c>
      <c r="T82" s="39" t="str">
        <f t="shared" si="21"/>
        <v/>
      </c>
      <c r="U82" s="40" t="str">
        <f t="shared" si="22"/>
        <v/>
      </c>
      <c r="V82" s="33" t="str">
        <f t="shared" si="23"/>
        <v/>
      </c>
      <c r="W82" s="33" t="str">
        <f t="shared" si="24"/>
        <v/>
      </c>
      <c r="X82" s="41" t="str">
        <f>IF($A82="","",IFERROR(MATCH($A82,Comenzi!$A$9:$A$108,0)+8,""))</f>
        <v/>
      </c>
      <c r="Y82" s="41" t="str">
        <f t="shared" si="25"/>
        <v/>
      </c>
      <c r="Z82" s="42" t="str">
        <f>IF($A82="","",IF($A82="?","Lipseste ID-ul comenzii (col. A din PI Furnizor)",IF(NOT(ISNUMBER($X82)),"ID comanda negasit in foaia Comenzi",IF(N($E82)&lt;=0,"Lipseste cantitatea",IF(N($G82)=0,"Pret unitar lipsa",IF($Y82&lt;&gt;1,"Curs sau moneda marfa lipsa (foaia Comenzi)",IF(INDEX(Comenzi!$AT:$AT,$X82)&lt;&gt;"OK","Avertisment comanda: "&amp;INDEX(Comenzi!$AT:$AT,$X82),"OK")))))))</f>
        <v/>
      </c>
      <c r="AA82" s="43" t="str">
        <f>IF(ISNUMBER($X82),INDEX(Comenzi!$H:$H,$X82),"")</f>
        <v/>
      </c>
      <c r="AB82" s="43" t="str">
        <f>IF(ISNUMBER($X82),INDEX(Comenzi!$I:$I,$X82),"")</f>
        <v/>
      </c>
      <c r="AC82" s="44" t="str">
        <f>IF(ISNUMBER($X82),IF(INDEX(Comenzi!$V:$V,$X82)="",Comenzi!$D$3,INDEX(Comenzi!$V:$V,$X82)),"")</f>
        <v/>
      </c>
      <c r="AD82" s="44" t="str">
        <f>IF(ISNUMBER($X82),IF(INDEX(Comenzi!$U:$U,$X82)="",Comenzi!$D$4,INDEX(Comenzi!$U:$U,$X82)),"")</f>
        <v/>
      </c>
      <c r="AE82" s="45" t="str">
        <f>IF($Y82&lt;&gt;1,"",IF(INDEX(Comenzi!$AM:$AM,$X82)="Greutate",INDEX('PI Furnizor'!$O:$O,ROW()-3),IF(INDEX(Comenzi!$AM:$AM,$X82)="Volum (CBM)",INDEX('PI Furnizor'!$Q:$Q,ROW()-3),IF(INDEX(Comenzi!$AM:$AM,$X82)="Valoare marfa",INDEX('PI Furnizor'!$N:$N,ROW()-3),$E82))))</f>
        <v/>
      </c>
    </row>
    <row r="83" spans="1:31" x14ac:dyDescent="0.3">
      <c r="A83" s="28" t="str">
        <f>IF(COUNTA(INDEX('PI Furnizor'!$A:$E,ROW()-3,0))=0,"",IF(INDEX('PI Furnizor'!$A:$A,ROW()-3)="","?",INDEX('PI Furnizor'!$A:$A,ROW()-3)))</f>
        <v/>
      </c>
      <c r="B83" s="29" t="str">
        <f>IF(ISNUMBER($X83),INDEX(Comenzi!$B:$B,$X83),"")</f>
        <v/>
      </c>
      <c r="C83" s="28" t="str">
        <f>IF($A83="","",INDEX('PI Furnizor'!$B:$B,ROW()-3)&amp;"")</f>
        <v/>
      </c>
      <c r="D83" s="28" t="str">
        <f>IF($A83="","",INDEX('PI Furnizor'!$C:$C,ROW()-3)&amp;"")</f>
        <v/>
      </c>
      <c r="E83" s="30" t="str">
        <f>IF($A83="","",N(INDEX('PI Furnizor'!$D:$D,ROW()-3)))</f>
        <v/>
      </c>
      <c r="F83" s="31" t="str">
        <f>IF(ISNUMBER($X83),INDEX(Comenzi!$G:$G,$X83),"")</f>
        <v/>
      </c>
      <c r="G83" s="32" t="str">
        <f>IF($A83="","",N(INDEX('PI Furnizor'!$E:$E,ROW()-3)))</f>
        <v/>
      </c>
      <c r="H83" s="33" t="str">
        <f t="shared" si="13"/>
        <v/>
      </c>
      <c r="I83" s="34" t="str">
        <f>IF($Y83&lt;&gt;1,"",IFERROR($AE83/INDEX(Comenzi!$AN:$AN,$X83),0))</f>
        <v/>
      </c>
      <c r="J83" s="33" t="str">
        <f>IF($Y83&lt;&gt;1,"",INDEX(Comenzi!$AG:$AG,$X83)*$I83/$E83)</f>
        <v/>
      </c>
      <c r="K83" s="33" t="str">
        <f t="shared" si="14"/>
        <v/>
      </c>
      <c r="L83" s="33" t="str">
        <f>IF($Y83&lt;&gt;1,"",$K83*$AD83+INDEX(Comenzi!$AJ:$AJ,$X83)*$I83/$E83)</f>
        <v/>
      </c>
      <c r="M83" s="33" t="str">
        <f t="shared" si="15"/>
        <v/>
      </c>
      <c r="N83" s="33" t="str">
        <f t="shared" si="16"/>
        <v/>
      </c>
      <c r="O83" s="33" t="str">
        <f>IF($Y83&lt;&gt;1,"",(INDEX(Comenzi!$AK:$AK,$X83)+N(INDEX(Comenzi!$T:$T,$X83)))*$I83/$E83)</f>
        <v/>
      </c>
      <c r="P83" s="35" t="str">
        <f t="shared" si="17"/>
        <v/>
      </c>
      <c r="Q83" s="36" t="str">
        <f t="shared" si="18"/>
        <v/>
      </c>
      <c r="R83" s="37" t="str">
        <f t="shared" si="19"/>
        <v/>
      </c>
      <c r="S83" s="38" t="str">
        <f t="shared" si="20"/>
        <v/>
      </c>
      <c r="T83" s="39" t="str">
        <f t="shared" si="21"/>
        <v/>
      </c>
      <c r="U83" s="40" t="str">
        <f t="shared" si="22"/>
        <v/>
      </c>
      <c r="V83" s="33" t="str">
        <f t="shared" si="23"/>
        <v/>
      </c>
      <c r="W83" s="33" t="str">
        <f t="shared" si="24"/>
        <v/>
      </c>
      <c r="X83" s="41" t="str">
        <f>IF($A83="","",IFERROR(MATCH($A83,Comenzi!$A$9:$A$108,0)+8,""))</f>
        <v/>
      </c>
      <c r="Y83" s="41" t="str">
        <f t="shared" si="25"/>
        <v/>
      </c>
      <c r="Z83" s="42" t="str">
        <f>IF($A83="","",IF($A83="?","Lipseste ID-ul comenzii (col. A din PI Furnizor)",IF(NOT(ISNUMBER($X83)),"ID comanda negasit in foaia Comenzi",IF(N($E83)&lt;=0,"Lipseste cantitatea",IF(N($G83)=0,"Pret unitar lipsa",IF($Y83&lt;&gt;1,"Curs sau moneda marfa lipsa (foaia Comenzi)",IF(INDEX(Comenzi!$AT:$AT,$X83)&lt;&gt;"OK","Avertisment comanda: "&amp;INDEX(Comenzi!$AT:$AT,$X83),"OK")))))))</f>
        <v/>
      </c>
      <c r="AA83" s="43" t="str">
        <f>IF(ISNUMBER($X83),INDEX(Comenzi!$H:$H,$X83),"")</f>
        <v/>
      </c>
      <c r="AB83" s="43" t="str">
        <f>IF(ISNUMBER($X83),INDEX(Comenzi!$I:$I,$X83),"")</f>
        <v/>
      </c>
      <c r="AC83" s="44" t="str">
        <f>IF(ISNUMBER($X83),IF(INDEX(Comenzi!$V:$V,$X83)="",Comenzi!$D$3,INDEX(Comenzi!$V:$V,$X83)),"")</f>
        <v/>
      </c>
      <c r="AD83" s="44" t="str">
        <f>IF(ISNUMBER($X83),IF(INDEX(Comenzi!$U:$U,$X83)="",Comenzi!$D$4,INDEX(Comenzi!$U:$U,$X83)),"")</f>
        <v/>
      </c>
      <c r="AE83" s="45" t="str">
        <f>IF($Y83&lt;&gt;1,"",IF(INDEX(Comenzi!$AM:$AM,$X83)="Greutate",INDEX('PI Furnizor'!$O:$O,ROW()-3),IF(INDEX(Comenzi!$AM:$AM,$X83)="Volum (CBM)",INDEX('PI Furnizor'!$Q:$Q,ROW()-3),IF(INDEX(Comenzi!$AM:$AM,$X83)="Valoare marfa",INDEX('PI Furnizor'!$N:$N,ROW()-3),$E83))))</f>
        <v/>
      </c>
    </row>
    <row r="84" spans="1:31" x14ac:dyDescent="0.3">
      <c r="A84" s="28" t="str">
        <f>IF(COUNTA(INDEX('PI Furnizor'!$A:$E,ROW()-3,0))=0,"",IF(INDEX('PI Furnizor'!$A:$A,ROW()-3)="","?",INDEX('PI Furnizor'!$A:$A,ROW()-3)))</f>
        <v/>
      </c>
      <c r="B84" s="29" t="str">
        <f>IF(ISNUMBER($X84),INDEX(Comenzi!$B:$B,$X84),"")</f>
        <v/>
      </c>
      <c r="C84" s="28" t="str">
        <f>IF($A84="","",INDEX('PI Furnizor'!$B:$B,ROW()-3)&amp;"")</f>
        <v/>
      </c>
      <c r="D84" s="28" t="str">
        <f>IF($A84="","",INDEX('PI Furnizor'!$C:$C,ROW()-3)&amp;"")</f>
        <v/>
      </c>
      <c r="E84" s="30" t="str">
        <f>IF($A84="","",N(INDEX('PI Furnizor'!$D:$D,ROW()-3)))</f>
        <v/>
      </c>
      <c r="F84" s="31" t="str">
        <f>IF(ISNUMBER($X84),INDEX(Comenzi!$G:$G,$X84),"")</f>
        <v/>
      </c>
      <c r="G84" s="32" t="str">
        <f>IF($A84="","",N(INDEX('PI Furnizor'!$E:$E,ROW()-3)))</f>
        <v/>
      </c>
      <c r="H84" s="33" t="str">
        <f t="shared" si="13"/>
        <v/>
      </c>
      <c r="I84" s="34" t="str">
        <f>IF($Y84&lt;&gt;1,"",IFERROR($AE84/INDEX(Comenzi!$AN:$AN,$X84),0))</f>
        <v/>
      </c>
      <c r="J84" s="33" t="str">
        <f>IF($Y84&lt;&gt;1,"",INDEX(Comenzi!$AG:$AG,$X84)*$I84/$E84)</f>
        <v/>
      </c>
      <c r="K84" s="33" t="str">
        <f t="shared" si="14"/>
        <v/>
      </c>
      <c r="L84" s="33" t="str">
        <f>IF($Y84&lt;&gt;1,"",$K84*$AD84+INDEX(Comenzi!$AJ:$AJ,$X84)*$I84/$E84)</f>
        <v/>
      </c>
      <c r="M84" s="33" t="str">
        <f t="shared" si="15"/>
        <v/>
      </c>
      <c r="N84" s="33" t="str">
        <f t="shared" si="16"/>
        <v/>
      </c>
      <c r="O84" s="33" t="str">
        <f>IF($Y84&lt;&gt;1,"",(INDEX(Comenzi!$AK:$AK,$X84)+N(INDEX(Comenzi!$T:$T,$X84)))*$I84/$E84)</f>
        <v/>
      </c>
      <c r="P84" s="35" t="str">
        <f t="shared" si="17"/>
        <v/>
      </c>
      <c r="Q84" s="36" t="str">
        <f t="shared" si="18"/>
        <v/>
      </c>
      <c r="R84" s="37" t="str">
        <f t="shared" si="19"/>
        <v/>
      </c>
      <c r="S84" s="38" t="str">
        <f t="shared" si="20"/>
        <v/>
      </c>
      <c r="T84" s="39" t="str">
        <f t="shared" si="21"/>
        <v/>
      </c>
      <c r="U84" s="40" t="str">
        <f t="shared" si="22"/>
        <v/>
      </c>
      <c r="V84" s="33" t="str">
        <f t="shared" si="23"/>
        <v/>
      </c>
      <c r="W84" s="33" t="str">
        <f t="shared" si="24"/>
        <v/>
      </c>
      <c r="X84" s="41" t="str">
        <f>IF($A84="","",IFERROR(MATCH($A84,Comenzi!$A$9:$A$108,0)+8,""))</f>
        <v/>
      </c>
      <c r="Y84" s="41" t="str">
        <f t="shared" si="25"/>
        <v/>
      </c>
      <c r="Z84" s="42" t="str">
        <f>IF($A84="","",IF($A84="?","Lipseste ID-ul comenzii (col. A din PI Furnizor)",IF(NOT(ISNUMBER($X84)),"ID comanda negasit in foaia Comenzi",IF(N($E84)&lt;=0,"Lipseste cantitatea",IF(N($G84)=0,"Pret unitar lipsa",IF($Y84&lt;&gt;1,"Curs sau moneda marfa lipsa (foaia Comenzi)",IF(INDEX(Comenzi!$AT:$AT,$X84)&lt;&gt;"OK","Avertisment comanda: "&amp;INDEX(Comenzi!$AT:$AT,$X84),"OK")))))))</f>
        <v/>
      </c>
      <c r="AA84" s="43" t="str">
        <f>IF(ISNUMBER($X84),INDEX(Comenzi!$H:$H,$X84),"")</f>
        <v/>
      </c>
      <c r="AB84" s="43" t="str">
        <f>IF(ISNUMBER($X84),INDEX(Comenzi!$I:$I,$X84),"")</f>
        <v/>
      </c>
      <c r="AC84" s="44" t="str">
        <f>IF(ISNUMBER($X84),IF(INDEX(Comenzi!$V:$V,$X84)="",Comenzi!$D$3,INDEX(Comenzi!$V:$V,$X84)),"")</f>
        <v/>
      </c>
      <c r="AD84" s="44" t="str">
        <f>IF(ISNUMBER($X84),IF(INDEX(Comenzi!$U:$U,$X84)="",Comenzi!$D$4,INDEX(Comenzi!$U:$U,$X84)),"")</f>
        <v/>
      </c>
      <c r="AE84" s="45" t="str">
        <f>IF($Y84&lt;&gt;1,"",IF(INDEX(Comenzi!$AM:$AM,$X84)="Greutate",INDEX('PI Furnizor'!$O:$O,ROW()-3),IF(INDEX(Comenzi!$AM:$AM,$X84)="Volum (CBM)",INDEX('PI Furnizor'!$Q:$Q,ROW()-3),IF(INDEX(Comenzi!$AM:$AM,$X84)="Valoare marfa",INDEX('PI Furnizor'!$N:$N,ROW()-3),$E84))))</f>
        <v/>
      </c>
    </row>
    <row r="85" spans="1:31" x14ac:dyDescent="0.3">
      <c r="A85" s="28" t="str">
        <f>IF(COUNTA(INDEX('PI Furnizor'!$A:$E,ROW()-3,0))=0,"",IF(INDEX('PI Furnizor'!$A:$A,ROW()-3)="","?",INDEX('PI Furnizor'!$A:$A,ROW()-3)))</f>
        <v/>
      </c>
      <c r="B85" s="29" t="str">
        <f>IF(ISNUMBER($X85),INDEX(Comenzi!$B:$B,$X85),"")</f>
        <v/>
      </c>
      <c r="C85" s="28" t="str">
        <f>IF($A85="","",INDEX('PI Furnizor'!$B:$B,ROW()-3)&amp;"")</f>
        <v/>
      </c>
      <c r="D85" s="28" t="str">
        <f>IF($A85="","",INDEX('PI Furnizor'!$C:$C,ROW()-3)&amp;"")</f>
        <v/>
      </c>
      <c r="E85" s="30" t="str">
        <f>IF($A85="","",N(INDEX('PI Furnizor'!$D:$D,ROW()-3)))</f>
        <v/>
      </c>
      <c r="F85" s="31" t="str">
        <f>IF(ISNUMBER($X85),INDEX(Comenzi!$G:$G,$X85),"")</f>
        <v/>
      </c>
      <c r="G85" s="32" t="str">
        <f>IF($A85="","",N(INDEX('PI Furnizor'!$E:$E,ROW()-3)))</f>
        <v/>
      </c>
      <c r="H85" s="33" t="str">
        <f t="shared" si="13"/>
        <v/>
      </c>
      <c r="I85" s="34" t="str">
        <f>IF($Y85&lt;&gt;1,"",IFERROR($AE85/INDEX(Comenzi!$AN:$AN,$X85),0))</f>
        <v/>
      </c>
      <c r="J85" s="33" t="str">
        <f>IF($Y85&lt;&gt;1,"",INDEX(Comenzi!$AG:$AG,$X85)*$I85/$E85)</f>
        <v/>
      </c>
      <c r="K85" s="33" t="str">
        <f t="shared" si="14"/>
        <v/>
      </c>
      <c r="L85" s="33" t="str">
        <f>IF($Y85&lt;&gt;1,"",$K85*$AD85+INDEX(Comenzi!$AJ:$AJ,$X85)*$I85/$E85)</f>
        <v/>
      </c>
      <c r="M85" s="33" t="str">
        <f t="shared" si="15"/>
        <v/>
      </c>
      <c r="N85" s="33" t="str">
        <f t="shared" si="16"/>
        <v/>
      </c>
      <c r="O85" s="33" t="str">
        <f>IF($Y85&lt;&gt;1,"",(INDEX(Comenzi!$AK:$AK,$X85)+N(INDEX(Comenzi!$T:$T,$X85)))*$I85/$E85)</f>
        <v/>
      </c>
      <c r="P85" s="35" t="str">
        <f t="shared" si="17"/>
        <v/>
      </c>
      <c r="Q85" s="36" t="str">
        <f t="shared" si="18"/>
        <v/>
      </c>
      <c r="R85" s="37" t="str">
        <f t="shared" si="19"/>
        <v/>
      </c>
      <c r="S85" s="38" t="str">
        <f t="shared" si="20"/>
        <v/>
      </c>
      <c r="T85" s="39" t="str">
        <f t="shared" si="21"/>
        <v/>
      </c>
      <c r="U85" s="40" t="str">
        <f t="shared" si="22"/>
        <v/>
      </c>
      <c r="V85" s="33" t="str">
        <f t="shared" si="23"/>
        <v/>
      </c>
      <c r="W85" s="33" t="str">
        <f t="shared" si="24"/>
        <v/>
      </c>
      <c r="X85" s="41" t="str">
        <f>IF($A85="","",IFERROR(MATCH($A85,Comenzi!$A$9:$A$108,0)+8,""))</f>
        <v/>
      </c>
      <c r="Y85" s="41" t="str">
        <f t="shared" si="25"/>
        <v/>
      </c>
      <c r="Z85" s="42" t="str">
        <f>IF($A85="","",IF($A85="?","Lipseste ID-ul comenzii (col. A din PI Furnizor)",IF(NOT(ISNUMBER($X85)),"ID comanda negasit in foaia Comenzi",IF(N($E85)&lt;=0,"Lipseste cantitatea",IF(N($G85)=0,"Pret unitar lipsa",IF($Y85&lt;&gt;1,"Curs sau moneda marfa lipsa (foaia Comenzi)",IF(INDEX(Comenzi!$AT:$AT,$X85)&lt;&gt;"OK","Avertisment comanda: "&amp;INDEX(Comenzi!$AT:$AT,$X85),"OK")))))))</f>
        <v/>
      </c>
      <c r="AA85" s="43" t="str">
        <f>IF(ISNUMBER($X85),INDEX(Comenzi!$H:$H,$X85),"")</f>
        <v/>
      </c>
      <c r="AB85" s="43" t="str">
        <f>IF(ISNUMBER($X85),INDEX(Comenzi!$I:$I,$X85),"")</f>
        <v/>
      </c>
      <c r="AC85" s="44" t="str">
        <f>IF(ISNUMBER($X85),IF(INDEX(Comenzi!$V:$V,$X85)="",Comenzi!$D$3,INDEX(Comenzi!$V:$V,$X85)),"")</f>
        <v/>
      </c>
      <c r="AD85" s="44" t="str">
        <f>IF(ISNUMBER($X85),IF(INDEX(Comenzi!$U:$U,$X85)="",Comenzi!$D$4,INDEX(Comenzi!$U:$U,$X85)),"")</f>
        <v/>
      </c>
      <c r="AE85" s="45" t="str">
        <f>IF($Y85&lt;&gt;1,"",IF(INDEX(Comenzi!$AM:$AM,$X85)="Greutate",INDEX('PI Furnizor'!$O:$O,ROW()-3),IF(INDEX(Comenzi!$AM:$AM,$X85)="Volum (CBM)",INDEX('PI Furnizor'!$Q:$Q,ROW()-3),IF(INDEX(Comenzi!$AM:$AM,$X85)="Valoare marfa",INDEX('PI Furnizor'!$N:$N,ROW()-3),$E85))))</f>
        <v/>
      </c>
    </row>
    <row r="86" spans="1:31" x14ac:dyDescent="0.3">
      <c r="A86" s="28" t="str">
        <f>IF(COUNTA(INDEX('PI Furnizor'!$A:$E,ROW()-3,0))=0,"",IF(INDEX('PI Furnizor'!$A:$A,ROW()-3)="","?",INDEX('PI Furnizor'!$A:$A,ROW()-3)))</f>
        <v/>
      </c>
      <c r="B86" s="29" t="str">
        <f>IF(ISNUMBER($X86),INDEX(Comenzi!$B:$B,$X86),"")</f>
        <v/>
      </c>
      <c r="C86" s="28" t="str">
        <f>IF($A86="","",INDEX('PI Furnizor'!$B:$B,ROW()-3)&amp;"")</f>
        <v/>
      </c>
      <c r="D86" s="28" t="str">
        <f>IF($A86="","",INDEX('PI Furnizor'!$C:$C,ROW()-3)&amp;"")</f>
        <v/>
      </c>
      <c r="E86" s="30" t="str">
        <f>IF($A86="","",N(INDEX('PI Furnizor'!$D:$D,ROW()-3)))</f>
        <v/>
      </c>
      <c r="F86" s="31" t="str">
        <f>IF(ISNUMBER($X86),INDEX(Comenzi!$G:$G,$X86),"")</f>
        <v/>
      </c>
      <c r="G86" s="32" t="str">
        <f>IF($A86="","",N(INDEX('PI Furnizor'!$E:$E,ROW()-3)))</f>
        <v/>
      </c>
      <c r="H86" s="33" t="str">
        <f t="shared" si="13"/>
        <v/>
      </c>
      <c r="I86" s="34" t="str">
        <f>IF($Y86&lt;&gt;1,"",IFERROR($AE86/INDEX(Comenzi!$AN:$AN,$X86),0))</f>
        <v/>
      </c>
      <c r="J86" s="33" t="str">
        <f>IF($Y86&lt;&gt;1,"",INDEX(Comenzi!$AG:$AG,$X86)*$I86/$E86)</f>
        <v/>
      </c>
      <c r="K86" s="33" t="str">
        <f t="shared" si="14"/>
        <v/>
      </c>
      <c r="L86" s="33" t="str">
        <f>IF($Y86&lt;&gt;1,"",$K86*$AD86+INDEX(Comenzi!$AJ:$AJ,$X86)*$I86/$E86)</f>
        <v/>
      </c>
      <c r="M86" s="33" t="str">
        <f t="shared" si="15"/>
        <v/>
      </c>
      <c r="N86" s="33" t="str">
        <f t="shared" si="16"/>
        <v/>
      </c>
      <c r="O86" s="33" t="str">
        <f>IF($Y86&lt;&gt;1,"",(INDEX(Comenzi!$AK:$AK,$X86)+N(INDEX(Comenzi!$T:$T,$X86)))*$I86/$E86)</f>
        <v/>
      </c>
      <c r="P86" s="35" t="str">
        <f t="shared" si="17"/>
        <v/>
      </c>
      <c r="Q86" s="36" t="str">
        <f t="shared" si="18"/>
        <v/>
      </c>
      <c r="R86" s="37" t="str">
        <f t="shared" si="19"/>
        <v/>
      </c>
      <c r="S86" s="38" t="str">
        <f t="shared" si="20"/>
        <v/>
      </c>
      <c r="T86" s="39" t="str">
        <f t="shared" si="21"/>
        <v/>
      </c>
      <c r="U86" s="40" t="str">
        <f t="shared" si="22"/>
        <v/>
      </c>
      <c r="V86" s="33" t="str">
        <f t="shared" si="23"/>
        <v/>
      </c>
      <c r="W86" s="33" t="str">
        <f t="shared" si="24"/>
        <v/>
      </c>
      <c r="X86" s="41" t="str">
        <f>IF($A86="","",IFERROR(MATCH($A86,Comenzi!$A$9:$A$108,0)+8,""))</f>
        <v/>
      </c>
      <c r="Y86" s="41" t="str">
        <f t="shared" si="25"/>
        <v/>
      </c>
      <c r="Z86" s="42" t="str">
        <f>IF($A86="","",IF($A86="?","Lipseste ID-ul comenzii (col. A din PI Furnizor)",IF(NOT(ISNUMBER($X86)),"ID comanda negasit in foaia Comenzi",IF(N($E86)&lt;=0,"Lipseste cantitatea",IF(N($G86)=0,"Pret unitar lipsa",IF($Y86&lt;&gt;1,"Curs sau moneda marfa lipsa (foaia Comenzi)",IF(INDEX(Comenzi!$AT:$AT,$X86)&lt;&gt;"OK","Avertisment comanda: "&amp;INDEX(Comenzi!$AT:$AT,$X86),"OK")))))))</f>
        <v/>
      </c>
      <c r="AA86" s="43" t="str">
        <f>IF(ISNUMBER($X86),INDEX(Comenzi!$H:$H,$X86),"")</f>
        <v/>
      </c>
      <c r="AB86" s="43" t="str">
        <f>IF(ISNUMBER($X86),INDEX(Comenzi!$I:$I,$X86),"")</f>
        <v/>
      </c>
      <c r="AC86" s="44" t="str">
        <f>IF(ISNUMBER($X86),IF(INDEX(Comenzi!$V:$V,$X86)="",Comenzi!$D$3,INDEX(Comenzi!$V:$V,$X86)),"")</f>
        <v/>
      </c>
      <c r="AD86" s="44" t="str">
        <f>IF(ISNUMBER($X86),IF(INDEX(Comenzi!$U:$U,$X86)="",Comenzi!$D$4,INDEX(Comenzi!$U:$U,$X86)),"")</f>
        <v/>
      </c>
      <c r="AE86" s="45" t="str">
        <f>IF($Y86&lt;&gt;1,"",IF(INDEX(Comenzi!$AM:$AM,$X86)="Greutate",INDEX('PI Furnizor'!$O:$O,ROW()-3),IF(INDEX(Comenzi!$AM:$AM,$X86)="Volum (CBM)",INDEX('PI Furnizor'!$Q:$Q,ROW()-3),IF(INDEX(Comenzi!$AM:$AM,$X86)="Valoare marfa",INDEX('PI Furnizor'!$N:$N,ROW()-3),$E86))))</f>
        <v/>
      </c>
    </row>
    <row r="87" spans="1:31" x14ac:dyDescent="0.3">
      <c r="A87" s="28" t="str">
        <f>IF(COUNTA(INDEX('PI Furnizor'!$A:$E,ROW()-3,0))=0,"",IF(INDEX('PI Furnizor'!$A:$A,ROW()-3)="","?",INDEX('PI Furnizor'!$A:$A,ROW()-3)))</f>
        <v/>
      </c>
      <c r="B87" s="29" t="str">
        <f>IF(ISNUMBER($X87),INDEX(Comenzi!$B:$B,$X87),"")</f>
        <v/>
      </c>
      <c r="C87" s="28" t="str">
        <f>IF($A87="","",INDEX('PI Furnizor'!$B:$B,ROW()-3)&amp;"")</f>
        <v/>
      </c>
      <c r="D87" s="28" t="str">
        <f>IF($A87="","",INDEX('PI Furnizor'!$C:$C,ROW()-3)&amp;"")</f>
        <v/>
      </c>
      <c r="E87" s="30" t="str">
        <f>IF($A87="","",N(INDEX('PI Furnizor'!$D:$D,ROW()-3)))</f>
        <v/>
      </c>
      <c r="F87" s="31" t="str">
        <f>IF(ISNUMBER($X87),INDEX(Comenzi!$G:$G,$X87),"")</f>
        <v/>
      </c>
      <c r="G87" s="32" t="str">
        <f>IF($A87="","",N(INDEX('PI Furnizor'!$E:$E,ROW()-3)))</f>
        <v/>
      </c>
      <c r="H87" s="33" t="str">
        <f t="shared" si="13"/>
        <v/>
      </c>
      <c r="I87" s="34" t="str">
        <f>IF($Y87&lt;&gt;1,"",IFERROR($AE87/INDEX(Comenzi!$AN:$AN,$X87),0))</f>
        <v/>
      </c>
      <c r="J87" s="33" t="str">
        <f>IF($Y87&lt;&gt;1,"",INDEX(Comenzi!$AG:$AG,$X87)*$I87/$E87)</f>
        <v/>
      </c>
      <c r="K87" s="33" t="str">
        <f t="shared" si="14"/>
        <v/>
      </c>
      <c r="L87" s="33" t="str">
        <f>IF($Y87&lt;&gt;1,"",$K87*$AD87+INDEX(Comenzi!$AJ:$AJ,$X87)*$I87/$E87)</f>
        <v/>
      </c>
      <c r="M87" s="33" t="str">
        <f t="shared" si="15"/>
        <v/>
      </c>
      <c r="N87" s="33" t="str">
        <f t="shared" si="16"/>
        <v/>
      </c>
      <c r="O87" s="33" t="str">
        <f>IF($Y87&lt;&gt;1,"",(INDEX(Comenzi!$AK:$AK,$X87)+N(INDEX(Comenzi!$T:$T,$X87)))*$I87/$E87)</f>
        <v/>
      </c>
      <c r="P87" s="35" t="str">
        <f t="shared" si="17"/>
        <v/>
      </c>
      <c r="Q87" s="36" t="str">
        <f t="shared" si="18"/>
        <v/>
      </c>
      <c r="R87" s="37" t="str">
        <f t="shared" si="19"/>
        <v/>
      </c>
      <c r="S87" s="38" t="str">
        <f t="shared" si="20"/>
        <v/>
      </c>
      <c r="T87" s="39" t="str">
        <f t="shared" si="21"/>
        <v/>
      </c>
      <c r="U87" s="40" t="str">
        <f t="shared" si="22"/>
        <v/>
      </c>
      <c r="V87" s="33" t="str">
        <f t="shared" si="23"/>
        <v/>
      </c>
      <c r="W87" s="33" t="str">
        <f t="shared" si="24"/>
        <v/>
      </c>
      <c r="X87" s="41" t="str">
        <f>IF($A87="","",IFERROR(MATCH($A87,Comenzi!$A$9:$A$108,0)+8,""))</f>
        <v/>
      </c>
      <c r="Y87" s="41" t="str">
        <f t="shared" si="25"/>
        <v/>
      </c>
      <c r="Z87" s="42" t="str">
        <f>IF($A87="","",IF($A87="?","Lipseste ID-ul comenzii (col. A din PI Furnizor)",IF(NOT(ISNUMBER($X87)),"ID comanda negasit in foaia Comenzi",IF(N($E87)&lt;=0,"Lipseste cantitatea",IF(N($G87)=0,"Pret unitar lipsa",IF($Y87&lt;&gt;1,"Curs sau moneda marfa lipsa (foaia Comenzi)",IF(INDEX(Comenzi!$AT:$AT,$X87)&lt;&gt;"OK","Avertisment comanda: "&amp;INDEX(Comenzi!$AT:$AT,$X87),"OK")))))))</f>
        <v/>
      </c>
      <c r="AA87" s="43" t="str">
        <f>IF(ISNUMBER($X87),INDEX(Comenzi!$H:$H,$X87),"")</f>
        <v/>
      </c>
      <c r="AB87" s="43" t="str">
        <f>IF(ISNUMBER($X87),INDEX(Comenzi!$I:$I,$X87),"")</f>
        <v/>
      </c>
      <c r="AC87" s="44" t="str">
        <f>IF(ISNUMBER($X87),IF(INDEX(Comenzi!$V:$V,$X87)="",Comenzi!$D$3,INDEX(Comenzi!$V:$V,$X87)),"")</f>
        <v/>
      </c>
      <c r="AD87" s="44" t="str">
        <f>IF(ISNUMBER($X87),IF(INDEX(Comenzi!$U:$U,$X87)="",Comenzi!$D$4,INDEX(Comenzi!$U:$U,$X87)),"")</f>
        <v/>
      </c>
      <c r="AE87" s="45" t="str">
        <f>IF($Y87&lt;&gt;1,"",IF(INDEX(Comenzi!$AM:$AM,$X87)="Greutate",INDEX('PI Furnizor'!$O:$O,ROW()-3),IF(INDEX(Comenzi!$AM:$AM,$X87)="Volum (CBM)",INDEX('PI Furnizor'!$Q:$Q,ROW()-3),IF(INDEX(Comenzi!$AM:$AM,$X87)="Valoare marfa",INDEX('PI Furnizor'!$N:$N,ROW()-3),$E87))))</f>
        <v/>
      </c>
    </row>
    <row r="88" spans="1:31" x14ac:dyDescent="0.3">
      <c r="A88" s="28" t="str">
        <f>IF(COUNTA(INDEX('PI Furnizor'!$A:$E,ROW()-3,0))=0,"",IF(INDEX('PI Furnizor'!$A:$A,ROW()-3)="","?",INDEX('PI Furnizor'!$A:$A,ROW()-3)))</f>
        <v/>
      </c>
      <c r="B88" s="29" t="str">
        <f>IF(ISNUMBER($X88),INDEX(Comenzi!$B:$B,$X88),"")</f>
        <v/>
      </c>
      <c r="C88" s="28" t="str">
        <f>IF($A88="","",INDEX('PI Furnizor'!$B:$B,ROW()-3)&amp;"")</f>
        <v/>
      </c>
      <c r="D88" s="28" t="str">
        <f>IF($A88="","",INDEX('PI Furnizor'!$C:$C,ROW()-3)&amp;"")</f>
        <v/>
      </c>
      <c r="E88" s="30" t="str">
        <f>IF($A88="","",N(INDEX('PI Furnizor'!$D:$D,ROW()-3)))</f>
        <v/>
      </c>
      <c r="F88" s="31" t="str">
        <f>IF(ISNUMBER($X88),INDEX(Comenzi!$G:$G,$X88),"")</f>
        <v/>
      </c>
      <c r="G88" s="32" t="str">
        <f>IF($A88="","",N(INDEX('PI Furnizor'!$E:$E,ROW()-3)))</f>
        <v/>
      </c>
      <c r="H88" s="33" t="str">
        <f t="shared" si="13"/>
        <v/>
      </c>
      <c r="I88" s="34" t="str">
        <f>IF($Y88&lt;&gt;1,"",IFERROR($AE88/INDEX(Comenzi!$AN:$AN,$X88),0))</f>
        <v/>
      </c>
      <c r="J88" s="33" t="str">
        <f>IF($Y88&lt;&gt;1,"",INDEX(Comenzi!$AG:$AG,$X88)*$I88/$E88)</f>
        <v/>
      </c>
      <c r="K88" s="33" t="str">
        <f t="shared" si="14"/>
        <v/>
      </c>
      <c r="L88" s="33" t="str">
        <f>IF($Y88&lt;&gt;1,"",$K88*$AD88+INDEX(Comenzi!$AJ:$AJ,$X88)*$I88/$E88)</f>
        <v/>
      </c>
      <c r="M88" s="33" t="str">
        <f t="shared" si="15"/>
        <v/>
      </c>
      <c r="N88" s="33" t="str">
        <f t="shared" si="16"/>
        <v/>
      </c>
      <c r="O88" s="33" t="str">
        <f>IF($Y88&lt;&gt;1,"",(INDEX(Comenzi!$AK:$AK,$X88)+N(INDEX(Comenzi!$T:$T,$X88)))*$I88/$E88)</f>
        <v/>
      </c>
      <c r="P88" s="35" t="str">
        <f t="shared" si="17"/>
        <v/>
      </c>
      <c r="Q88" s="36" t="str">
        <f t="shared" si="18"/>
        <v/>
      </c>
      <c r="R88" s="37" t="str">
        <f t="shared" si="19"/>
        <v/>
      </c>
      <c r="S88" s="38" t="str">
        <f t="shared" si="20"/>
        <v/>
      </c>
      <c r="T88" s="39" t="str">
        <f t="shared" si="21"/>
        <v/>
      </c>
      <c r="U88" s="40" t="str">
        <f t="shared" si="22"/>
        <v/>
      </c>
      <c r="V88" s="33" t="str">
        <f t="shared" si="23"/>
        <v/>
      </c>
      <c r="W88" s="33" t="str">
        <f t="shared" si="24"/>
        <v/>
      </c>
      <c r="X88" s="41" t="str">
        <f>IF($A88="","",IFERROR(MATCH($A88,Comenzi!$A$9:$A$108,0)+8,""))</f>
        <v/>
      </c>
      <c r="Y88" s="41" t="str">
        <f t="shared" si="25"/>
        <v/>
      </c>
      <c r="Z88" s="42" t="str">
        <f>IF($A88="","",IF($A88="?","Lipseste ID-ul comenzii (col. A din PI Furnizor)",IF(NOT(ISNUMBER($X88)),"ID comanda negasit in foaia Comenzi",IF(N($E88)&lt;=0,"Lipseste cantitatea",IF(N($G88)=0,"Pret unitar lipsa",IF($Y88&lt;&gt;1,"Curs sau moneda marfa lipsa (foaia Comenzi)",IF(INDEX(Comenzi!$AT:$AT,$X88)&lt;&gt;"OK","Avertisment comanda: "&amp;INDEX(Comenzi!$AT:$AT,$X88),"OK")))))))</f>
        <v/>
      </c>
      <c r="AA88" s="43" t="str">
        <f>IF(ISNUMBER($X88),INDEX(Comenzi!$H:$H,$X88),"")</f>
        <v/>
      </c>
      <c r="AB88" s="43" t="str">
        <f>IF(ISNUMBER($X88),INDEX(Comenzi!$I:$I,$X88),"")</f>
        <v/>
      </c>
      <c r="AC88" s="44" t="str">
        <f>IF(ISNUMBER($X88),IF(INDEX(Comenzi!$V:$V,$X88)="",Comenzi!$D$3,INDEX(Comenzi!$V:$V,$X88)),"")</f>
        <v/>
      </c>
      <c r="AD88" s="44" t="str">
        <f>IF(ISNUMBER($X88),IF(INDEX(Comenzi!$U:$U,$X88)="",Comenzi!$D$4,INDEX(Comenzi!$U:$U,$X88)),"")</f>
        <v/>
      </c>
      <c r="AE88" s="45" t="str">
        <f>IF($Y88&lt;&gt;1,"",IF(INDEX(Comenzi!$AM:$AM,$X88)="Greutate",INDEX('PI Furnizor'!$O:$O,ROW()-3),IF(INDEX(Comenzi!$AM:$AM,$X88)="Volum (CBM)",INDEX('PI Furnizor'!$Q:$Q,ROW()-3),IF(INDEX(Comenzi!$AM:$AM,$X88)="Valoare marfa",INDEX('PI Furnizor'!$N:$N,ROW()-3),$E88))))</f>
        <v/>
      </c>
    </row>
    <row r="89" spans="1:31" x14ac:dyDescent="0.3">
      <c r="A89" s="28" t="str">
        <f>IF(COUNTA(INDEX('PI Furnizor'!$A:$E,ROW()-3,0))=0,"",IF(INDEX('PI Furnizor'!$A:$A,ROW()-3)="","?",INDEX('PI Furnizor'!$A:$A,ROW()-3)))</f>
        <v/>
      </c>
      <c r="B89" s="29" t="str">
        <f>IF(ISNUMBER($X89),INDEX(Comenzi!$B:$B,$X89),"")</f>
        <v/>
      </c>
      <c r="C89" s="28" t="str">
        <f>IF($A89="","",INDEX('PI Furnizor'!$B:$B,ROW()-3)&amp;"")</f>
        <v/>
      </c>
      <c r="D89" s="28" t="str">
        <f>IF($A89="","",INDEX('PI Furnizor'!$C:$C,ROW()-3)&amp;"")</f>
        <v/>
      </c>
      <c r="E89" s="30" t="str">
        <f>IF($A89="","",N(INDEX('PI Furnizor'!$D:$D,ROW()-3)))</f>
        <v/>
      </c>
      <c r="F89" s="31" t="str">
        <f>IF(ISNUMBER($X89),INDEX(Comenzi!$G:$G,$X89),"")</f>
        <v/>
      </c>
      <c r="G89" s="32" t="str">
        <f>IF($A89="","",N(INDEX('PI Furnizor'!$E:$E,ROW()-3)))</f>
        <v/>
      </c>
      <c r="H89" s="33" t="str">
        <f t="shared" si="13"/>
        <v/>
      </c>
      <c r="I89" s="34" t="str">
        <f>IF($Y89&lt;&gt;1,"",IFERROR($AE89/INDEX(Comenzi!$AN:$AN,$X89),0))</f>
        <v/>
      </c>
      <c r="J89" s="33" t="str">
        <f>IF($Y89&lt;&gt;1,"",INDEX(Comenzi!$AG:$AG,$X89)*$I89/$E89)</f>
        <v/>
      </c>
      <c r="K89" s="33" t="str">
        <f t="shared" si="14"/>
        <v/>
      </c>
      <c r="L89" s="33" t="str">
        <f>IF($Y89&lt;&gt;1,"",$K89*$AD89+INDEX(Comenzi!$AJ:$AJ,$X89)*$I89/$E89)</f>
        <v/>
      </c>
      <c r="M89" s="33" t="str">
        <f t="shared" si="15"/>
        <v/>
      </c>
      <c r="N89" s="33" t="str">
        <f t="shared" si="16"/>
        <v/>
      </c>
      <c r="O89" s="33" t="str">
        <f>IF($Y89&lt;&gt;1,"",(INDEX(Comenzi!$AK:$AK,$X89)+N(INDEX(Comenzi!$T:$T,$X89)))*$I89/$E89)</f>
        <v/>
      </c>
      <c r="P89" s="35" t="str">
        <f t="shared" si="17"/>
        <v/>
      </c>
      <c r="Q89" s="36" t="str">
        <f t="shared" si="18"/>
        <v/>
      </c>
      <c r="R89" s="37" t="str">
        <f t="shared" si="19"/>
        <v/>
      </c>
      <c r="S89" s="38" t="str">
        <f t="shared" si="20"/>
        <v/>
      </c>
      <c r="T89" s="39" t="str">
        <f t="shared" si="21"/>
        <v/>
      </c>
      <c r="U89" s="40" t="str">
        <f t="shared" si="22"/>
        <v/>
      </c>
      <c r="V89" s="33" t="str">
        <f t="shared" si="23"/>
        <v/>
      </c>
      <c r="W89" s="33" t="str">
        <f t="shared" si="24"/>
        <v/>
      </c>
      <c r="X89" s="41" t="str">
        <f>IF($A89="","",IFERROR(MATCH($A89,Comenzi!$A$9:$A$108,0)+8,""))</f>
        <v/>
      </c>
      <c r="Y89" s="41" t="str">
        <f t="shared" si="25"/>
        <v/>
      </c>
      <c r="Z89" s="42" t="str">
        <f>IF($A89="","",IF($A89="?","Lipseste ID-ul comenzii (col. A din PI Furnizor)",IF(NOT(ISNUMBER($X89)),"ID comanda negasit in foaia Comenzi",IF(N($E89)&lt;=0,"Lipseste cantitatea",IF(N($G89)=0,"Pret unitar lipsa",IF($Y89&lt;&gt;1,"Curs sau moneda marfa lipsa (foaia Comenzi)",IF(INDEX(Comenzi!$AT:$AT,$X89)&lt;&gt;"OK","Avertisment comanda: "&amp;INDEX(Comenzi!$AT:$AT,$X89),"OK")))))))</f>
        <v/>
      </c>
      <c r="AA89" s="43" t="str">
        <f>IF(ISNUMBER($X89),INDEX(Comenzi!$H:$H,$X89),"")</f>
        <v/>
      </c>
      <c r="AB89" s="43" t="str">
        <f>IF(ISNUMBER($X89),INDEX(Comenzi!$I:$I,$X89),"")</f>
        <v/>
      </c>
      <c r="AC89" s="44" t="str">
        <f>IF(ISNUMBER($X89),IF(INDEX(Comenzi!$V:$V,$X89)="",Comenzi!$D$3,INDEX(Comenzi!$V:$V,$X89)),"")</f>
        <v/>
      </c>
      <c r="AD89" s="44" t="str">
        <f>IF(ISNUMBER($X89),IF(INDEX(Comenzi!$U:$U,$X89)="",Comenzi!$D$4,INDEX(Comenzi!$U:$U,$X89)),"")</f>
        <v/>
      </c>
      <c r="AE89" s="45" t="str">
        <f>IF($Y89&lt;&gt;1,"",IF(INDEX(Comenzi!$AM:$AM,$X89)="Greutate",INDEX('PI Furnizor'!$O:$O,ROW()-3),IF(INDEX(Comenzi!$AM:$AM,$X89)="Volum (CBM)",INDEX('PI Furnizor'!$Q:$Q,ROW()-3),IF(INDEX(Comenzi!$AM:$AM,$X89)="Valoare marfa",INDEX('PI Furnizor'!$N:$N,ROW()-3),$E89))))</f>
        <v/>
      </c>
    </row>
    <row r="90" spans="1:31" x14ac:dyDescent="0.3">
      <c r="A90" s="28" t="str">
        <f>IF(COUNTA(INDEX('PI Furnizor'!$A:$E,ROW()-3,0))=0,"",IF(INDEX('PI Furnizor'!$A:$A,ROW()-3)="","?",INDEX('PI Furnizor'!$A:$A,ROW()-3)))</f>
        <v/>
      </c>
      <c r="B90" s="29" t="str">
        <f>IF(ISNUMBER($X90),INDEX(Comenzi!$B:$B,$X90),"")</f>
        <v/>
      </c>
      <c r="C90" s="28" t="str">
        <f>IF($A90="","",INDEX('PI Furnizor'!$B:$B,ROW()-3)&amp;"")</f>
        <v/>
      </c>
      <c r="D90" s="28" t="str">
        <f>IF($A90="","",INDEX('PI Furnizor'!$C:$C,ROW()-3)&amp;"")</f>
        <v/>
      </c>
      <c r="E90" s="30" t="str">
        <f>IF($A90="","",N(INDEX('PI Furnizor'!$D:$D,ROW()-3)))</f>
        <v/>
      </c>
      <c r="F90" s="31" t="str">
        <f>IF(ISNUMBER($X90),INDEX(Comenzi!$G:$G,$X90),"")</f>
        <v/>
      </c>
      <c r="G90" s="32" t="str">
        <f>IF($A90="","",N(INDEX('PI Furnizor'!$E:$E,ROW()-3)))</f>
        <v/>
      </c>
      <c r="H90" s="33" t="str">
        <f t="shared" si="13"/>
        <v/>
      </c>
      <c r="I90" s="34" t="str">
        <f>IF($Y90&lt;&gt;1,"",IFERROR($AE90/INDEX(Comenzi!$AN:$AN,$X90),0))</f>
        <v/>
      </c>
      <c r="J90" s="33" t="str">
        <f>IF($Y90&lt;&gt;1,"",INDEX(Comenzi!$AG:$AG,$X90)*$I90/$E90)</f>
        <v/>
      </c>
      <c r="K90" s="33" t="str">
        <f t="shared" si="14"/>
        <v/>
      </c>
      <c r="L90" s="33" t="str">
        <f>IF($Y90&lt;&gt;1,"",$K90*$AD90+INDEX(Comenzi!$AJ:$AJ,$X90)*$I90/$E90)</f>
        <v/>
      </c>
      <c r="M90" s="33" t="str">
        <f t="shared" si="15"/>
        <v/>
      </c>
      <c r="N90" s="33" t="str">
        <f t="shared" si="16"/>
        <v/>
      </c>
      <c r="O90" s="33" t="str">
        <f>IF($Y90&lt;&gt;1,"",(INDEX(Comenzi!$AK:$AK,$X90)+N(INDEX(Comenzi!$T:$T,$X90)))*$I90/$E90)</f>
        <v/>
      </c>
      <c r="P90" s="35" t="str">
        <f t="shared" si="17"/>
        <v/>
      </c>
      <c r="Q90" s="36" t="str">
        <f t="shared" si="18"/>
        <v/>
      </c>
      <c r="R90" s="37" t="str">
        <f t="shared" si="19"/>
        <v/>
      </c>
      <c r="S90" s="38" t="str">
        <f t="shared" si="20"/>
        <v/>
      </c>
      <c r="T90" s="39" t="str">
        <f t="shared" si="21"/>
        <v/>
      </c>
      <c r="U90" s="40" t="str">
        <f t="shared" si="22"/>
        <v/>
      </c>
      <c r="V90" s="33" t="str">
        <f t="shared" si="23"/>
        <v/>
      </c>
      <c r="W90" s="33" t="str">
        <f t="shared" si="24"/>
        <v/>
      </c>
      <c r="X90" s="41" t="str">
        <f>IF($A90="","",IFERROR(MATCH($A90,Comenzi!$A$9:$A$108,0)+8,""))</f>
        <v/>
      </c>
      <c r="Y90" s="41" t="str">
        <f t="shared" si="25"/>
        <v/>
      </c>
      <c r="Z90" s="42" t="str">
        <f>IF($A90="","",IF($A90="?","Lipseste ID-ul comenzii (col. A din PI Furnizor)",IF(NOT(ISNUMBER($X90)),"ID comanda negasit in foaia Comenzi",IF(N($E90)&lt;=0,"Lipseste cantitatea",IF(N($G90)=0,"Pret unitar lipsa",IF($Y90&lt;&gt;1,"Curs sau moneda marfa lipsa (foaia Comenzi)",IF(INDEX(Comenzi!$AT:$AT,$X90)&lt;&gt;"OK","Avertisment comanda: "&amp;INDEX(Comenzi!$AT:$AT,$X90),"OK")))))))</f>
        <v/>
      </c>
      <c r="AA90" s="43" t="str">
        <f>IF(ISNUMBER($X90),INDEX(Comenzi!$H:$H,$X90),"")</f>
        <v/>
      </c>
      <c r="AB90" s="43" t="str">
        <f>IF(ISNUMBER($X90),INDEX(Comenzi!$I:$I,$X90),"")</f>
        <v/>
      </c>
      <c r="AC90" s="44" t="str">
        <f>IF(ISNUMBER($X90),IF(INDEX(Comenzi!$V:$V,$X90)="",Comenzi!$D$3,INDEX(Comenzi!$V:$V,$X90)),"")</f>
        <v/>
      </c>
      <c r="AD90" s="44" t="str">
        <f>IF(ISNUMBER($X90),IF(INDEX(Comenzi!$U:$U,$X90)="",Comenzi!$D$4,INDEX(Comenzi!$U:$U,$X90)),"")</f>
        <v/>
      </c>
      <c r="AE90" s="45" t="str">
        <f>IF($Y90&lt;&gt;1,"",IF(INDEX(Comenzi!$AM:$AM,$X90)="Greutate",INDEX('PI Furnizor'!$O:$O,ROW()-3),IF(INDEX(Comenzi!$AM:$AM,$X90)="Volum (CBM)",INDEX('PI Furnizor'!$Q:$Q,ROW()-3),IF(INDEX(Comenzi!$AM:$AM,$X90)="Valoare marfa",INDEX('PI Furnizor'!$N:$N,ROW()-3),$E90))))</f>
        <v/>
      </c>
    </row>
    <row r="91" spans="1:31" x14ac:dyDescent="0.3">
      <c r="A91" s="28" t="str">
        <f>IF(COUNTA(INDEX('PI Furnizor'!$A:$E,ROW()-3,0))=0,"",IF(INDEX('PI Furnizor'!$A:$A,ROW()-3)="","?",INDEX('PI Furnizor'!$A:$A,ROW()-3)))</f>
        <v/>
      </c>
      <c r="B91" s="29" t="str">
        <f>IF(ISNUMBER($X91),INDEX(Comenzi!$B:$B,$X91),"")</f>
        <v/>
      </c>
      <c r="C91" s="28" t="str">
        <f>IF($A91="","",INDEX('PI Furnizor'!$B:$B,ROW()-3)&amp;"")</f>
        <v/>
      </c>
      <c r="D91" s="28" t="str">
        <f>IF($A91="","",INDEX('PI Furnizor'!$C:$C,ROW()-3)&amp;"")</f>
        <v/>
      </c>
      <c r="E91" s="30" t="str">
        <f>IF($A91="","",N(INDEX('PI Furnizor'!$D:$D,ROW()-3)))</f>
        <v/>
      </c>
      <c r="F91" s="31" t="str">
        <f>IF(ISNUMBER($X91),INDEX(Comenzi!$G:$G,$X91),"")</f>
        <v/>
      </c>
      <c r="G91" s="32" t="str">
        <f>IF($A91="","",N(INDEX('PI Furnizor'!$E:$E,ROW()-3)))</f>
        <v/>
      </c>
      <c r="H91" s="33" t="str">
        <f t="shared" si="13"/>
        <v/>
      </c>
      <c r="I91" s="34" t="str">
        <f>IF($Y91&lt;&gt;1,"",IFERROR($AE91/INDEX(Comenzi!$AN:$AN,$X91),0))</f>
        <v/>
      </c>
      <c r="J91" s="33" t="str">
        <f>IF($Y91&lt;&gt;1,"",INDEX(Comenzi!$AG:$AG,$X91)*$I91/$E91)</f>
        <v/>
      </c>
      <c r="K91" s="33" t="str">
        <f t="shared" si="14"/>
        <v/>
      </c>
      <c r="L91" s="33" t="str">
        <f>IF($Y91&lt;&gt;1,"",$K91*$AD91+INDEX(Comenzi!$AJ:$AJ,$X91)*$I91/$E91)</f>
        <v/>
      </c>
      <c r="M91" s="33" t="str">
        <f t="shared" si="15"/>
        <v/>
      </c>
      <c r="N91" s="33" t="str">
        <f t="shared" si="16"/>
        <v/>
      </c>
      <c r="O91" s="33" t="str">
        <f>IF($Y91&lt;&gt;1,"",(INDEX(Comenzi!$AK:$AK,$X91)+N(INDEX(Comenzi!$T:$T,$X91)))*$I91/$E91)</f>
        <v/>
      </c>
      <c r="P91" s="35" t="str">
        <f t="shared" si="17"/>
        <v/>
      </c>
      <c r="Q91" s="36" t="str">
        <f t="shared" si="18"/>
        <v/>
      </c>
      <c r="R91" s="37" t="str">
        <f t="shared" si="19"/>
        <v/>
      </c>
      <c r="S91" s="38" t="str">
        <f t="shared" si="20"/>
        <v/>
      </c>
      <c r="T91" s="39" t="str">
        <f t="shared" si="21"/>
        <v/>
      </c>
      <c r="U91" s="40" t="str">
        <f t="shared" si="22"/>
        <v/>
      </c>
      <c r="V91" s="33" t="str">
        <f t="shared" si="23"/>
        <v/>
      </c>
      <c r="W91" s="33" t="str">
        <f t="shared" si="24"/>
        <v/>
      </c>
      <c r="X91" s="41" t="str">
        <f>IF($A91="","",IFERROR(MATCH($A91,Comenzi!$A$9:$A$108,0)+8,""))</f>
        <v/>
      </c>
      <c r="Y91" s="41" t="str">
        <f t="shared" si="25"/>
        <v/>
      </c>
      <c r="Z91" s="42" t="str">
        <f>IF($A91="","",IF($A91="?","Lipseste ID-ul comenzii (col. A din PI Furnizor)",IF(NOT(ISNUMBER($X91)),"ID comanda negasit in foaia Comenzi",IF(N($E91)&lt;=0,"Lipseste cantitatea",IF(N($G91)=0,"Pret unitar lipsa",IF($Y91&lt;&gt;1,"Curs sau moneda marfa lipsa (foaia Comenzi)",IF(INDEX(Comenzi!$AT:$AT,$X91)&lt;&gt;"OK","Avertisment comanda: "&amp;INDEX(Comenzi!$AT:$AT,$X91),"OK")))))))</f>
        <v/>
      </c>
      <c r="AA91" s="43" t="str">
        <f>IF(ISNUMBER($X91),INDEX(Comenzi!$H:$H,$X91),"")</f>
        <v/>
      </c>
      <c r="AB91" s="43" t="str">
        <f>IF(ISNUMBER($X91),INDEX(Comenzi!$I:$I,$X91),"")</f>
        <v/>
      </c>
      <c r="AC91" s="44" t="str">
        <f>IF(ISNUMBER($X91),IF(INDEX(Comenzi!$V:$V,$X91)="",Comenzi!$D$3,INDEX(Comenzi!$V:$V,$X91)),"")</f>
        <v/>
      </c>
      <c r="AD91" s="44" t="str">
        <f>IF(ISNUMBER($X91),IF(INDEX(Comenzi!$U:$U,$X91)="",Comenzi!$D$4,INDEX(Comenzi!$U:$U,$X91)),"")</f>
        <v/>
      </c>
      <c r="AE91" s="45" t="str">
        <f>IF($Y91&lt;&gt;1,"",IF(INDEX(Comenzi!$AM:$AM,$X91)="Greutate",INDEX('PI Furnizor'!$O:$O,ROW()-3),IF(INDEX(Comenzi!$AM:$AM,$X91)="Volum (CBM)",INDEX('PI Furnizor'!$Q:$Q,ROW()-3),IF(INDEX(Comenzi!$AM:$AM,$X91)="Valoare marfa",INDEX('PI Furnizor'!$N:$N,ROW()-3),$E91))))</f>
        <v/>
      </c>
    </row>
    <row r="92" spans="1:31" x14ac:dyDescent="0.3">
      <c r="A92" s="28" t="str">
        <f>IF(COUNTA(INDEX('PI Furnizor'!$A:$E,ROW()-3,0))=0,"",IF(INDEX('PI Furnizor'!$A:$A,ROW()-3)="","?",INDEX('PI Furnizor'!$A:$A,ROW()-3)))</f>
        <v/>
      </c>
      <c r="B92" s="29" t="str">
        <f>IF(ISNUMBER($X92),INDEX(Comenzi!$B:$B,$X92),"")</f>
        <v/>
      </c>
      <c r="C92" s="28" t="str">
        <f>IF($A92="","",INDEX('PI Furnizor'!$B:$B,ROW()-3)&amp;"")</f>
        <v/>
      </c>
      <c r="D92" s="28" t="str">
        <f>IF($A92="","",INDEX('PI Furnizor'!$C:$C,ROW()-3)&amp;"")</f>
        <v/>
      </c>
      <c r="E92" s="30" t="str">
        <f>IF($A92="","",N(INDEX('PI Furnizor'!$D:$D,ROW()-3)))</f>
        <v/>
      </c>
      <c r="F92" s="31" t="str">
        <f>IF(ISNUMBER($X92),INDEX(Comenzi!$G:$G,$X92),"")</f>
        <v/>
      </c>
      <c r="G92" s="32" t="str">
        <f>IF($A92="","",N(INDEX('PI Furnizor'!$E:$E,ROW()-3)))</f>
        <v/>
      </c>
      <c r="H92" s="33" t="str">
        <f t="shared" si="13"/>
        <v/>
      </c>
      <c r="I92" s="34" t="str">
        <f>IF($Y92&lt;&gt;1,"",IFERROR($AE92/INDEX(Comenzi!$AN:$AN,$X92),0))</f>
        <v/>
      </c>
      <c r="J92" s="33" t="str">
        <f>IF($Y92&lt;&gt;1,"",INDEX(Comenzi!$AG:$AG,$X92)*$I92/$E92)</f>
        <v/>
      </c>
      <c r="K92" s="33" t="str">
        <f t="shared" si="14"/>
        <v/>
      </c>
      <c r="L92" s="33" t="str">
        <f>IF($Y92&lt;&gt;1,"",$K92*$AD92+INDEX(Comenzi!$AJ:$AJ,$X92)*$I92/$E92)</f>
        <v/>
      </c>
      <c r="M92" s="33" t="str">
        <f t="shared" si="15"/>
        <v/>
      </c>
      <c r="N92" s="33" t="str">
        <f t="shared" si="16"/>
        <v/>
      </c>
      <c r="O92" s="33" t="str">
        <f>IF($Y92&lt;&gt;1,"",(INDEX(Comenzi!$AK:$AK,$X92)+N(INDEX(Comenzi!$T:$T,$X92)))*$I92/$E92)</f>
        <v/>
      </c>
      <c r="P92" s="35" t="str">
        <f t="shared" si="17"/>
        <v/>
      </c>
      <c r="Q92" s="36" t="str">
        <f t="shared" si="18"/>
        <v/>
      </c>
      <c r="R92" s="37" t="str">
        <f t="shared" si="19"/>
        <v/>
      </c>
      <c r="S92" s="38" t="str">
        <f t="shared" si="20"/>
        <v/>
      </c>
      <c r="T92" s="39" t="str">
        <f t="shared" si="21"/>
        <v/>
      </c>
      <c r="U92" s="40" t="str">
        <f t="shared" si="22"/>
        <v/>
      </c>
      <c r="V92" s="33" t="str">
        <f t="shared" si="23"/>
        <v/>
      </c>
      <c r="W92" s="33" t="str">
        <f t="shared" si="24"/>
        <v/>
      </c>
      <c r="X92" s="41" t="str">
        <f>IF($A92="","",IFERROR(MATCH($A92,Comenzi!$A$9:$A$108,0)+8,""))</f>
        <v/>
      </c>
      <c r="Y92" s="41" t="str">
        <f t="shared" si="25"/>
        <v/>
      </c>
      <c r="Z92" s="42" t="str">
        <f>IF($A92="","",IF($A92="?","Lipseste ID-ul comenzii (col. A din PI Furnizor)",IF(NOT(ISNUMBER($X92)),"ID comanda negasit in foaia Comenzi",IF(N($E92)&lt;=0,"Lipseste cantitatea",IF(N($G92)=0,"Pret unitar lipsa",IF($Y92&lt;&gt;1,"Curs sau moneda marfa lipsa (foaia Comenzi)",IF(INDEX(Comenzi!$AT:$AT,$X92)&lt;&gt;"OK","Avertisment comanda: "&amp;INDEX(Comenzi!$AT:$AT,$X92),"OK")))))))</f>
        <v/>
      </c>
      <c r="AA92" s="43" t="str">
        <f>IF(ISNUMBER($X92),INDEX(Comenzi!$H:$H,$X92),"")</f>
        <v/>
      </c>
      <c r="AB92" s="43" t="str">
        <f>IF(ISNUMBER($X92),INDEX(Comenzi!$I:$I,$X92),"")</f>
        <v/>
      </c>
      <c r="AC92" s="44" t="str">
        <f>IF(ISNUMBER($X92),IF(INDEX(Comenzi!$V:$V,$X92)="",Comenzi!$D$3,INDEX(Comenzi!$V:$V,$X92)),"")</f>
        <v/>
      </c>
      <c r="AD92" s="44" t="str">
        <f>IF(ISNUMBER($X92),IF(INDEX(Comenzi!$U:$U,$X92)="",Comenzi!$D$4,INDEX(Comenzi!$U:$U,$X92)),"")</f>
        <v/>
      </c>
      <c r="AE92" s="45" t="str">
        <f>IF($Y92&lt;&gt;1,"",IF(INDEX(Comenzi!$AM:$AM,$X92)="Greutate",INDEX('PI Furnizor'!$O:$O,ROW()-3),IF(INDEX(Comenzi!$AM:$AM,$X92)="Volum (CBM)",INDEX('PI Furnizor'!$Q:$Q,ROW()-3),IF(INDEX(Comenzi!$AM:$AM,$X92)="Valoare marfa",INDEX('PI Furnizor'!$N:$N,ROW()-3),$E92))))</f>
        <v/>
      </c>
    </row>
    <row r="93" spans="1:31" x14ac:dyDescent="0.3">
      <c r="A93" s="28" t="str">
        <f>IF(COUNTA(INDEX('PI Furnizor'!$A:$E,ROW()-3,0))=0,"",IF(INDEX('PI Furnizor'!$A:$A,ROW()-3)="","?",INDEX('PI Furnizor'!$A:$A,ROW()-3)))</f>
        <v/>
      </c>
      <c r="B93" s="29" t="str">
        <f>IF(ISNUMBER($X93),INDEX(Comenzi!$B:$B,$X93),"")</f>
        <v/>
      </c>
      <c r="C93" s="28" t="str">
        <f>IF($A93="","",INDEX('PI Furnizor'!$B:$B,ROW()-3)&amp;"")</f>
        <v/>
      </c>
      <c r="D93" s="28" t="str">
        <f>IF($A93="","",INDEX('PI Furnizor'!$C:$C,ROW()-3)&amp;"")</f>
        <v/>
      </c>
      <c r="E93" s="30" t="str">
        <f>IF($A93="","",N(INDEX('PI Furnizor'!$D:$D,ROW()-3)))</f>
        <v/>
      </c>
      <c r="F93" s="31" t="str">
        <f>IF(ISNUMBER($X93),INDEX(Comenzi!$G:$G,$X93),"")</f>
        <v/>
      </c>
      <c r="G93" s="32" t="str">
        <f>IF($A93="","",N(INDEX('PI Furnizor'!$E:$E,ROW()-3)))</f>
        <v/>
      </c>
      <c r="H93" s="33" t="str">
        <f t="shared" si="13"/>
        <v/>
      </c>
      <c r="I93" s="34" t="str">
        <f>IF($Y93&lt;&gt;1,"",IFERROR($AE93/INDEX(Comenzi!$AN:$AN,$X93),0))</f>
        <v/>
      </c>
      <c r="J93" s="33" t="str">
        <f>IF($Y93&lt;&gt;1,"",INDEX(Comenzi!$AG:$AG,$X93)*$I93/$E93)</f>
        <v/>
      </c>
      <c r="K93" s="33" t="str">
        <f t="shared" si="14"/>
        <v/>
      </c>
      <c r="L93" s="33" t="str">
        <f>IF($Y93&lt;&gt;1,"",$K93*$AD93+INDEX(Comenzi!$AJ:$AJ,$X93)*$I93/$E93)</f>
        <v/>
      </c>
      <c r="M93" s="33" t="str">
        <f t="shared" si="15"/>
        <v/>
      </c>
      <c r="N93" s="33" t="str">
        <f t="shared" si="16"/>
        <v/>
      </c>
      <c r="O93" s="33" t="str">
        <f>IF($Y93&lt;&gt;1,"",(INDEX(Comenzi!$AK:$AK,$X93)+N(INDEX(Comenzi!$T:$T,$X93)))*$I93/$E93)</f>
        <v/>
      </c>
      <c r="P93" s="35" t="str">
        <f t="shared" si="17"/>
        <v/>
      </c>
      <c r="Q93" s="36" t="str">
        <f t="shared" si="18"/>
        <v/>
      </c>
      <c r="R93" s="37" t="str">
        <f t="shared" si="19"/>
        <v/>
      </c>
      <c r="S93" s="38" t="str">
        <f t="shared" si="20"/>
        <v/>
      </c>
      <c r="T93" s="39" t="str">
        <f t="shared" si="21"/>
        <v/>
      </c>
      <c r="U93" s="40" t="str">
        <f t="shared" si="22"/>
        <v/>
      </c>
      <c r="V93" s="33" t="str">
        <f t="shared" si="23"/>
        <v/>
      </c>
      <c r="W93" s="33" t="str">
        <f t="shared" si="24"/>
        <v/>
      </c>
      <c r="X93" s="41" t="str">
        <f>IF($A93="","",IFERROR(MATCH($A93,Comenzi!$A$9:$A$108,0)+8,""))</f>
        <v/>
      </c>
      <c r="Y93" s="41" t="str">
        <f t="shared" si="25"/>
        <v/>
      </c>
      <c r="Z93" s="42" t="str">
        <f>IF($A93="","",IF($A93="?","Lipseste ID-ul comenzii (col. A din PI Furnizor)",IF(NOT(ISNUMBER($X93)),"ID comanda negasit in foaia Comenzi",IF(N($E93)&lt;=0,"Lipseste cantitatea",IF(N($G93)=0,"Pret unitar lipsa",IF($Y93&lt;&gt;1,"Curs sau moneda marfa lipsa (foaia Comenzi)",IF(INDEX(Comenzi!$AT:$AT,$X93)&lt;&gt;"OK","Avertisment comanda: "&amp;INDEX(Comenzi!$AT:$AT,$X93),"OK")))))))</f>
        <v/>
      </c>
      <c r="AA93" s="43" t="str">
        <f>IF(ISNUMBER($X93),INDEX(Comenzi!$H:$H,$X93),"")</f>
        <v/>
      </c>
      <c r="AB93" s="43" t="str">
        <f>IF(ISNUMBER($X93),INDEX(Comenzi!$I:$I,$X93),"")</f>
        <v/>
      </c>
      <c r="AC93" s="44" t="str">
        <f>IF(ISNUMBER($X93),IF(INDEX(Comenzi!$V:$V,$X93)="",Comenzi!$D$3,INDEX(Comenzi!$V:$V,$X93)),"")</f>
        <v/>
      </c>
      <c r="AD93" s="44" t="str">
        <f>IF(ISNUMBER($X93),IF(INDEX(Comenzi!$U:$U,$X93)="",Comenzi!$D$4,INDEX(Comenzi!$U:$U,$X93)),"")</f>
        <v/>
      </c>
      <c r="AE93" s="45" t="str">
        <f>IF($Y93&lt;&gt;1,"",IF(INDEX(Comenzi!$AM:$AM,$X93)="Greutate",INDEX('PI Furnizor'!$O:$O,ROW()-3),IF(INDEX(Comenzi!$AM:$AM,$X93)="Volum (CBM)",INDEX('PI Furnizor'!$Q:$Q,ROW()-3),IF(INDEX(Comenzi!$AM:$AM,$X93)="Valoare marfa",INDEX('PI Furnizor'!$N:$N,ROW()-3),$E93))))</f>
        <v/>
      </c>
    </row>
    <row r="94" spans="1:31" x14ac:dyDescent="0.3">
      <c r="A94" s="28" t="str">
        <f>IF(COUNTA(INDEX('PI Furnizor'!$A:$E,ROW()-3,0))=0,"",IF(INDEX('PI Furnizor'!$A:$A,ROW()-3)="","?",INDEX('PI Furnizor'!$A:$A,ROW()-3)))</f>
        <v/>
      </c>
      <c r="B94" s="29" t="str">
        <f>IF(ISNUMBER($X94),INDEX(Comenzi!$B:$B,$X94),"")</f>
        <v/>
      </c>
      <c r="C94" s="28" t="str">
        <f>IF($A94="","",INDEX('PI Furnizor'!$B:$B,ROW()-3)&amp;"")</f>
        <v/>
      </c>
      <c r="D94" s="28" t="str">
        <f>IF($A94="","",INDEX('PI Furnizor'!$C:$C,ROW()-3)&amp;"")</f>
        <v/>
      </c>
      <c r="E94" s="30" t="str">
        <f>IF($A94="","",N(INDEX('PI Furnizor'!$D:$D,ROW()-3)))</f>
        <v/>
      </c>
      <c r="F94" s="31" t="str">
        <f>IF(ISNUMBER($X94),INDEX(Comenzi!$G:$G,$X94),"")</f>
        <v/>
      </c>
      <c r="G94" s="32" t="str">
        <f>IF($A94="","",N(INDEX('PI Furnizor'!$E:$E,ROW()-3)))</f>
        <v/>
      </c>
      <c r="H94" s="33" t="str">
        <f t="shared" si="13"/>
        <v/>
      </c>
      <c r="I94" s="34" t="str">
        <f>IF($Y94&lt;&gt;1,"",IFERROR($AE94/INDEX(Comenzi!$AN:$AN,$X94),0))</f>
        <v/>
      </c>
      <c r="J94" s="33" t="str">
        <f>IF($Y94&lt;&gt;1,"",INDEX(Comenzi!$AG:$AG,$X94)*$I94/$E94)</f>
        <v/>
      </c>
      <c r="K94" s="33" t="str">
        <f t="shared" si="14"/>
        <v/>
      </c>
      <c r="L94" s="33" t="str">
        <f>IF($Y94&lt;&gt;1,"",$K94*$AD94+INDEX(Comenzi!$AJ:$AJ,$X94)*$I94/$E94)</f>
        <v/>
      </c>
      <c r="M94" s="33" t="str">
        <f t="shared" si="15"/>
        <v/>
      </c>
      <c r="N94" s="33" t="str">
        <f t="shared" si="16"/>
        <v/>
      </c>
      <c r="O94" s="33" t="str">
        <f>IF($Y94&lt;&gt;1,"",(INDEX(Comenzi!$AK:$AK,$X94)+N(INDEX(Comenzi!$T:$T,$X94)))*$I94/$E94)</f>
        <v/>
      </c>
      <c r="P94" s="35" t="str">
        <f t="shared" si="17"/>
        <v/>
      </c>
      <c r="Q94" s="36" t="str">
        <f t="shared" si="18"/>
        <v/>
      </c>
      <c r="R94" s="37" t="str">
        <f t="shared" si="19"/>
        <v/>
      </c>
      <c r="S94" s="38" t="str">
        <f t="shared" si="20"/>
        <v/>
      </c>
      <c r="T94" s="39" t="str">
        <f t="shared" si="21"/>
        <v/>
      </c>
      <c r="U94" s="40" t="str">
        <f t="shared" si="22"/>
        <v/>
      </c>
      <c r="V94" s="33" t="str">
        <f t="shared" si="23"/>
        <v/>
      </c>
      <c r="W94" s="33" t="str">
        <f t="shared" si="24"/>
        <v/>
      </c>
      <c r="X94" s="41" t="str">
        <f>IF($A94="","",IFERROR(MATCH($A94,Comenzi!$A$9:$A$108,0)+8,""))</f>
        <v/>
      </c>
      <c r="Y94" s="41" t="str">
        <f t="shared" si="25"/>
        <v/>
      </c>
      <c r="Z94" s="42" t="str">
        <f>IF($A94="","",IF($A94="?","Lipseste ID-ul comenzii (col. A din PI Furnizor)",IF(NOT(ISNUMBER($X94)),"ID comanda negasit in foaia Comenzi",IF(N($E94)&lt;=0,"Lipseste cantitatea",IF(N($G94)=0,"Pret unitar lipsa",IF($Y94&lt;&gt;1,"Curs sau moneda marfa lipsa (foaia Comenzi)",IF(INDEX(Comenzi!$AT:$AT,$X94)&lt;&gt;"OK","Avertisment comanda: "&amp;INDEX(Comenzi!$AT:$AT,$X94),"OK")))))))</f>
        <v/>
      </c>
      <c r="AA94" s="43" t="str">
        <f>IF(ISNUMBER($X94),INDEX(Comenzi!$H:$H,$X94),"")</f>
        <v/>
      </c>
      <c r="AB94" s="43" t="str">
        <f>IF(ISNUMBER($X94),INDEX(Comenzi!$I:$I,$X94),"")</f>
        <v/>
      </c>
      <c r="AC94" s="44" t="str">
        <f>IF(ISNUMBER($X94),IF(INDEX(Comenzi!$V:$V,$X94)="",Comenzi!$D$3,INDEX(Comenzi!$V:$V,$X94)),"")</f>
        <v/>
      </c>
      <c r="AD94" s="44" t="str">
        <f>IF(ISNUMBER($X94),IF(INDEX(Comenzi!$U:$U,$X94)="",Comenzi!$D$4,INDEX(Comenzi!$U:$U,$X94)),"")</f>
        <v/>
      </c>
      <c r="AE94" s="45" t="str">
        <f>IF($Y94&lt;&gt;1,"",IF(INDEX(Comenzi!$AM:$AM,$X94)="Greutate",INDEX('PI Furnizor'!$O:$O,ROW()-3),IF(INDEX(Comenzi!$AM:$AM,$X94)="Volum (CBM)",INDEX('PI Furnizor'!$Q:$Q,ROW()-3),IF(INDEX(Comenzi!$AM:$AM,$X94)="Valoare marfa",INDEX('PI Furnizor'!$N:$N,ROW()-3),$E94))))</f>
        <v/>
      </c>
    </row>
    <row r="95" spans="1:31" x14ac:dyDescent="0.3">
      <c r="A95" s="28" t="str">
        <f>IF(COUNTA(INDEX('PI Furnizor'!$A:$E,ROW()-3,0))=0,"",IF(INDEX('PI Furnizor'!$A:$A,ROW()-3)="","?",INDEX('PI Furnizor'!$A:$A,ROW()-3)))</f>
        <v/>
      </c>
      <c r="B95" s="29" t="str">
        <f>IF(ISNUMBER($X95),INDEX(Comenzi!$B:$B,$X95),"")</f>
        <v/>
      </c>
      <c r="C95" s="28" t="str">
        <f>IF($A95="","",INDEX('PI Furnizor'!$B:$B,ROW()-3)&amp;"")</f>
        <v/>
      </c>
      <c r="D95" s="28" t="str">
        <f>IF($A95="","",INDEX('PI Furnizor'!$C:$C,ROW()-3)&amp;"")</f>
        <v/>
      </c>
      <c r="E95" s="30" t="str">
        <f>IF($A95="","",N(INDEX('PI Furnizor'!$D:$D,ROW()-3)))</f>
        <v/>
      </c>
      <c r="F95" s="31" t="str">
        <f>IF(ISNUMBER($X95),INDEX(Comenzi!$G:$G,$X95),"")</f>
        <v/>
      </c>
      <c r="G95" s="32" t="str">
        <f>IF($A95="","",N(INDEX('PI Furnizor'!$E:$E,ROW()-3)))</f>
        <v/>
      </c>
      <c r="H95" s="33" t="str">
        <f t="shared" si="13"/>
        <v/>
      </c>
      <c r="I95" s="34" t="str">
        <f>IF($Y95&lt;&gt;1,"",IFERROR($AE95/INDEX(Comenzi!$AN:$AN,$X95),0))</f>
        <v/>
      </c>
      <c r="J95" s="33" t="str">
        <f>IF($Y95&lt;&gt;1,"",INDEX(Comenzi!$AG:$AG,$X95)*$I95/$E95)</f>
        <v/>
      </c>
      <c r="K95" s="33" t="str">
        <f t="shared" si="14"/>
        <v/>
      </c>
      <c r="L95" s="33" t="str">
        <f>IF($Y95&lt;&gt;1,"",$K95*$AD95+INDEX(Comenzi!$AJ:$AJ,$X95)*$I95/$E95)</f>
        <v/>
      </c>
      <c r="M95" s="33" t="str">
        <f t="shared" si="15"/>
        <v/>
      </c>
      <c r="N95" s="33" t="str">
        <f t="shared" si="16"/>
        <v/>
      </c>
      <c r="O95" s="33" t="str">
        <f>IF($Y95&lt;&gt;1,"",(INDEX(Comenzi!$AK:$AK,$X95)+N(INDEX(Comenzi!$T:$T,$X95)))*$I95/$E95)</f>
        <v/>
      </c>
      <c r="P95" s="35" t="str">
        <f t="shared" si="17"/>
        <v/>
      </c>
      <c r="Q95" s="36" t="str">
        <f t="shared" si="18"/>
        <v/>
      </c>
      <c r="R95" s="37" t="str">
        <f t="shared" si="19"/>
        <v/>
      </c>
      <c r="S95" s="38" t="str">
        <f t="shared" si="20"/>
        <v/>
      </c>
      <c r="T95" s="39" t="str">
        <f t="shared" si="21"/>
        <v/>
      </c>
      <c r="U95" s="40" t="str">
        <f t="shared" si="22"/>
        <v/>
      </c>
      <c r="V95" s="33" t="str">
        <f t="shared" si="23"/>
        <v/>
      </c>
      <c r="W95" s="33" t="str">
        <f t="shared" si="24"/>
        <v/>
      </c>
      <c r="X95" s="41" t="str">
        <f>IF($A95="","",IFERROR(MATCH($A95,Comenzi!$A$9:$A$108,0)+8,""))</f>
        <v/>
      </c>
      <c r="Y95" s="41" t="str">
        <f t="shared" si="25"/>
        <v/>
      </c>
      <c r="Z95" s="42" t="str">
        <f>IF($A95="","",IF($A95="?","Lipseste ID-ul comenzii (col. A din PI Furnizor)",IF(NOT(ISNUMBER($X95)),"ID comanda negasit in foaia Comenzi",IF(N($E95)&lt;=0,"Lipseste cantitatea",IF(N($G95)=0,"Pret unitar lipsa",IF($Y95&lt;&gt;1,"Curs sau moneda marfa lipsa (foaia Comenzi)",IF(INDEX(Comenzi!$AT:$AT,$X95)&lt;&gt;"OK","Avertisment comanda: "&amp;INDEX(Comenzi!$AT:$AT,$X95),"OK")))))))</f>
        <v/>
      </c>
      <c r="AA95" s="43" t="str">
        <f>IF(ISNUMBER($X95),INDEX(Comenzi!$H:$H,$X95),"")</f>
        <v/>
      </c>
      <c r="AB95" s="43" t="str">
        <f>IF(ISNUMBER($X95),INDEX(Comenzi!$I:$I,$X95),"")</f>
        <v/>
      </c>
      <c r="AC95" s="44" t="str">
        <f>IF(ISNUMBER($X95),IF(INDEX(Comenzi!$V:$V,$X95)="",Comenzi!$D$3,INDEX(Comenzi!$V:$V,$X95)),"")</f>
        <v/>
      </c>
      <c r="AD95" s="44" t="str">
        <f>IF(ISNUMBER($X95),IF(INDEX(Comenzi!$U:$U,$X95)="",Comenzi!$D$4,INDEX(Comenzi!$U:$U,$X95)),"")</f>
        <v/>
      </c>
      <c r="AE95" s="45" t="str">
        <f>IF($Y95&lt;&gt;1,"",IF(INDEX(Comenzi!$AM:$AM,$X95)="Greutate",INDEX('PI Furnizor'!$O:$O,ROW()-3),IF(INDEX(Comenzi!$AM:$AM,$X95)="Volum (CBM)",INDEX('PI Furnizor'!$Q:$Q,ROW()-3),IF(INDEX(Comenzi!$AM:$AM,$X95)="Valoare marfa",INDEX('PI Furnizor'!$N:$N,ROW()-3),$E95))))</f>
        <v/>
      </c>
    </row>
    <row r="96" spans="1:31" x14ac:dyDescent="0.3">
      <c r="A96" s="28" t="str">
        <f>IF(COUNTA(INDEX('PI Furnizor'!$A:$E,ROW()-3,0))=0,"",IF(INDEX('PI Furnizor'!$A:$A,ROW()-3)="","?",INDEX('PI Furnizor'!$A:$A,ROW()-3)))</f>
        <v/>
      </c>
      <c r="B96" s="29" t="str">
        <f>IF(ISNUMBER($X96),INDEX(Comenzi!$B:$B,$X96),"")</f>
        <v/>
      </c>
      <c r="C96" s="28" t="str">
        <f>IF($A96="","",INDEX('PI Furnizor'!$B:$B,ROW()-3)&amp;"")</f>
        <v/>
      </c>
      <c r="D96" s="28" t="str">
        <f>IF($A96="","",INDEX('PI Furnizor'!$C:$C,ROW()-3)&amp;"")</f>
        <v/>
      </c>
      <c r="E96" s="30" t="str">
        <f>IF($A96="","",N(INDEX('PI Furnizor'!$D:$D,ROW()-3)))</f>
        <v/>
      </c>
      <c r="F96" s="31" t="str">
        <f>IF(ISNUMBER($X96),INDEX(Comenzi!$G:$G,$X96),"")</f>
        <v/>
      </c>
      <c r="G96" s="32" t="str">
        <f>IF($A96="","",N(INDEX('PI Furnizor'!$E:$E,ROW()-3)))</f>
        <v/>
      </c>
      <c r="H96" s="33" t="str">
        <f t="shared" si="13"/>
        <v/>
      </c>
      <c r="I96" s="34" t="str">
        <f>IF($Y96&lt;&gt;1,"",IFERROR($AE96/INDEX(Comenzi!$AN:$AN,$X96),0))</f>
        <v/>
      </c>
      <c r="J96" s="33" t="str">
        <f>IF($Y96&lt;&gt;1,"",INDEX(Comenzi!$AG:$AG,$X96)*$I96/$E96)</f>
        <v/>
      </c>
      <c r="K96" s="33" t="str">
        <f t="shared" si="14"/>
        <v/>
      </c>
      <c r="L96" s="33" t="str">
        <f>IF($Y96&lt;&gt;1,"",$K96*$AD96+INDEX(Comenzi!$AJ:$AJ,$X96)*$I96/$E96)</f>
        <v/>
      </c>
      <c r="M96" s="33" t="str">
        <f t="shared" si="15"/>
        <v/>
      </c>
      <c r="N96" s="33" t="str">
        <f t="shared" si="16"/>
        <v/>
      </c>
      <c r="O96" s="33" t="str">
        <f>IF($Y96&lt;&gt;1,"",(INDEX(Comenzi!$AK:$AK,$X96)+N(INDEX(Comenzi!$T:$T,$X96)))*$I96/$E96)</f>
        <v/>
      </c>
      <c r="P96" s="35" t="str">
        <f t="shared" si="17"/>
        <v/>
      </c>
      <c r="Q96" s="36" t="str">
        <f t="shared" si="18"/>
        <v/>
      </c>
      <c r="R96" s="37" t="str">
        <f t="shared" si="19"/>
        <v/>
      </c>
      <c r="S96" s="38" t="str">
        <f t="shared" si="20"/>
        <v/>
      </c>
      <c r="T96" s="39" t="str">
        <f t="shared" si="21"/>
        <v/>
      </c>
      <c r="U96" s="40" t="str">
        <f t="shared" si="22"/>
        <v/>
      </c>
      <c r="V96" s="33" t="str">
        <f t="shared" si="23"/>
        <v/>
      </c>
      <c r="W96" s="33" t="str">
        <f t="shared" si="24"/>
        <v/>
      </c>
      <c r="X96" s="41" t="str">
        <f>IF($A96="","",IFERROR(MATCH($A96,Comenzi!$A$9:$A$108,0)+8,""))</f>
        <v/>
      </c>
      <c r="Y96" s="41" t="str">
        <f t="shared" si="25"/>
        <v/>
      </c>
      <c r="Z96" s="42" t="str">
        <f>IF($A96="","",IF($A96="?","Lipseste ID-ul comenzii (col. A din PI Furnizor)",IF(NOT(ISNUMBER($X96)),"ID comanda negasit in foaia Comenzi",IF(N($E96)&lt;=0,"Lipseste cantitatea",IF(N($G96)=0,"Pret unitar lipsa",IF($Y96&lt;&gt;1,"Curs sau moneda marfa lipsa (foaia Comenzi)",IF(INDEX(Comenzi!$AT:$AT,$X96)&lt;&gt;"OK","Avertisment comanda: "&amp;INDEX(Comenzi!$AT:$AT,$X96),"OK")))))))</f>
        <v/>
      </c>
      <c r="AA96" s="43" t="str">
        <f>IF(ISNUMBER($X96),INDEX(Comenzi!$H:$H,$X96),"")</f>
        <v/>
      </c>
      <c r="AB96" s="43" t="str">
        <f>IF(ISNUMBER($X96),INDEX(Comenzi!$I:$I,$X96),"")</f>
        <v/>
      </c>
      <c r="AC96" s="44" t="str">
        <f>IF(ISNUMBER($X96),IF(INDEX(Comenzi!$V:$V,$X96)="",Comenzi!$D$3,INDEX(Comenzi!$V:$V,$X96)),"")</f>
        <v/>
      </c>
      <c r="AD96" s="44" t="str">
        <f>IF(ISNUMBER($X96),IF(INDEX(Comenzi!$U:$U,$X96)="",Comenzi!$D$4,INDEX(Comenzi!$U:$U,$X96)),"")</f>
        <v/>
      </c>
      <c r="AE96" s="45" t="str">
        <f>IF($Y96&lt;&gt;1,"",IF(INDEX(Comenzi!$AM:$AM,$X96)="Greutate",INDEX('PI Furnizor'!$O:$O,ROW()-3),IF(INDEX(Comenzi!$AM:$AM,$X96)="Volum (CBM)",INDEX('PI Furnizor'!$Q:$Q,ROW()-3),IF(INDEX(Comenzi!$AM:$AM,$X96)="Valoare marfa",INDEX('PI Furnizor'!$N:$N,ROW()-3),$E96))))</f>
        <v/>
      </c>
    </row>
    <row r="97" spans="1:31" x14ac:dyDescent="0.3">
      <c r="A97" s="28" t="str">
        <f>IF(COUNTA(INDEX('PI Furnizor'!$A:$E,ROW()-3,0))=0,"",IF(INDEX('PI Furnizor'!$A:$A,ROW()-3)="","?",INDEX('PI Furnizor'!$A:$A,ROW()-3)))</f>
        <v/>
      </c>
      <c r="B97" s="29" t="str">
        <f>IF(ISNUMBER($X97),INDEX(Comenzi!$B:$B,$X97),"")</f>
        <v/>
      </c>
      <c r="C97" s="28" t="str">
        <f>IF($A97="","",INDEX('PI Furnizor'!$B:$B,ROW()-3)&amp;"")</f>
        <v/>
      </c>
      <c r="D97" s="28" t="str">
        <f>IF($A97="","",INDEX('PI Furnizor'!$C:$C,ROW()-3)&amp;"")</f>
        <v/>
      </c>
      <c r="E97" s="30" t="str">
        <f>IF($A97="","",N(INDEX('PI Furnizor'!$D:$D,ROW()-3)))</f>
        <v/>
      </c>
      <c r="F97" s="31" t="str">
        <f>IF(ISNUMBER($X97),INDEX(Comenzi!$G:$G,$X97),"")</f>
        <v/>
      </c>
      <c r="G97" s="32" t="str">
        <f>IF($A97="","",N(INDEX('PI Furnizor'!$E:$E,ROW()-3)))</f>
        <v/>
      </c>
      <c r="H97" s="33" t="str">
        <f t="shared" si="13"/>
        <v/>
      </c>
      <c r="I97" s="34" t="str">
        <f>IF($Y97&lt;&gt;1,"",IFERROR($AE97/INDEX(Comenzi!$AN:$AN,$X97),0))</f>
        <v/>
      </c>
      <c r="J97" s="33" t="str">
        <f>IF($Y97&lt;&gt;1,"",INDEX(Comenzi!$AG:$AG,$X97)*$I97/$E97)</f>
        <v/>
      </c>
      <c r="K97" s="33" t="str">
        <f t="shared" si="14"/>
        <v/>
      </c>
      <c r="L97" s="33" t="str">
        <f>IF($Y97&lt;&gt;1,"",$K97*$AD97+INDEX(Comenzi!$AJ:$AJ,$X97)*$I97/$E97)</f>
        <v/>
      </c>
      <c r="M97" s="33" t="str">
        <f t="shared" si="15"/>
        <v/>
      </c>
      <c r="N97" s="33" t="str">
        <f t="shared" si="16"/>
        <v/>
      </c>
      <c r="O97" s="33" t="str">
        <f>IF($Y97&lt;&gt;1,"",(INDEX(Comenzi!$AK:$AK,$X97)+N(INDEX(Comenzi!$T:$T,$X97)))*$I97/$E97)</f>
        <v/>
      </c>
      <c r="P97" s="35" t="str">
        <f t="shared" si="17"/>
        <v/>
      </c>
      <c r="Q97" s="36" t="str">
        <f t="shared" si="18"/>
        <v/>
      </c>
      <c r="R97" s="37" t="str">
        <f t="shared" si="19"/>
        <v/>
      </c>
      <c r="S97" s="38" t="str">
        <f t="shared" si="20"/>
        <v/>
      </c>
      <c r="T97" s="39" t="str">
        <f t="shared" si="21"/>
        <v/>
      </c>
      <c r="U97" s="40" t="str">
        <f t="shared" si="22"/>
        <v/>
      </c>
      <c r="V97" s="33" t="str">
        <f t="shared" si="23"/>
        <v/>
      </c>
      <c r="W97" s="33" t="str">
        <f t="shared" si="24"/>
        <v/>
      </c>
      <c r="X97" s="41" t="str">
        <f>IF($A97="","",IFERROR(MATCH($A97,Comenzi!$A$9:$A$108,0)+8,""))</f>
        <v/>
      </c>
      <c r="Y97" s="41" t="str">
        <f t="shared" si="25"/>
        <v/>
      </c>
      <c r="Z97" s="42" t="str">
        <f>IF($A97="","",IF($A97="?","Lipseste ID-ul comenzii (col. A din PI Furnizor)",IF(NOT(ISNUMBER($X97)),"ID comanda negasit in foaia Comenzi",IF(N($E97)&lt;=0,"Lipseste cantitatea",IF(N($G97)=0,"Pret unitar lipsa",IF($Y97&lt;&gt;1,"Curs sau moneda marfa lipsa (foaia Comenzi)",IF(INDEX(Comenzi!$AT:$AT,$X97)&lt;&gt;"OK","Avertisment comanda: "&amp;INDEX(Comenzi!$AT:$AT,$X97),"OK")))))))</f>
        <v/>
      </c>
      <c r="AA97" s="43" t="str">
        <f>IF(ISNUMBER($X97),INDEX(Comenzi!$H:$H,$X97),"")</f>
        <v/>
      </c>
      <c r="AB97" s="43" t="str">
        <f>IF(ISNUMBER($X97),INDEX(Comenzi!$I:$I,$X97),"")</f>
        <v/>
      </c>
      <c r="AC97" s="44" t="str">
        <f>IF(ISNUMBER($X97),IF(INDEX(Comenzi!$V:$V,$X97)="",Comenzi!$D$3,INDEX(Comenzi!$V:$V,$X97)),"")</f>
        <v/>
      </c>
      <c r="AD97" s="44" t="str">
        <f>IF(ISNUMBER($X97),IF(INDEX(Comenzi!$U:$U,$X97)="",Comenzi!$D$4,INDEX(Comenzi!$U:$U,$X97)),"")</f>
        <v/>
      </c>
      <c r="AE97" s="45" t="str">
        <f>IF($Y97&lt;&gt;1,"",IF(INDEX(Comenzi!$AM:$AM,$X97)="Greutate",INDEX('PI Furnizor'!$O:$O,ROW()-3),IF(INDEX(Comenzi!$AM:$AM,$X97)="Volum (CBM)",INDEX('PI Furnizor'!$Q:$Q,ROW()-3),IF(INDEX(Comenzi!$AM:$AM,$X97)="Valoare marfa",INDEX('PI Furnizor'!$N:$N,ROW()-3),$E97))))</f>
        <v/>
      </c>
    </row>
    <row r="98" spans="1:31" x14ac:dyDescent="0.3">
      <c r="A98" s="28" t="str">
        <f>IF(COUNTA(INDEX('PI Furnizor'!$A:$E,ROW()-3,0))=0,"",IF(INDEX('PI Furnizor'!$A:$A,ROW()-3)="","?",INDEX('PI Furnizor'!$A:$A,ROW()-3)))</f>
        <v/>
      </c>
      <c r="B98" s="29" t="str">
        <f>IF(ISNUMBER($X98),INDEX(Comenzi!$B:$B,$X98),"")</f>
        <v/>
      </c>
      <c r="C98" s="28" t="str">
        <f>IF($A98="","",INDEX('PI Furnizor'!$B:$B,ROW()-3)&amp;"")</f>
        <v/>
      </c>
      <c r="D98" s="28" t="str">
        <f>IF($A98="","",INDEX('PI Furnizor'!$C:$C,ROW()-3)&amp;"")</f>
        <v/>
      </c>
      <c r="E98" s="30" t="str">
        <f>IF($A98="","",N(INDEX('PI Furnizor'!$D:$D,ROW()-3)))</f>
        <v/>
      </c>
      <c r="F98" s="31" t="str">
        <f>IF(ISNUMBER($X98),INDEX(Comenzi!$G:$G,$X98),"")</f>
        <v/>
      </c>
      <c r="G98" s="32" t="str">
        <f>IF($A98="","",N(INDEX('PI Furnizor'!$E:$E,ROW()-3)))</f>
        <v/>
      </c>
      <c r="H98" s="33" t="str">
        <f t="shared" si="13"/>
        <v/>
      </c>
      <c r="I98" s="34" t="str">
        <f>IF($Y98&lt;&gt;1,"",IFERROR($AE98/INDEX(Comenzi!$AN:$AN,$X98),0))</f>
        <v/>
      </c>
      <c r="J98" s="33" t="str">
        <f>IF($Y98&lt;&gt;1,"",INDEX(Comenzi!$AG:$AG,$X98)*$I98/$E98)</f>
        <v/>
      </c>
      <c r="K98" s="33" t="str">
        <f t="shared" si="14"/>
        <v/>
      </c>
      <c r="L98" s="33" t="str">
        <f>IF($Y98&lt;&gt;1,"",$K98*$AD98+INDEX(Comenzi!$AJ:$AJ,$X98)*$I98/$E98)</f>
        <v/>
      </c>
      <c r="M98" s="33" t="str">
        <f t="shared" si="15"/>
        <v/>
      </c>
      <c r="N98" s="33" t="str">
        <f t="shared" si="16"/>
        <v/>
      </c>
      <c r="O98" s="33" t="str">
        <f>IF($Y98&lt;&gt;1,"",(INDEX(Comenzi!$AK:$AK,$X98)+N(INDEX(Comenzi!$T:$T,$X98)))*$I98/$E98)</f>
        <v/>
      </c>
      <c r="P98" s="35" t="str">
        <f t="shared" si="17"/>
        <v/>
      </c>
      <c r="Q98" s="36" t="str">
        <f t="shared" si="18"/>
        <v/>
      </c>
      <c r="R98" s="37" t="str">
        <f t="shared" si="19"/>
        <v/>
      </c>
      <c r="S98" s="38" t="str">
        <f t="shared" si="20"/>
        <v/>
      </c>
      <c r="T98" s="39" t="str">
        <f t="shared" si="21"/>
        <v/>
      </c>
      <c r="U98" s="40" t="str">
        <f t="shared" si="22"/>
        <v/>
      </c>
      <c r="V98" s="33" t="str">
        <f t="shared" si="23"/>
        <v/>
      </c>
      <c r="W98" s="33" t="str">
        <f t="shared" si="24"/>
        <v/>
      </c>
      <c r="X98" s="41" t="str">
        <f>IF($A98="","",IFERROR(MATCH($A98,Comenzi!$A$9:$A$108,0)+8,""))</f>
        <v/>
      </c>
      <c r="Y98" s="41" t="str">
        <f t="shared" si="25"/>
        <v/>
      </c>
      <c r="Z98" s="42" t="str">
        <f>IF($A98="","",IF($A98="?","Lipseste ID-ul comenzii (col. A din PI Furnizor)",IF(NOT(ISNUMBER($X98)),"ID comanda negasit in foaia Comenzi",IF(N($E98)&lt;=0,"Lipseste cantitatea",IF(N($G98)=0,"Pret unitar lipsa",IF($Y98&lt;&gt;1,"Curs sau moneda marfa lipsa (foaia Comenzi)",IF(INDEX(Comenzi!$AT:$AT,$X98)&lt;&gt;"OK","Avertisment comanda: "&amp;INDEX(Comenzi!$AT:$AT,$X98),"OK")))))))</f>
        <v/>
      </c>
      <c r="AA98" s="43" t="str">
        <f>IF(ISNUMBER($X98),INDEX(Comenzi!$H:$H,$X98),"")</f>
        <v/>
      </c>
      <c r="AB98" s="43" t="str">
        <f>IF(ISNUMBER($X98),INDEX(Comenzi!$I:$I,$X98),"")</f>
        <v/>
      </c>
      <c r="AC98" s="44" t="str">
        <f>IF(ISNUMBER($X98),IF(INDEX(Comenzi!$V:$V,$X98)="",Comenzi!$D$3,INDEX(Comenzi!$V:$V,$X98)),"")</f>
        <v/>
      </c>
      <c r="AD98" s="44" t="str">
        <f>IF(ISNUMBER($X98),IF(INDEX(Comenzi!$U:$U,$X98)="",Comenzi!$D$4,INDEX(Comenzi!$U:$U,$X98)),"")</f>
        <v/>
      </c>
      <c r="AE98" s="45" t="str">
        <f>IF($Y98&lt;&gt;1,"",IF(INDEX(Comenzi!$AM:$AM,$X98)="Greutate",INDEX('PI Furnizor'!$O:$O,ROW()-3),IF(INDEX(Comenzi!$AM:$AM,$X98)="Volum (CBM)",INDEX('PI Furnizor'!$Q:$Q,ROW()-3),IF(INDEX(Comenzi!$AM:$AM,$X98)="Valoare marfa",INDEX('PI Furnizor'!$N:$N,ROW()-3),$E98))))</f>
        <v/>
      </c>
    </row>
    <row r="99" spans="1:31" x14ac:dyDescent="0.3">
      <c r="A99" s="28" t="str">
        <f>IF(COUNTA(INDEX('PI Furnizor'!$A:$E,ROW()-3,0))=0,"",IF(INDEX('PI Furnizor'!$A:$A,ROW()-3)="","?",INDEX('PI Furnizor'!$A:$A,ROW()-3)))</f>
        <v/>
      </c>
      <c r="B99" s="29" t="str">
        <f>IF(ISNUMBER($X99),INDEX(Comenzi!$B:$B,$X99),"")</f>
        <v/>
      </c>
      <c r="C99" s="28" t="str">
        <f>IF($A99="","",INDEX('PI Furnizor'!$B:$B,ROW()-3)&amp;"")</f>
        <v/>
      </c>
      <c r="D99" s="28" t="str">
        <f>IF($A99="","",INDEX('PI Furnizor'!$C:$C,ROW()-3)&amp;"")</f>
        <v/>
      </c>
      <c r="E99" s="30" t="str">
        <f>IF($A99="","",N(INDEX('PI Furnizor'!$D:$D,ROW()-3)))</f>
        <v/>
      </c>
      <c r="F99" s="31" t="str">
        <f>IF(ISNUMBER($X99),INDEX(Comenzi!$G:$G,$X99),"")</f>
        <v/>
      </c>
      <c r="G99" s="32" t="str">
        <f>IF($A99="","",N(INDEX('PI Furnizor'!$E:$E,ROW()-3)))</f>
        <v/>
      </c>
      <c r="H99" s="33" t="str">
        <f t="shared" si="13"/>
        <v/>
      </c>
      <c r="I99" s="34" t="str">
        <f>IF($Y99&lt;&gt;1,"",IFERROR($AE99/INDEX(Comenzi!$AN:$AN,$X99),0))</f>
        <v/>
      </c>
      <c r="J99" s="33" t="str">
        <f>IF($Y99&lt;&gt;1,"",INDEX(Comenzi!$AG:$AG,$X99)*$I99/$E99)</f>
        <v/>
      </c>
      <c r="K99" s="33" t="str">
        <f t="shared" si="14"/>
        <v/>
      </c>
      <c r="L99" s="33" t="str">
        <f>IF($Y99&lt;&gt;1,"",$K99*$AD99+INDEX(Comenzi!$AJ:$AJ,$X99)*$I99/$E99)</f>
        <v/>
      </c>
      <c r="M99" s="33" t="str">
        <f t="shared" si="15"/>
        <v/>
      </c>
      <c r="N99" s="33" t="str">
        <f t="shared" si="16"/>
        <v/>
      </c>
      <c r="O99" s="33" t="str">
        <f>IF($Y99&lt;&gt;1,"",(INDEX(Comenzi!$AK:$AK,$X99)+N(INDEX(Comenzi!$T:$T,$X99)))*$I99/$E99)</f>
        <v/>
      </c>
      <c r="P99" s="35" t="str">
        <f t="shared" si="17"/>
        <v/>
      </c>
      <c r="Q99" s="36" t="str">
        <f t="shared" si="18"/>
        <v/>
      </c>
      <c r="R99" s="37" t="str">
        <f t="shared" si="19"/>
        <v/>
      </c>
      <c r="S99" s="38" t="str">
        <f t="shared" si="20"/>
        <v/>
      </c>
      <c r="T99" s="39" t="str">
        <f t="shared" si="21"/>
        <v/>
      </c>
      <c r="U99" s="40" t="str">
        <f t="shared" si="22"/>
        <v/>
      </c>
      <c r="V99" s="33" t="str">
        <f t="shared" si="23"/>
        <v/>
      </c>
      <c r="W99" s="33" t="str">
        <f t="shared" si="24"/>
        <v/>
      </c>
      <c r="X99" s="41" t="str">
        <f>IF($A99="","",IFERROR(MATCH($A99,Comenzi!$A$9:$A$108,0)+8,""))</f>
        <v/>
      </c>
      <c r="Y99" s="41" t="str">
        <f t="shared" si="25"/>
        <v/>
      </c>
      <c r="Z99" s="42" t="str">
        <f>IF($A99="","",IF($A99="?","Lipseste ID-ul comenzii (col. A din PI Furnizor)",IF(NOT(ISNUMBER($X99)),"ID comanda negasit in foaia Comenzi",IF(N($E99)&lt;=0,"Lipseste cantitatea",IF(N($G99)=0,"Pret unitar lipsa",IF($Y99&lt;&gt;1,"Curs sau moneda marfa lipsa (foaia Comenzi)",IF(INDEX(Comenzi!$AT:$AT,$X99)&lt;&gt;"OK","Avertisment comanda: "&amp;INDEX(Comenzi!$AT:$AT,$X99),"OK")))))))</f>
        <v/>
      </c>
      <c r="AA99" s="43" t="str">
        <f>IF(ISNUMBER($X99),INDEX(Comenzi!$H:$H,$X99),"")</f>
        <v/>
      </c>
      <c r="AB99" s="43" t="str">
        <f>IF(ISNUMBER($X99),INDEX(Comenzi!$I:$I,$X99),"")</f>
        <v/>
      </c>
      <c r="AC99" s="44" t="str">
        <f>IF(ISNUMBER($X99),IF(INDEX(Comenzi!$V:$V,$X99)="",Comenzi!$D$3,INDEX(Comenzi!$V:$V,$X99)),"")</f>
        <v/>
      </c>
      <c r="AD99" s="44" t="str">
        <f>IF(ISNUMBER($X99),IF(INDEX(Comenzi!$U:$U,$X99)="",Comenzi!$D$4,INDEX(Comenzi!$U:$U,$X99)),"")</f>
        <v/>
      </c>
      <c r="AE99" s="45" t="str">
        <f>IF($Y99&lt;&gt;1,"",IF(INDEX(Comenzi!$AM:$AM,$X99)="Greutate",INDEX('PI Furnizor'!$O:$O,ROW()-3),IF(INDEX(Comenzi!$AM:$AM,$X99)="Volum (CBM)",INDEX('PI Furnizor'!$Q:$Q,ROW()-3),IF(INDEX(Comenzi!$AM:$AM,$X99)="Valoare marfa",INDEX('PI Furnizor'!$N:$N,ROW()-3),$E99))))</f>
        <v/>
      </c>
    </row>
    <row r="100" spans="1:31" x14ac:dyDescent="0.3">
      <c r="A100" s="28" t="str">
        <f>IF(COUNTA(INDEX('PI Furnizor'!$A:$E,ROW()-3,0))=0,"",IF(INDEX('PI Furnizor'!$A:$A,ROW()-3)="","?",INDEX('PI Furnizor'!$A:$A,ROW()-3)))</f>
        <v/>
      </c>
      <c r="B100" s="29" t="str">
        <f>IF(ISNUMBER($X100),INDEX(Comenzi!$B:$B,$X100),"")</f>
        <v/>
      </c>
      <c r="C100" s="28" t="str">
        <f>IF($A100="","",INDEX('PI Furnizor'!$B:$B,ROW()-3)&amp;"")</f>
        <v/>
      </c>
      <c r="D100" s="28" t="str">
        <f>IF($A100="","",INDEX('PI Furnizor'!$C:$C,ROW()-3)&amp;"")</f>
        <v/>
      </c>
      <c r="E100" s="30" t="str">
        <f>IF($A100="","",N(INDEX('PI Furnizor'!$D:$D,ROW()-3)))</f>
        <v/>
      </c>
      <c r="F100" s="31" t="str">
        <f>IF(ISNUMBER($X100),INDEX(Comenzi!$G:$G,$X100),"")</f>
        <v/>
      </c>
      <c r="G100" s="32" t="str">
        <f>IF($A100="","",N(INDEX('PI Furnizor'!$E:$E,ROW()-3)))</f>
        <v/>
      </c>
      <c r="H100" s="33" t="str">
        <f t="shared" si="13"/>
        <v/>
      </c>
      <c r="I100" s="34" t="str">
        <f>IF($Y100&lt;&gt;1,"",IFERROR($AE100/INDEX(Comenzi!$AN:$AN,$X100),0))</f>
        <v/>
      </c>
      <c r="J100" s="33" t="str">
        <f>IF($Y100&lt;&gt;1,"",INDEX(Comenzi!$AG:$AG,$X100)*$I100/$E100)</f>
        <v/>
      </c>
      <c r="K100" s="33" t="str">
        <f t="shared" si="14"/>
        <v/>
      </c>
      <c r="L100" s="33" t="str">
        <f>IF($Y100&lt;&gt;1,"",$K100*$AD100+INDEX(Comenzi!$AJ:$AJ,$X100)*$I100/$E100)</f>
        <v/>
      </c>
      <c r="M100" s="33" t="str">
        <f t="shared" si="15"/>
        <v/>
      </c>
      <c r="N100" s="33" t="str">
        <f t="shared" si="16"/>
        <v/>
      </c>
      <c r="O100" s="33" t="str">
        <f>IF($Y100&lt;&gt;1,"",(INDEX(Comenzi!$AK:$AK,$X100)+N(INDEX(Comenzi!$T:$T,$X100)))*$I100/$E100)</f>
        <v/>
      </c>
      <c r="P100" s="35" t="str">
        <f t="shared" si="17"/>
        <v/>
      </c>
      <c r="Q100" s="36" t="str">
        <f t="shared" si="18"/>
        <v/>
      </c>
      <c r="R100" s="37" t="str">
        <f t="shared" si="19"/>
        <v/>
      </c>
      <c r="S100" s="38" t="str">
        <f t="shared" si="20"/>
        <v/>
      </c>
      <c r="T100" s="39" t="str">
        <f t="shared" si="21"/>
        <v/>
      </c>
      <c r="U100" s="40" t="str">
        <f t="shared" si="22"/>
        <v/>
      </c>
      <c r="V100" s="33" t="str">
        <f t="shared" si="23"/>
        <v/>
      </c>
      <c r="W100" s="33" t="str">
        <f t="shared" si="24"/>
        <v/>
      </c>
      <c r="X100" s="41" t="str">
        <f>IF($A100="","",IFERROR(MATCH($A100,Comenzi!$A$9:$A$108,0)+8,""))</f>
        <v/>
      </c>
      <c r="Y100" s="41" t="str">
        <f t="shared" si="25"/>
        <v/>
      </c>
      <c r="Z100" s="42" t="str">
        <f>IF($A100="","",IF($A100="?","Lipseste ID-ul comenzii (col. A din PI Furnizor)",IF(NOT(ISNUMBER($X100)),"ID comanda negasit in foaia Comenzi",IF(N($E100)&lt;=0,"Lipseste cantitatea",IF(N($G100)=0,"Pret unitar lipsa",IF($Y100&lt;&gt;1,"Curs sau moneda marfa lipsa (foaia Comenzi)",IF(INDEX(Comenzi!$AT:$AT,$X100)&lt;&gt;"OK","Avertisment comanda: "&amp;INDEX(Comenzi!$AT:$AT,$X100),"OK")))))))</f>
        <v/>
      </c>
      <c r="AA100" s="43" t="str">
        <f>IF(ISNUMBER($X100),INDEX(Comenzi!$H:$H,$X100),"")</f>
        <v/>
      </c>
      <c r="AB100" s="43" t="str">
        <f>IF(ISNUMBER($X100),INDEX(Comenzi!$I:$I,$X100),"")</f>
        <v/>
      </c>
      <c r="AC100" s="44" t="str">
        <f>IF(ISNUMBER($X100),IF(INDEX(Comenzi!$V:$V,$X100)="",Comenzi!$D$3,INDEX(Comenzi!$V:$V,$X100)),"")</f>
        <v/>
      </c>
      <c r="AD100" s="44" t="str">
        <f>IF(ISNUMBER($X100),IF(INDEX(Comenzi!$U:$U,$X100)="",Comenzi!$D$4,INDEX(Comenzi!$U:$U,$X100)),"")</f>
        <v/>
      </c>
      <c r="AE100" s="45" t="str">
        <f>IF($Y100&lt;&gt;1,"",IF(INDEX(Comenzi!$AM:$AM,$X100)="Greutate",INDEX('PI Furnizor'!$O:$O,ROW()-3),IF(INDEX(Comenzi!$AM:$AM,$X100)="Volum (CBM)",INDEX('PI Furnizor'!$Q:$Q,ROW()-3),IF(INDEX(Comenzi!$AM:$AM,$X100)="Valoare marfa",INDEX('PI Furnizor'!$N:$N,ROW()-3),$E100))))</f>
        <v/>
      </c>
    </row>
    <row r="101" spans="1:31" x14ac:dyDescent="0.3">
      <c r="A101" s="28" t="str">
        <f>IF(COUNTA(INDEX('PI Furnizor'!$A:$E,ROW()-3,0))=0,"",IF(INDEX('PI Furnizor'!$A:$A,ROW()-3)="","?",INDEX('PI Furnizor'!$A:$A,ROW()-3)))</f>
        <v/>
      </c>
      <c r="B101" s="29" t="str">
        <f>IF(ISNUMBER($X101),INDEX(Comenzi!$B:$B,$X101),"")</f>
        <v/>
      </c>
      <c r="C101" s="28" t="str">
        <f>IF($A101="","",INDEX('PI Furnizor'!$B:$B,ROW()-3)&amp;"")</f>
        <v/>
      </c>
      <c r="D101" s="28" t="str">
        <f>IF($A101="","",INDEX('PI Furnizor'!$C:$C,ROW()-3)&amp;"")</f>
        <v/>
      </c>
      <c r="E101" s="30" t="str">
        <f>IF($A101="","",N(INDEX('PI Furnizor'!$D:$D,ROW()-3)))</f>
        <v/>
      </c>
      <c r="F101" s="31" t="str">
        <f>IF(ISNUMBER($X101),INDEX(Comenzi!$G:$G,$X101),"")</f>
        <v/>
      </c>
      <c r="G101" s="32" t="str">
        <f>IF($A101="","",N(INDEX('PI Furnizor'!$E:$E,ROW()-3)))</f>
        <v/>
      </c>
      <c r="H101" s="33" t="str">
        <f t="shared" si="13"/>
        <v/>
      </c>
      <c r="I101" s="34" t="str">
        <f>IF($Y101&lt;&gt;1,"",IFERROR($AE101/INDEX(Comenzi!$AN:$AN,$X101),0))</f>
        <v/>
      </c>
      <c r="J101" s="33" t="str">
        <f>IF($Y101&lt;&gt;1,"",INDEX(Comenzi!$AG:$AG,$X101)*$I101/$E101)</f>
        <v/>
      </c>
      <c r="K101" s="33" t="str">
        <f t="shared" si="14"/>
        <v/>
      </c>
      <c r="L101" s="33" t="str">
        <f>IF($Y101&lt;&gt;1,"",$K101*$AD101+INDEX(Comenzi!$AJ:$AJ,$X101)*$I101/$E101)</f>
        <v/>
      </c>
      <c r="M101" s="33" t="str">
        <f t="shared" si="15"/>
        <v/>
      </c>
      <c r="N101" s="33" t="str">
        <f t="shared" si="16"/>
        <v/>
      </c>
      <c r="O101" s="33" t="str">
        <f>IF($Y101&lt;&gt;1,"",(INDEX(Comenzi!$AK:$AK,$X101)+N(INDEX(Comenzi!$T:$T,$X101)))*$I101/$E101)</f>
        <v/>
      </c>
      <c r="P101" s="35" t="str">
        <f t="shared" si="17"/>
        <v/>
      </c>
      <c r="Q101" s="36" t="str">
        <f t="shared" si="18"/>
        <v/>
      </c>
      <c r="R101" s="37" t="str">
        <f t="shared" si="19"/>
        <v/>
      </c>
      <c r="S101" s="38" t="str">
        <f t="shared" si="20"/>
        <v/>
      </c>
      <c r="T101" s="39" t="str">
        <f t="shared" si="21"/>
        <v/>
      </c>
      <c r="U101" s="40" t="str">
        <f t="shared" si="22"/>
        <v/>
      </c>
      <c r="V101" s="33" t="str">
        <f t="shared" si="23"/>
        <v/>
      </c>
      <c r="W101" s="33" t="str">
        <f t="shared" si="24"/>
        <v/>
      </c>
      <c r="X101" s="41" t="str">
        <f>IF($A101="","",IFERROR(MATCH($A101,Comenzi!$A$9:$A$108,0)+8,""))</f>
        <v/>
      </c>
      <c r="Y101" s="41" t="str">
        <f t="shared" si="25"/>
        <v/>
      </c>
      <c r="Z101" s="42" t="str">
        <f>IF($A101="","",IF($A101="?","Lipseste ID-ul comenzii (col. A din PI Furnizor)",IF(NOT(ISNUMBER($X101)),"ID comanda negasit in foaia Comenzi",IF(N($E101)&lt;=0,"Lipseste cantitatea",IF(N($G101)=0,"Pret unitar lipsa",IF($Y101&lt;&gt;1,"Curs sau moneda marfa lipsa (foaia Comenzi)",IF(INDEX(Comenzi!$AT:$AT,$X101)&lt;&gt;"OK","Avertisment comanda: "&amp;INDEX(Comenzi!$AT:$AT,$X101),"OK")))))))</f>
        <v/>
      </c>
      <c r="AA101" s="43" t="str">
        <f>IF(ISNUMBER($X101),INDEX(Comenzi!$H:$H,$X101),"")</f>
        <v/>
      </c>
      <c r="AB101" s="43" t="str">
        <f>IF(ISNUMBER($X101),INDEX(Comenzi!$I:$I,$X101),"")</f>
        <v/>
      </c>
      <c r="AC101" s="44" t="str">
        <f>IF(ISNUMBER($X101),IF(INDEX(Comenzi!$V:$V,$X101)="",Comenzi!$D$3,INDEX(Comenzi!$V:$V,$X101)),"")</f>
        <v/>
      </c>
      <c r="AD101" s="44" t="str">
        <f>IF(ISNUMBER($X101),IF(INDEX(Comenzi!$U:$U,$X101)="",Comenzi!$D$4,INDEX(Comenzi!$U:$U,$X101)),"")</f>
        <v/>
      </c>
      <c r="AE101" s="45" t="str">
        <f>IF($Y101&lt;&gt;1,"",IF(INDEX(Comenzi!$AM:$AM,$X101)="Greutate",INDEX('PI Furnizor'!$O:$O,ROW()-3),IF(INDEX(Comenzi!$AM:$AM,$X101)="Volum (CBM)",INDEX('PI Furnizor'!$Q:$Q,ROW()-3),IF(INDEX(Comenzi!$AM:$AM,$X101)="Valoare marfa",INDEX('PI Furnizor'!$N:$N,ROW()-3),$E101))))</f>
        <v/>
      </c>
    </row>
    <row r="102" spans="1:31" x14ac:dyDescent="0.3">
      <c r="A102" s="28" t="str">
        <f>IF(COUNTA(INDEX('PI Furnizor'!$A:$E,ROW()-3,0))=0,"",IF(INDEX('PI Furnizor'!$A:$A,ROW()-3)="","?",INDEX('PI Furnizor'!$A:$A,ROW()-3)))</f>
        <v/>
      </c>
      <c r="B102" s="29" t="str">
        <f>IF(ISNUMBER($X102),INDEX(Comenzi!$B:$B,$X102),"")</f>
        <v/>
      </c>
      <c r="C102" s="28" t="str">
        <f>IF($A102="","",INDEX('PI Furnizor'!$B:$B,ROW()-3)&amp;"")</f>
        <v/>
      </c>
      <c r="D102" s="28" t="str">
        <f>IF($A102="","",INDEX('PI Furnizor'!$C:$C,ROW()-3)&amp;"")</f>
        <v/>
      </c>
      <c r="E102" s="30" t="str">
        <f>IF($A102="","",N(INDEX('PI Furnizor'!$D:$D,ROW()-3)))</f>
        <v/>
      </c>
      <c r="F102" s="31" t="str">
        <f>IF(ISNUMBER($X102),INDEX(Comenzi!$G:$G,$X102),"")</f>
        <v/>
      </c>
      <c r="G102" s="32" t="str">
        <f>IF($A102="","",N(INDEX('PI Furnizor'!$E:$E,ROW()-3)))</f>
        <v/>
      </c>
      <c r="H102" s="33" t="str">
        <f t="shared" si="13"/>
        <v/>
      </c>
      <c r="I102" s="34" t="str">
        <f>IF($Y102&lt;&gt;1,"",IFERROR($AE102/INDEX(Comenzi!$AN:$AN,$X102),0))</f>
        <v/>
      </c>
      <c r="J102" s="33" t="str">
        <f>IF($Y102&lt;&gt;1,"",INDEX(Comenzi!$AG:$AG,$X102)*$I102/$E102)</f>
        <v/>
      </c>
      <c r="K102" s="33" t="str">
        <f t="shared" si="14"/>
        <v/>
      </c>
      <c r="L102" s="33" t="str">
        <f>IF($Y102&lt;&gt;1,"",$K102*$AD102+INDEX(Comenzi!$AJ:$AJ,$X102)*$I102/$E102)</f>
        <v/>
      </c>
      <c r="M102" s="33" t="str">
        <f t="shared" si="15"/>
        <v/>
      </c>
      <c r="N102" s="33" t="str">
        <f t="shared" si="16"/>
        <v/>
      </c>
      <c r="O102" s="33" t="str">
        <f>IF($Y102&lt;&gt;1,"",(INDEX(Comenzi!$AK:$AK,$X102)+N(INDEX(Comenzi!$T:$T,$X102)))*$I102/$E102)</f>
        <v/>
      </c>
      <c r="P102" s="35" t="str">
        <f t="shared" si="17"/>
        <v/>
      </c>
      <c r="Q102" s="36" t="str">
        <f t="shared" si="18"/>
        <v/>
      </c>
      <c r="R102" s="37" t="str">
        <f t="shared" si="19"/>
        <v/>
      </c>
      <c r="S102" s="38" t="str">
        <f t="shared" si="20"/>
        <v/>
      </c>
      <c r="T102" s="39" t="str">
        <f t="shared" si="21"/>
        <v/>
      </c>
      <c r="U102" s="40" t="str">
        <f t="shared" si="22"/>
        <v/>
      </c>
      <c r="V102" s="33" t="str">
        <f t="shared" si="23"/>
        <v/>
      </c>
      <c r="W102" s="33" t="str">
        <f t="shared" si="24"/>
        <v/>
      </c>
      <c r="X102" s="41" t="str">
        <f>IF($A102="","",IFERROR(MATCH($A102,Comenzi!$A$9:$A$108,0)+8,""))</f>
        <v/>
      </c>
      <c r="Y102" s="41" t="str">
        <f t="shared" si="25"/>
        <v/>
      </c>
      <c r="Z102" s="42" t="str">
        <f>IF($A102="","",IF($A102="?","Lipseste ID-ul comenzii (col. A din PI Furnizor)",IF(NOT(ISNUMBER($X102)),"ID comanda negasit in foaia Comenzi",IF(N($E102)&lt;=0,"Lipseste cantitatea",IF(N($G102)=0,"Pret unitar lipsa",IF($Y102&lt;&gt;1,"Curs sau moneda marfa lipsa (foaia Comenzi)",IF(INDEX(Comenzi!$AT:$AT,$X102)&lt;&gt;"OK","Avertisment comanda: "&amp;INDEX(Comenzi!$AT:$AT,$X102),"OK")))))))</f>
        <v/>
      </c>
      <c r="AA102" s="43" t="str">
        <f>IF(ISNUMBER($X102),INDEX(Comenzi!$H:$H,$X102),"")</f>
        <v/>
      </c>
      <c r="AB102" s="43" t="str">
        <f>IF(ISNUMBER($X102),INDEX(Comenzi!$I:$I,$X102),"")</f>
        <v/>
      </c>
      <c r="AC102" s="44" t="str">
        <f>IF(ISNUMBER($X102),IF(INDEX(Comenzi!$V:$V,$X102)="",Comenzi!$D$3,INDEX(Comenzi!$V:$V,$X102)),"")</f>
        <v/>
      </c>
      <c r="AD102" s="44" t="str">
        <f>IF(ISNUMBER($X102),IF(INDEX(Comenzi!$U:$U,$X102)="",Comenzi!$D$4,INDEX(Comenzi!$U:$U,$X102)),"")</f>
        <v/>
      </c>
      <c r="AE102" s="45" t="str">
        <f>IF($Y102&lt;&gt;1,"",IF(INDEX(Comenzi!$AM:$AM,$X102)="Greutate",INDEX('PI Furnizor'!$O:$O,ROW()-3),IF(INDEX(Comenzi!$AM:$AM,$X102)="Volum (CBM)",INDEX('PI Furnizor'!$Q:$Q,ROW()-3),IF(INDEX(Comenzi!$AM:$AM,$X102)="Valoare marfa",INDEX('PI Furnizor'!$N:$N,ROW()-3),$E102))))</f>
        <v/>
      </c>
    </row>
    <row r="103" spans="1:31" x14ac:dyDescent="0.3">
      <c r="A103" s="28" t="str">
        <f>IF(COUNTA(INDEX('PI Furnizor'!$A:$E,ROW()-3,0))=0,"",IF(INDEX('PI Furnizor'!$A:$A,ROW()-3)="","?",INDEX('PI Furnizor'!$A:$A,ROW()-3)))</f>
        <v/>
      </c>
      <c r="B103" s="29" t="str">
        <f>IF(ISNUMBER($X103),INDEX(Comenzi!$B:$B,$X103),"")</f>
        <v/>
      </c>
      <c r="C103" s="28" t="str">
        <f>IF($A103="","",INDEX('PI Furnizor'!$B:$B,ROW()-3)&amp;"")</f>
        <v/>
      </c>
      <c r="D103" s="28" t="str">
        <f>IF($A103="","",INDEX('PI Furnizor'!$C:$C,ROW()-3)&amp;"")</f>
        <v/>
      </c>
      <c r="E103" s="30" t="str">
        <f>IF($A103="","",N(INDEX('PI Furnizor'!$D:$D,ROW()-3)))</f>
        <v/>
      </c>
      <c r="F103" s="31" t="str">
        <f>IF(ISNUMBER($X103),INDEX(Comenzi!$G:$G,$X103),"")</f>
        <v/>
      </c>
      <c r="G103" s="32" t="str">
        <f>IF($A103="","",N(INDEX('PI Furnizor'!$E:$E,ROW()-3)))</f>
        <v/>
      </c>
      <c r="H103" s="33" t="str">
        <f t="shared" si="13"/>
        <v/>
      </c>
      <c r="I103" s="34" t="str">
        <f>IF($Y103&lt;&gt;1,"",IFERROR($AE103/INDEX(Comenzi!$AN:$AN,$X103),0))</f>
        <v/>
      </c>
      <c r="J103" s="33" t="str">
        <f>IF($Y103&lt;&gt;1,"",INDEX(Comenzi!$AG:$AG,$X103)*$I103/$E103)</f>
        <v/>
      </c>
      <c r="K103" s="33" t="str">
        <f t="shared" si="14"/>
        <v/>
      </c>
      <c r="L103" s="33" t="str">
        <f>IF($Y103&lt;&gt;1,"",$K103*$AD103+INDEX(Comenzi!$AJ:$AJ,$X103)*$I103/$E103)</f>
        <v/>
      </c>
      <c r="M103" s="33" t="str">
        <f t="shared" si="15"/>
        <v/>
      </c>
      <c r="N103" s="33" t="str">
        <f t="shared" si="16"/>
        <v/>
      </c>
      <c r="O103" s="33" t="str">
        <f>IF($Y103&lt;&gt;1,"",(INDEX(Comenzi!$AK:$AK,$X103)+N(INDEX(Comenzi!$T:$T,$X103)))*$I103/$E103)</f>
        <v/>
      </c>
      <c r="P103" s="35" t="str">
        <f t="shared" si="17"/>
        <v/>
      </c>
      <c r="Q103" s="36" t="str">
        <f t="shared" si="18"/>
        <v/>
      </c>
      <c r="R103" s="37" t="str">
        <f t="shared" si="19"/>
        <v/>
      </c>
      <c r="S103" s="38" t="str">
        <f t="shared" si="20"/>
        <v/>
      </c>
      <c r="T103" s="39" t="str">
        <f t="shared" si="21"/>
        <v/>
      </c>
      <c r="U103" s="40" t="str">
        <f t="shared" si="22"/>
        <v/>
      </c>
      <c r="V103" s="33" t="str">
        <f t="shared" si="23"/>
        <v/>
      </c>
      <c r="W103" s="33" t="str">
        <f t="shared" si="24"/>
        <v/>
      </c>
      <c r="X103" s="41" t="str">
        <f>IF($A103="","",IFERROR(MATCH($A103,Comenzi!$A$9:$A$108,0)+8,""))</f>
        <v/>
      </c>
      <c r="Y103" s="41" t="str">
        <f t="shared" si="25"/>
        <v/>
      </c>
      <c r="Z103" s="42" t="str">
        <f>IF($A103="","",IF($A103="?","Lipseste ID-ul comenzii (col. A din PI Furnizor)",IF(NOT(ISNUMBER($X103)),"ID comanda negasit in foaia Comenzi",IF(N($E103)&lt;=0,"Lipseste cantitatea",IF(N($G103)=0,"Pret unitar lipsa",IF($Y103&lt;&gt;1,"Curs sau moneda marfa lipsa (foaia Comenzi)",IF(INDEX(Comenzi!$AT:$AT,$X103)&lt;&gt;"OK","Avertisment comanda: "&amp;INDEX(Comenzi!$AT:$AT,$X103),"OK")))))))</f>
        <v/>
      </c>
      <c r="AA103" s="43" t="str">
        <f>IF(ISNUMBER($X103),INDEX(Comenzi!$H:$H,$X103),"")</f>
        <v/>
      </c>
      <c r="AB103" s="43" t="str">
        <f>IF(ISNUMBER($X103),INDEX(Comenzi!$I:$I,$X103),"")</f>
        <v/>
      </c>
      <c r="AC103" s="44" t="str">
        <f>IF(ISNUMBER($X103),IF(INDEX(Comenzi!$V:$V,$X103)="",Comenzi!$D$3,INDEX(Comenzi!$V:$V,$X103)),"")</f>
        <v/>
      </c>
      <c r="AD103" s="44" t="str">
        <f>IF(ISNUMBER($X103),IF(INDEX(Comenzi!$U:$U,$X103)="",Comenzi!$D$4,INDEX(Comenzi!$U:$U,$X103)),"")</f>
        <v/>
      </c>
      <c r="AE103" s="45" t="str">
        <f>IF($Y103&lt;&gt;1,"",IF(INDEX(Comenzi!$AM:$AM,$X103)="Greutate",INDEX('PI Furnizor'!$O:$O,ROW()-3),IF(INDEX(Comenzi!$AM:$AM,$X103)="Volum (CBM)",INDEX('PI Furnizor'!$Q:$Q,ROW()-3),IF(INDEX(Comenzi!$AM:$AM,$X103)="Valoare marfa",INDEX('PI Furnizor'!$N:$N,ROW()-3),$E103))))</f>
        <v/>
      </c>
    </row>
    <row r="104" spans="1:31" x14ac:dyDescent="0.3">
      <c r="A104" s="28" t="str">
        <f>IF(COUNTA(INDEX('PI Furnizor'!$A:$E,ROW()-3,0))=0,"",IF(INDEX('PI Furnizor'!$A:$A,ROW()-3)="","?",INDEX('PI Furnizor'!$A:$A,ROW()-3)))</f>
        <v/>
      </c>
      <c r="B104" s="29" t="str">
        <f>IF(ISNUMBER($X104),INDEX(Comenzi!$B:$B,$X104),"")</f>
        <v/>
      </c>
      <c r="C104" s="28" t="str">
        <f>IF($A104="","",INDEX('PI Furnizor'!$B:$B,ROW()-3)&amp;"")</f>
        <v/>
      </c>
      <c r="D104" s="28" t="str">
        <f>IF($A104="","",INDEX('PI Furnizor'!$C:$C,ROW()-3)&amp;"")</f>
        <v/>
      </c>
      <c r="E104" s="30" t="str">
        <f>IF($A104="","",N(INDEX('PI Furnizor'!$D:$D,ROW()-3)))</f>
        <v/>
      </c>
      <c r="F104" s="31" t="str">
        <f>IF(ISNUMBER($X104),INDEX(Comenzi!$G:$G,$X104),"")</f>
        <v/>
      </c>
      <c r="G104" s="32" t="str">
        <f>IF($A104="","",N(INDEX('PI Furnizor'!$E:$E,ROW()-3)))</f>
        <v/>
      </c>
      <c r="H104" s="33" t="str">
        <f t="shared" si="13"/>
        <v/>
      </c>
      <c r="I104" s="34" t="str">
        <f>IF($Y104&lt;&gt;1,"",IFERROR($AE104/INDEX(Comenzi!$AN:$AN,$X104),0))</f>
        <v/>
      </c>
      <c r="J104" s="33" t="str">
        <f>IF($Y104&lt;&gt;1,"",INDEX(Comenzi!$AG:$AG,$X104)*$I104/$E104)</f>
        <v/>
      </c>
      <c r="K104" s="33" t="str">
        <f t="shared" si="14"/>
        <v/>
      </c>
      <c r="L104" s="33" t="str">
        <f>IF($Y104&lt;&gt;1,"",$K104*$AD104+INDEX(Comenzi!$AJ:$AJ,$X104)*$I104/$E104)</f>
        <v/>
      </c>
      <c r="M104" s="33" t="str">
        <f t="shared" si="15"/>
        <v/>
      </c>
      <c r="N104" s="33" t="str">
        <f t="shared" si="16"/>
        <v/>
      </c>
      <c r="O104" s="33" t="str">
        <f>IF($Y104&lt;&gt;1,"",(INDEX(Comenzi!$AK:$AK,$X104)+N(INDEX(Comenzi!$T:$T,$X104)))*$I104/$E104)</f>
        <v/>
      </c>
      <c r="P104" s="35" t="str">
        <f t="shared" si="17"/>
        <v/>
      </c>
      <c r="Q104" s="36" t="str">
        <f t="shared" si="18"/>
        <v/>
      </c>
      <c r="R104" s="37" t="str">
        <f t="shared" si="19"/>
        <v/>
      </c>
      <c r="S104" s="38" t="str">
        <f t="shared" si="20"/>
        <v/>
      </c>
      <c r="T104" s="39" t="str">
        <f t="shared" si="21"/>
        <v/>
      </c>
      <c r="U104" s="40" t="str">
        <f t="shared" si="22"/>
        <v/>
      </c>
      <c r="V104" s="33" t="str">
        <f t="shared" si="23"/>
        <v/>
      </c>
      <c r="W104" s="33" t="str">
        <f t="shared" si="24"/>
        <v/>
      </c>
      <c r="X104" s="41" t="str">
        <f>IF($A104="","",IFERROR(MATCH($A104,Comenzi!$A$9:$A$108,0)+8,""))</f>
        <v/>
      </c>
      <c r="Y104" s="41" t="str">
        <f t="shared" si="25"/>
        <v/>
      </c>
      <c r="Z104" s="42" t="str">
        <f>IF($A104="","",IF($A104="?","Lipseste ID-ul comenzii (col. A din PI Furnizor)",IF(NOT(ISNUMBER($X104)),"ID comanda negasit in foaia Comenzi",IF(N($E104)&lt;=0,"Lipseste cantitatea",IF(N($G104)=0,"Pret unitar lipsa",IF($Y104&lt;&gt;1,"Curs sau moneda marfa lipsa (foaia Comenzi)",IF(INDEX(Comenzi!$AT:$AT,$X104)&lt;&gt;"OK","Avertisment comanda: "&amp;INDEX(Comenzi!$AT:$AT,$X104),"OK")))))))</f>
        <v/>
      </c>
      <c r="AA104" s="43" t="str">
        <f>IF(ISNUMBER($X104),INDEX(Comenzi!$H:$H,$X104),"")</f>
        <v/>
      </c>
      <c r="AB104" s="43" t="str">
        <f>IF(ISNUMBER($X104),INDEX(Comenzi!$I:$I,$X104),"")</f>
        <v/>
      </c>
      <c r="AC104" s="44" t="str">
        <f>IF(ISNUMBER($X104),IF(INDEX(Comenzi!$V:$V,$X104)="",Comenzi!$D$3,INDEX(Comenzi!$V:$V,$X104)),"")</f>
        <v/>
      </c>
      <c r="AD104" s="44" t="str">
        <f>IF(ISNUMBER($X104),IF(INDEX(Comenzi!$U:$U,$X104)="",Comenzi!$D$4,INDEX(Comenzi!$U:$U,$X104)),"")</f>
        <v/>
      </c>
      <c r="AE104" s="45" t="str">
        <f>IF($Y104&lt;&gt;1,"",IF(INDEX(Comenzi!$AM:$AM,$X104)="Greutate",INDEX('PI Furnizor'!$O:$O,ROW()-3),IF(INDEX(Comenzi!$AM:$AM,$X104)="Volum (CBM)",INDEX('PI Furnizor'!$Q:$Q,ROW()-3),IF(INDEX(Comenzi!$AM:$AM,$X104)="Valoare marfa",INDEX('PI Furnizor'!$N:$N,ROW()-3),$E104))))</f>
        <v/>
      </c>
    </row>
    <row r="105" spans="1:31" x14ac:dyDescent="0.3">
      <c r="A105" s="28" t="str">
        <f>IF(COUNTA(INDEX('PI Furnizor'!$A:$E,ROW()-3,0))=0,"",IF(INDEX('PI Furnizor'!$A:$A,ROW()-3)="","?",INDEX('PI Furnizor'!$A:$A,ROW()-3)))</f>
        <v/>
      </c>
      <c r="B105" s="29" t="str">
        <f>IF(ISNUMBER($X105),INDEX(Comenzi!$B:$B,$X105),"")</f>
        <v/>
      </c>
      <c r="C105" s="28" t="str">
        <f>IF($A105="","",INDEX('PI Furnizor'!$B:$B,ROW()-3)&amp;"")</f>
        <v/>
      </c>
      <c r="D105" s="28" t="str">
        <f>IF($A105="","",INDEX('PI Furnizor'!$C:$C,ROW()-3)&amp;"")</f>
        <v/>
      </c>
      <c r="E105" s="30" t="str">
        <f>IF($A105="","",N(INDEX('PI Furnizor'!$D:$D,ROW()-3)))</f>
        <v/>
      </c>
      <c r="F105" s="31" t="str">
        <f>IF(ISNUMBER($X105),INDEX(Comenzi!$G:$G,$X105),"")</f>
        <v/>
      </c>
      <c r="G105" s="32" t="str">
        <f>IF($A105="","",N(INDEX('PI Furnizor'!$E:$E,ROW()-3)))</f>
        <v/>
      </c>
      <c r="H105" s="33" t="str">
        <f t="shared" si="13"/>
        <v/>
      </c>
      <c r="I105" s="34" t="str">
        <f>IF($Y105&lt;&gt;1,"",IFERROR($AE105/INDEX(Comenzi!$AN:$AN,$X105),0))</f>
        <v/>
      </c>
      <c r="J105" s="33" t="str">
        <f>IF($Y105&lt;&gt;1,"",INDEX(Comenzi!$AG:$AG,$X105)*$I105/$E105)</f>
        <v/>
      </c>
      <c r="K105" s="33" t="str">
        <f t="shared" si="14"/>
        <v/>
      </c>
      <c r="L105" s="33" t="str">
        <f>IF($Y105&lt;&gt;1,"",$K105*$AD105+INDEX(Comenzi!$AJ:$AJ,$X105)*$I105/$E105)</f>
        <v/>
      </c>
      <c r="M105" s="33" t="str">
        <f t="shared" si="15"/>
        <v/>
      </c>
      <c r="N105" s="33" t="str">
        <f t="shared" si="16"/>
        <v/>
      </c>
      <c r="O105" s="33" t="str">
        <f>IF($Y105&lt;&gt;1,"",(INDEX(Comenzi!$AK:$AK,$X105)+N(INDEX(Comenzi!$T:$T,$X105)))*$I105/$E105)</f>
        <v/>
      </c>
      <c r="P105" s="35" t="str">
        <f t="shared" si="17"/>
        <v/>
      </c>
      <c r="Q105" s="36" t="str">
        <f t="shared" si="18"/>
        <v/>
      </c>
      <c r="R105" s="37" t="str">
        <f t="shared" si="19"/>
        <v/>
      </c>
      <c r="S105" s="38" t="str">
        <f t="shared" si="20"/>
        <v/>
      </c>
      <c r="T105" s="39" t="str">
        <f t="shared" si="21"/>
        <v/>
      </c>
      <c r="U105" s="40" t="str">
        <f t="shared" si="22"/>
        <v/>
      </c>
      <c r="V105" s="33" t="str">
        <f t="shared" si="23"/>
        <v/>
      </c>
      <c r="W105" s="33" t="str">
        <f t="shared" si="24"/>
        <v/>
      </c>
      <c r="X105" s="41" t="str">
        <f>IF($A105="","",IFERROR(MATCH($A105,Comenzi!$A$9:$A$108,0)+8,""))</f>
        <v/>
      </c>
      <c r="Y105" s="41" t="str">
        <f t="shared" si="25"/>
        <v/>
      </c>
      <c r="Z105" s="42" t="str">
        <f>IF($A105="","",IF($A105="?","Lipseste ID-ul comenzii (col. A din PI Furnizor)",IF(NOT(ISNUMBER($X105)),"ID comanda negasit in foaia Comenzi",IF(N($E105)&lt;=0,"Lipseste cantitatea",IF(N($G105)=0,"Pret unitar lipsa",IF($Y105&lt;&gt;1,"Curs sau moneda marfa lipsa (foaia Comenzi)",IF(INDEX(Comenzi!$AT:$AT,$X105)&lt;&gt;"OK","Avertisment comanda: "&amp;INDEX(Comenzi!$AT:$AT,$X105),"OK")))))))</f>
        <v/>
      </c>
      <c r="AA105" s="43" t="str">
        <f>IF(ISNUMBER($X105),INDEX(Comenzi!$H:$H,$X105),"")</f>
        <v/>
      </c>
      <c r="AB105" s="43" t="str">
        <f>IF(ISNUMBER($X105),INDEX(Comenzi!$I:$I,$X105),"")</f>
        <v/>
      </c>
      <c r="AC105" s="44" t="str">
        <f>IF(ISNUMBER($X105),IF(INDEX(Comenzi!$V:$V,$X105)="",Comenzi!$D$3,INDEX(Comenzi!$V:$V,$X105)),"")</f>
        <v/>
      </c>
      <c r="AD105" s="44" t="str">
        <f>IF(ISNUMBER($X105),IF(INDEX(Comenzi!$U:$U,$X105)="",Comenzi!$D$4,INDEX(Comenzi!$U:$U,$X105)),"")</f>
        <v/>
      </c>
      <c r="AE105" s="45" t="str">
        <f>IF($Y105&lt;&gt;1,"",IF(INDEX(Comenzi!$AM:$AM,$X105)="Greutate",INDEX('PI Furnizor'!$O:$O,ROW()-3),IF(INDEX(Comenzi!$AM:$AM,$X105)="Volum (CBM)",INDEX('PI Furnizor'!$Q:$Q,ROW()-3),IF(INDEX(Comenzi!$AM:$AM,$X105)="Valoare marfa",INDEX('PI Furnizor'!$N:$N,ROW()-3),$E105))))</f>
        <v/>
      </c>
    </row>
    <row r="106" spans="1:31" x14ac:dyDescent="0.3">
      <c r="A106" s="28" t="str">
        <f>IF(COUNTA(INDEX('PI Furnizor'!$A:$E,ROW()-3,0))=0,"",IF(INDEX('PI Furnizor'!$A:$A,ROW()-3)="","?",INDEX('PI Furnizor'!$A:$A,ROW()-3)))</f>
        <v/>
      </c>
      <c r="B106" s="29" t="str">
        <f>IF(ISNUMBER($X106),INDEX(Comenzi!$B:$B,$X106),"")</f>
        <v/>
      </c>
      <c r="C106" s="28" t="str">
        <f>IF($A106="","",INDEX('PI Furnizor'!$B:$B,ROW()-3)&amp;"")</f>
        <v/>
      </c>
      <c r="D106" s="28" t="str">
        <f>IF($A106="","",INDEX('PI Furnizor'!$C:$C,ROW()-3)&amp;"")</f>
        <v/>
      </c>
      <c r="E106" s="30" t="str">
        <f>IF($A106="","",N(INDEX('PI Furnizor'!$D:$D,ROW()-3)))</f>
        <v/>
      </c>
      <c r="F106" s="31" t="str">
        <f>IF(ISNUMBER($X106),INDEX(Comenzi!$G:$G,$X106),"")</f>
        <v/>
      </c>
      <c r="G106" s="32" t="str">
        <f>IF($A106="","",N(INDEX('PI Furnizor'!$E:$E,ROW()-3)))</f>
        <v/>
      </c>
      <c r="H106" s="33" t="str">
        <f t="shared" si="13"/>
        <v/>
      </c>
      <c r="I106" s="34" t="str">
        <f>IF($Y106&lt;&gt;1,"",IFERROR($AE106/INDEX(Comenzi!$AN:$AN,$X106),0))</f>
        <v/>
      </c>
      <c r="J106" s="33" t="str">
        <f>IF($Y106&lt;&gt;1,"",INDEX(Comenzi!$AG:$AG,$X106)*$I106/$E106)</f>
        <v/>
      </c>
      <c r="K106" s="33" t="str">
        <f t="shared" si="14"/>
        <v/>
      </c>
      <c r="L106" s="33" t="str">
        <f>IF($Y106&lt;&gt;1,"",$K106*$AD106+INDEX(Comenzi!$AJ:$AJ,$X106)*$I106/$E106)</f>
        <v/>
      </c>
      <c r="M106" s="33" t="str">
        <f t="shared" si="15"/>
        <v/>
      </c>
      <c r="N106" s="33" t="str">
        <f t="shared" si="16"/>
        <v/>
      </c>
      <c r="O106" s="33" t="str">
        <f>IF($Y106&lt;&gt;1,"",(INDEX(Comenzi!$AK:$AK,$X106)+N(INDEX(Comenzi!$T:$T,$X106)))*$I106/$E106)</f>
        <v/>
      </c>
      <c r="P106" s="35" t="str">
        <f t="shared" si="17"/>
        <v/>
      </c>
      <c r="Q106" s="36" t="str">
        <f t="shared" si="18"/>
        <v/>
      </c>
      <c r="R106" s="37" t="str">
        <f t="shared" si="19"/>
        <v/>
      </c>
      <c r="S106" s="38" t="str">
        <f t="shared" si="20"/>
        <v/>
      </c>
      <c r="T106" s="39" t="str">
        <f t="shared" si="21"/>
        <v/>
      </c>
      <c r="U106" s="40" t="str">
        <f t="shared" si="22"/>
        <v/>
      </c>
      <c r="V106" s="33" t="str">
        <f t="shared" si="23"/>
        <v/>
      </c>
      <c r="W106" s="33" t="str">
        <f t="shared" si="24"/>
        <v/>
      </c>
      <c r="X106" s="41" t="str">
        <f>IF($A106="","",IFERROR(MATCH($A106,Comenzi!$A$9:$A$108,0)+8,""))</f>
        <v/>
      </c>
      <c r="Y106" s="41" t="str">
        <f t="shared" si="25"/>
        <v/>
      </c>
      <c r="Z106" s="42" t="str">
        <f>IF($A106="","",IF($A106="?","Lipseste ID-ul comenzii (col. A din PI Furnizor)",IF(NOT(ISNUMBER($X106)),"ID comanda negasit in foaia Comenzi",IF(N($E106)&lt;=0,"Lipseste cantitatea",IF(N($G106)=0,"Pret unitar lipsa",IF($Y106&lt;&gt;1,"Curs sau moneda marfa lipsa (foaia Comenzi)",IF(INDEX(Comenzi!$AT:$AT,$X106)&lt;&gt;"OK","Avertisment comanda: "&amp;INDEX(Comenzi!$AT:$AT,$X106),"OK")))))))</f>
        <v/>
      </c>
      <c r="AA106" s="43" t="str">
        <f>IF(ISNUMBER($X106),INDEX(Comenzi!$H:$H,$X106),"")</f>
        <v/>
      </c>
      <c r="AB106" s="43" t="str">
        <f>IF(ISNUMBER($X106),INDEX(Comenzi!$I:$I,$X106),"")</f>
        <v/>
      </c>
      <c r="AC106" s="44" t="str">
        <f>IF(ISNUMBER($X106),IF(INDEX(Comenzi!$V:$V,$X106)="",Comenzi!$D$3,INDEX(Comenzi!$V:$V,$X106)),"")</f>
        <v/>
      </c>
      <c r="AD106" s="44" t="str">
        <f>IF(ISNUMBER($X106),IF(INDEX(Comenzi!$U:$U,$X106)="",Comenzi!$D$4,INDEX(Comenzi!$U:$U,$X106)),"")</f>
        <v/>
      </c>
      <c r="AE106" s="45" t="str">
        <f>IF($Y106&lt;&gt;1,"",IF(INDEX(Comenzi!$AM:$AM,$X106)="Greutate",INDEX('PI Furnizor'!$O:$O,ROW()-3),IF(INDEX(Comenzi!$AM:$AM,$X106)="Volum (CBM)",INDEX('PI Furnizor'!$Q:$Q,ROW()-3),IF(INDEX(Comenzi!$AM:$AM,$X106)="Valoare marfa",INDEX('PI Furnizor'!$N:$N,ROW()-3),$E106))))</f>
        <v/>
      </c>
    </row>
    <row r="107" spans="1:31" x14ac:dyDescent="0.3">
      <c r="A107" s="28" t="str">
        <f>IF(COUNTA(INDEX('PI Furnizor'!$A:$E,ROW()-3,0))=0,"",IF(INDEX('PI Furnizor'!$A:$A,ROW()-3)="","?",INDEX('PI Furnizor'!$A:$A,ROW()-3)))</f>
        <v/>
      </c>
      <c r="B107" s="29" t="str">
        <f>IF(ISNUMBER($X107),INDEX(Comenzi!$B:$B,$X107),"")</f>
        <v/>
      </c>
      <c r="C107" s="28" t="str">
        <f>IF($A107="","",INDEX('PI Furnizor'!$B:$B,ROW()-3)&amp;"")</f>
        <v/>
      </c>
      <c r="D107" s="28" t="str">
        <f>IF($A107="","",INDEX('PI Furnizor'!$C:$C,ROW()-3)&amp;"")</f>
        <v/>
      </c>
      <c r="E107" s="30" t="str">
        <f>IF($A107="","",N(INDEX('PI Furnizor'!$D:$D,ROW()-3)))</f>
        <v/>
      </c>
      <c r="F107" s="31" t="str">
        <f>IF(ISNUMBER($X107),INDEX(Comenzi!$G:$G,$X107),"")</f>
        <v/>
      </c>
      <c r="G107" s="32" t="str">
        <f>IF($A107="","",N(INDEX('PI Furnizor'!$E:$E,ROW()-3)))</f>
        <v/>
      </c>
      <c r="H107" s="33" t="str">
        <f t="shared" si="13"/>
        <v/>
      </c>
      <c r="I107" s="34" t="str">
        <f>IF($Y107&lt;&gt;1,"",IFERROR($AE107/INDEX(Comenzi!$AN:$AN,$X107),0))</f>
        <v/>
      </c>
      <c r="J107" s="33" t="str">
        <f>IF($Y107&lt;&gt;1,"",INDEX(Comenzi!$AG:$AG,$X107)*$I107/$E107)</f>
        <v/>
      </c>
      <c r="K107" s="33" t="str">
        <f t="shared" si="14"/>
        <v/>
      </c>
      <c r="L107" s="33" t="str">
        <f>IF($Y107&lt;&gt;1,"",$K107*$AD107+INDEX(Comenzi!$AJ:$AJ,$X107)*$I107/$E107)</f>
        <v/>
      </c>
      <c r="M107" s="33" t="str">
        <f t="shared" si="15"/>
        <v/>
      </c>
      <c r="N107" s="33" t="str">
        <f t="shared" si="16"/>
        <v/>
      </c>
      <c r="O107" s="33" t="str">
        <f>IF($Y107&lt;&gt;1,"",(INDEX(Comenzi!$AK:$AK,$X107)+N(INDEX(Comenzi!$T:$T,$X107)))*$I107/$E107)</f>
        <v/>
      </c>
      <c r="P107" s="35" t="str">
        <f t="shared" si="17"/>
        <v/>
      </c>
      <c r="Q107" s="36" t="str">
        <f t="shared" si="18"/>
        <v/>
      </c>
      <c r="R107" s="37" t="str">
        <f t="shared" si="19"/>
        <v/>
      </c>
      <c r="S107" s="38" t="str">
        <f t="shared" si="20"/>
        <v/>
      </c>
      <c r="T107" s="39" t="str">
        <f t="shared" si="21"/>
        <v/>
      </c>
      <c r="U107" s="40" t="str">
        <f t="shared" si="22"/>
        <v/>
      </c>
      <c r="V107" s="33" t="str">
        <f t="shared" si="23"/>
        <v/>
      </c>
      <c r="W107" s="33" t="str">
        <f t="shared" si="24"/>
        <v/>
      </c>
      <c r="X107" s="41" t="str">
        <f>IF($A107="","",IFERROR(MATCH($A107,Comenzi!$A$9:$A$108,0)+8,""))</f>
        <v/>
      </c>
      <c r="Y107" s="41" t="str">
        <f t="shared" si="25"/>
        <v/>
      </c>
      <c r="Z107" s="42" t="str">
        <f>IF($A107="","",IF($A107="?","Lipseste ID-ul comenzii (col. A din PI Furnizor)",IF(NOT(ISNUMBER($X107)),"ID comanda negasit in foaia Comenzi",IF(N($E107)&lt;=0,"Lipseste cantitatea",IF(N($G107)=0,"Pret unitar lipsa",IF($Y107&lt;&gt;1,"Curs sau moneda marfa lipsa (foaia Comenzi)",IF(INDEX(Comenzi!$AT:$AT,$X107)&lt;&gt;"OK","Avertisment comanda: "&amp;INDEX(Comenzi!$AT:$AT,$X107),"OK")))))))</f>
        <v/>
      </c>
      <c r="AA107" s="43" t="str">
        <f>IF(ISNUMBER($X107),INDEX(Comenzi!$H:$H,$X107),"")</f>
        <v/>
      </c>
      <c r="AB107" s="43" t="str">
        <f>IF(ISNUMBER($X107),INDEX(Comenzi!$I:$I,$X107),"")</f>
        <v/>
      </c>
      <c r="AC107" s="44" t="str">
        <f>IF(ISNUMBER($X107),IF(INDEX(Comenzi!$V:$V,$X107)="",Comenzi!$D$3,INDEX(Comenzi!$V:$V,$X107)),"")</f>
        <v/>
      </c>
      <c r="AD107" s="44" t="str">
        <f>IF(ISNUMBER($X107),IF(INDEX(Comenzi!$U:$U,$X107)="",Comenzi!$D$4,INDEX(Comenzi!$U:$U,$X107)),"")</f>
        <v/>
      </c>
      <c r="AE107" s="45" t="str">
        <f>IF($Y107&lt;&gt;1,"",IF(INDEX(Comenzi!$AM:$AM,$X107)="Greutate",INDEX('PI Furnizor'!$O:$O,ROW()-3),IF(INDEX(Comenzi!$AM:$AM,$X107)="Volum (CBM)",INDEX('PI Furnizor'!$Q:$Q,ROW()-3),IF(INDEX(Comenzi!$AM:$AM,$X107)="Valoare marfa",INDEX('PI Furnizor'!$N:$N,ROW()-3),$E107))))</f>
        <v/>
      </c>
    </row>
    <row r="108" spans="1:31" x14ac:dyDescent="0.3">
      <c r="A108" s="28" t="str">
        <f>IF(COUNTA(INDEX('PI Furnizor'!$A:$E,ROW()-3,0))=0,"",IF(INDEX('PI Furnizor'!$A:$A,ROW()-3)="","?",INDEX('PI Furnizor'!$A:$A,ROW()-3)))</f>
        <v/>
      </c>
      <c r="B108" s="29" t="str">
        <f>IF(ISNUMBER($X108),INDEX(Comenzi!$B:$B,$X108),"")</f>
        <v/>
      </c>
      <c r="C108" s="28" t="str">
        <f>IF($A108="","",INDEX('PI Furnizor'!$B:$B,ROW()-3)&amp;"")</f>
        <v/>
      </c>
      <c r="D108" s="28" t="str">
        <f>IF($A108="","",INDEX('PI Furnizor'!$C:$C,ROW()-3)&amp;"")</f>
        <v/>
      </c>
      <c r="E108" s="30" t="str">
        <f>IF($A108="","",N(INDEX('PI Furnizor'!$D:$D,ROW()-3)))</f>
        <v/>
      </c>
      <c r="F108" s="31" t="str">
        <f>IF(ISNUMBER($X108),INDEX(Comenzi!$G:$G,$X108),"")</f>
        <v/>
      </c>
      <c r="G108" s="32" t="str">
        <f>IF($A108="","",N(INDEX('PI Furnizor'!$E:$E,ROW()-3)))</f>
        <v/>
      </c>
      <c r="H108" s="33" t="str">
        <f t="shared" si="13"/>
        <v/>
      </c>
      <c r="I108" s="34" t="str">
        <f>IF($Y108&lt;&gt;1,"",IFERROR($AE108/INDEX(Comenzi!$AN:$AN,$X108),0))</f>
        <v/>
      </c>
      <c r="J108" s="33" t="str">
        <f>IF($Y108&lt;&gt;1,"",INDEX(Comenzi!$AG:$AG,$X108)*$I108/$E108)</f>
        <v/>
      </c>
      <c r="K108" s="33" t="str">
        <f t="shared" si="14"/>
        <v/>
      </c>
      <c r="L108" s="33" t="str">
        <f>IF($Y108&lt;&gt;1,"",$K108*$AD108+INDEX(Comenzi!$AJ:$AJ,$X108)*$I108/$E108)</f>
        <v/>
      </c>
      <c r="M108" s="33" t="str">
        <f t="shared" si="15"/>
        <v/>
      </c>
      <c r="N108" s="33" t="str">
        <f t="shared" si="16"/>
        <v/>
      </c>
      <c r="O108" s="33" t="str">
        <f>IF($Y108&lt;&gt;1,"",(INDEX(Comenzi!$AK:$AK,$X108)+N(INDEX(Comenzi!$T:$T,$X108)))*$I108/$E108)</f>
        <v/>
      </c>
      <c r="P108" s="35" t="str">
        <f t="shared" si="17"/>
        <v/>
      </c>
      <c r="Q108" s="36" t="str">
        <f t="shared" si="18"/>
        <v/>
      </c>
      <c r="R108" s="37" t="str">
        <f t="shared" si="19"/>
        <v/>
      </c>
      <c r="S108" s="38" t="str">
        <f t="shared" si="20"/>
        <v/>
      </c>
      <c r="T108" s="39" t="str">
        <f t="shared" si="21"/>
        <v/>
      </c>
      <c r="U108" s="40" t="str">
        <f t="shared" si="22"/>
        <v/>
      </c>
      <c r="V108" s="33" t="str">
        <f t="shared" si="23"/>
        <v/>
      </c>
      <c r="W108" s="33" t="str">
        <f t="shared" si="24"/>
        <v/>
      </c>
      <c r="X108" s="41" t="str">
        <f>IF($A108="","",IFERROR(MATCH($A108,Comenzi!$A$9:$A$108,0)+8,""))</f>
        <v/>
      </c>
      <c r="Y108" s="41" t="str">
        <f t="shared" si="25"/>
        <v/>
      </c>
      <c r="Z108" s="42" t="str">
        <f>IF($A108="","",IF($A108="?","Lipseste ID-ul comenzii (col. A din PI Furnizor)",IF(NOT(ISNUMBER($X108)),"ID comanda negasit in foaia Comenzi",IF(N($E108)&lt;=0,"Lipseste cantitatea",IF(N($G108)=0,"Pret unitar lipsa",IF($Y108&lt;&gt;1,"Curs sau moneda marfa lipsa (foaia Comenzi)",IF(INDEX(Comenzi!$AT:$AT,$X108)&lt;&gt;"OK","Avertisment comanda: "&amp;INDEX(Comenzi!$AT:$AT,$X108),"OK")))))))</f>
        <v/>
      </c>
      <c r="AA108" s="43" t="str">
        <f>IF(ISNUMBER($X108),INDEX(Comenzi!$H:$H,$X108),"")</f>
        <v/>
      </c>
      <c r="AB108" s="43" t="str">
        <f>IF(ISNUMBER($X108),INDEX(Comenzi!$I:$I,$X108),"")</f>
        <v/>
      </c>
      <c r="AC108" s="44" t="str">
        <f>IF(ISNUMBER($X108),IF(INDEX(Comenzi!$V:$V,$X108)="",Comenzi!$D$3,INDEX(Comenzi!$V:$V,$X108)),"")</f>
        <v/>
      </c>
      <c r="AD108" s="44" t="str">
        <f>IF(ISNUMBER($X108),IF(INDEX(Comenzi!$U:$U,$X108)="",Comenzi!$D$4,INDEX(Comenzi!$U:$U,$X108)),"")</f>
        <v/>
      </c>
      <c r="AE108" s="45" t="str">
        <f>IF($Y108&lt;&gt;1,"",IF(INDEX(Comenzi!$AM:$AM,$X108)="Greutate",INDEX('PI Furnizor'!$O:$O,ROW()-3),IF(INDEX(Comenzi!$AM:$AM,$X108)="Volum (CBM)",INDEX('PI Furnizor'!$Q:$Q,ROW()-3),IF(INDEX(Comenzi!$AM:$AM,$X108)="Valoare marfa",INDEX('PI Furnizor'!$N:$N,ROW()-3),$E108))))</f>
        <v/>
      </c>
    </row>
    <row r="109" spans="1:31" x14ac:dyDescent="0.3">
      <c r="A109" s="28" t="str">
        <f>IF(COUNTA(INDEX('PI Furnizor'!$A:$E,ROW()-3,0))=0,"",IF(INDEX('PI Furnizor'!$A:$A,ROW()-3)="","?",INDEX('PI Furnizor'!$A:$A,ROW()-3)))</f>
        <v/>
      </c>
      <c r="B109" s="29" t="str">
        <f>IF(ISNUMBER($X109),INDEX(Comenzi!$B:$B,$X109),"")</f>
        <v/>
      </c>
      <c r="C109" s="28" t="str">
        <f>IF($A109="","",INDEX('PI Furnizor'!$B:$B,ROW()-3)&amp;"")</f>
        <v/>
      </c>
      <c r="D109" s="28" t="str">
        <f>IF($A109="","",INDEX('PI Furnizor'!$C:$C,ROW()-3)&amp;"")</f>
        <v/>
      </c>
      <c r="E109" s="30" t="str">
        <f>IF($A109="","",N(INDEX('PI Furnizor'!$D:$D,ROW()-3)))</f>
        <v/>
      </c>
      <c r="F109" s="31" t="str">
        <f>IF(ISNUMBER($X109),INDEX(Comenzi!$G:$G,$X109),"")</f>
        <v/>
      </c>
      <c r="G109" s="32" t="str">
        <f>IF($A109="","",N(INDEX('PI Furnizor'!$E:$E,ROW()-3)))</f>
        <v/>
      </c>
      <c r="H109" s="33" t="str">
        <f t="shared" si="13"/>
        <v/>
      </c>
      <c r="I109" s="34" t="str">
        <f>IF($Y109&lt;&gt;1,"",IFERROR($AE109/INDEX(Comenzi!$AN:$AN,$X109),0))</f>
        <v/>
      </c>
      <c r="J109" s="33" t="str">
        <f>IF($Y109&lt;&gt;1,"",INDEX(Comenzi!$AG:$AG,$X109)*$I109/$E109)</f>
        <v/>
      </c>
      <c r="K109" s="33" t="str">
        <f t="shared" si="14"/>
        <v/>
      </c>
      <c r="L109" s="33" t="str">
        <f>IF($Y109&lt;&gt;1,"",$K109*$AD109+INDEX(Comenzi!$AJ:$AJ,$X109)*$I109/$E109)</f>
        <v/>
      </c>
      <c r="M109" s="33" t="str">
        <f t="shared" si="15"/>
        <v/>
      </c>
      <c r="N109" s="33" t="str">
        <f t="shared" si="16"/>
        <v/>
      </c>
      <c r="O109" s="33" t="str">
        <f>IF($Y109&lt;&gt;1,"",(INDEX(Comenzi!$AK:$AK,$X109)+N(INDEX(Comenzi!$T:$T,$X109)))*$I109/$E109)</f>
        <v/>
      </c>
      <c r="P109" s="35" t="str">
        <f t="shared" si="17"/>
        <v/>
      </c>
      <c r="Q109" s="36" t="str">
        <f t="shared" si="18"/>
        <v/>
      </c>
      <c r="R109" s="37" t="str">
        <f t="shared" si="19"/>
        <v/>
      </c>
      <c r="S109" s="38" t="str">
        <f t="shared" si="20"/>
        <v/>
      </c>
      <c r="T109" s="39" t="str">
        <f t="shared" si="21"/>
        <v/>
      </c>
      <c r="U109" s="40" t="str">
        <f t="shared" si="22"/>
        <v/>
      </c>
      <c r="V109" s="33" t="str">
        <f t="shared" si="23"/>
        <v/>
      </c>
      <c r="W109" s="33" t="str">
        <f t="shared" si="24"/>
        <v/>
      </c>
      <c r="X109" s="41" t="str">
        <f>IF($A109="","",IFERROR(MATCH($A109,Comenzi!$A$9:$A$108,0)+8,""))</f>
        <v/>
      </c>
      <c r="Y109" s="41" t="str">
        <f t="shared" si="25"/>
        <v/>
      </c>
      <c r="Z109" s="42" t="str">
        <f>IF($A109="","",IF($A109="?","Lipseste ID-ul comenzii (col. A din PI Furnizor)",IF(NOT(ISNUMBER($X109)),"ID comanda negasit in foaia Comenzi",IF(N($E109)&lt;=0,"Lipseste cantitatea",IF(N($G109)=0,"Pret unitar lipsa",IF($Y109&lt;&gt;1,"Curs sau moneda marfa lipsa (foaia Comenzi)",IF(INDEX(Comenzi!$AT:$AT,$X109)&lt;&gt;"OK","Avertisment comanda: "&amp;INDEX(Comenzi!$AT:$AT,$X109),"OK")))))))</f>
        <v/>
      </c>
      <c r="AA109" s="43" t="str">
        <f>IF(ISNUMBER($X109),INDEX(Comenzi!$H:$H,$X109),"")</f>
        <v/>
      </c>
      <c r="AB109" s="43" t="str">
        <f>IF(ISNUMBER($X109),INDEX(Comenzi!$I:$I,$X109),"")</f>
        <v/>
      </c>
      <c r="AC109" s="44" t="str">
        <f>IF(ISNUMBER($X109),IF(INDEX(Comenzi!$V:$V,$X109)="",Comenzi!$D$3,INDEX(Comenzi!$V:$V,$X109)),"")</f>
        <v/>
      </c>
      <c r="AD109" s="44" t="str">
        <f>IF(ISNUMBER($X109),IF(INDEX(Comenzi!$U:$U,$X109)="",Comenzi!$D$4,INDEX(Comenzi!$U:$U,$X109)),"")</f>
        <v/>
      </c>
      <c r="AE109" s="45" t="str">
        <f>IF($Y109&lt;&gt;1,"",IF(INDEX(Comenzi!$AM:$AM,$X109)="Greutate",INDEX('PI Furnizor'!$O:$O,ROW()-3),IF(INDEX(Comenzi!$AM:$AM,$X109)="Volum (CBM)",INDEX('PI Furnizor'!$Q:$Q,ROW()-3),IF(INDEX(Comenzi!$AM:$AM,$X109)="Valoare marfa",INDEX('PI Furnizor'!$N:$N,ROW()-3),$E109))))</f>
        <v/>
      </c>
    </row>
    <row r="110" spans="1:31" x14ac:dyDescent="0.3">
      <c r="A110" s="28" t="str">
        <f>IF(COUNTA(INDEX('PI Furnizor'!$A:$E,ROW()-3,0))=0,"",IF(INDEX('PI Furnizor'!$A:$A,ROW()-3)="","?",INDEX('PI Furnizor'!$A:$A,ROW()-3)))</f>
        <v/>
      </c>
      <c r="B110" s="29" t="str">
        <f>IF(ISNUMBER($X110),INDEX(Comenzi!$B:$B,$X110),"")</f>
        <v/>
      </c>
      <c r="C110" s="28" t="str">
        <f>IF($A110="","",INDEX('PI Furnizor'!$B:$B,ROW()-3)&amp;"")</f>
        <v/>
      </c>
      <c r="D110" s="28" t="str">
        <f>IF($A110="","",INDEX('PI Furnizor'!$C:$C,ROW()-3)&amp;"")</f>
        <v/>
      </c>
      <c r="E110" s="30" t="str">
        <f>IF($A110="","",N(INDEX('PI Furnizor'!$D:$D,ROW()-3)))</f>
        <v/>
      </c>
      <c r="F110" s="31" t="str">
        <f>IF(ISNUMBER($X110),INDEX(Comenzi!$G:$G,$X110),"")</f>
        <v/>
      </c>
      <c r="G110" s="32" t="str">
        <f>IF($A110="","",N(INDEX('PI Furnizor'!$E:$E,ROW()-3)))</f>
        <v/>
      </c>
      <c r="H110" s="33" t="str">
        <f t="shared" si="13"/>
        <v/>
      </c>
      <c r="I110" s="34" t="str">
        <f>IF($Y110&lt;&gt;1,"",IFERROR($AE110/INDEX(Comenzi!$AN:$AN,$X110),0))</f>
        <v/>
      </c>
      <c r="J110" s="33" t="str">
        <f>IF($Y110&lt;&gt;1,"",INDEX(Comenzi!$AG:$AG,$X110)*$I110/$E110)</f>
        <v/>
      </c>
      <c r="K110" s="33" t="str">
        <f t="shared" si="14"/>
        <v/>
      </c>
      <c r="L110" s="33" t="str">
        <f>IF($Y110&lt;&gt;1,"",$K110*$AD110+INDEX(Comenzi!$AJ:$AJ,$X110)*$I110/$E110)</f>
        <v/>
      </c>
      <c r="M110" s="33" t="str">
        <f t="shared" si="15"/>
        <v/>
      </c>
      <c r="N110" s="33" t="str">
        <f t="shared" si="16"/>
        <v/>
      </c>
      <c r="O110" s="33" t="str">
        <f>IF($Y110&lt;&gt;1,"",(INDEX(Comenzi!$AK:$AK,$X110)+N(INDEX(Comenzi!$T:$T,$X110)))*$I110/$E110)</f>
        <v/>
      </c>
      <c r="P110" s="35" t="str">
        <f t="shared" si="17"/>
        <v/>
      </c>
      <c r="Q110" s="36" t="str">
        <f t="shared" si="18"/>
        <v/>
      </c>
      <c r="R110" s="37" t="str">
        <f t="shared" si="19"/>
        <v/>
      </c>
      <c r="S110" s="38" t="str">
        <f t="shared" si="20"/>
        <v/>
      </c>
      <c r="T110" s="39" t="str">
        <f t="shared" si="21"/>
        <v/>
      </c>
      <c r="U110" s="40" t="str">
        <f t="shared" si="22"/>
        <v/>
      </c>
      <c r="V110" s="33" t="str">
        <f t="shared" si="23"/>
        <v/>
      </c>
      <c r="W110" s="33" t="str">
        <f t="shared" si="24"/>
        <v/>
      </c>
      <c r="X110" s="41" t="str">
        <f>IF($A110="","",IFERROR(MATCH($A110,Comenzi!$A$9:$A$108,0)+8,""))</f>
        <v/>
      </c>
      <c r="Y110" s="41" t="str">
        <f t="shared" si="25"/>
        <v/>
      </c>
      <c r="Z110" s="42" t="str">
        <f>IF($A110="","",IF($A110="?","Lipseste ID-ul comenzii (col. A din PI Furnizor)",IF(NOT(ISNUMBER($X110)),"ID comanda negasit in foaia Comenzi",IF(N($E110)&lt;=0,"Lipseste cantitatea",IF(N($G110)=0,"Pret unitar lipsa",IF($Y110&lt;&gt;1,"Curs sau moneda marfa lipsa (foaia Comenzi)",IF(INDEX(Comenzi!$AT:$AT,$X110)&lt;&gt;"OK","Avertisment comanda: "&amp;INDEX(Comenzi!$AT:$AT,$X110),"OK")))))))</f>
        <v/>
      </c>
      <c r="AA110" s="43" t="str">
        <f>IF(ISNUMBER($X110),INDEX(Comenzi!$H:$H,$X110),"")</f>
        <v/>
      </c>
      <c r="AB110" s="43" t="str">
        <f>IF(ISNUMBER($X110),INDEX(Comenzi!$I:$I,$X110),"")</f>
        <v/>
      </c>
      <c r="AC110" s="44" t="str">
        <f>IF(ISNUMBER($X110),IF(INDEX(Comenzi!$V:$V,$X110)="",Comenzi!$D$3,INDEX(Comenzi!$V:$V,$X110)),"")</f>
        <v/>
      </c>
      <c r="AD110" s="44" t="str">
        <f>IF(ISNUMBER($X110),IF(INDEX(Comenzi!$U:$U,$X110)="",Comenzi!$D$4,INDEX(Comenzi!$U:$U,$X110)),"")</f>
        <v/>
      </c>
      <c r="AE110" s="45" t="str">
        <f>IF($Y110&lt;&gt;1,"",IF(INDEX(Comenzi!$AM:$AM,$X110)="Greutate",INDEX('PI Furnizor'!$O:$O,ROW()-3),IF(INDEX(Comenzi!$AM:$AM,$X110)="Volum (CBM)",INDEX('PI Furnizor'!$Q:$Q,ROW()-3),IF(INDEX(Comenzi!$AM:$AM,$X110)="Valoare marfa",INDEX('PI Furnizor'!$N:$N,ROW()-3),$E110))))</f>
        <v/>
      </c>
    </row>
    <row r="111" spans="1:31" x14ac:dyDescent="0.3">
      <c r="A111" s="28" t="str">
        <f>IF(COUNTA(INDEX('PI Furnizor'!$A:$E,ROW()-3,0))=0,"",IF(INDEX('PI Furnizor'!$A:$A,ROW()-3)="","?",INDEX('PI Furnizor'!$A:$A,ROW()-3)))</f>
        <v/>
      </c>
      <c r="B111" s="29" t="str">
        <f>IF(ISNUMBER($X111),INDEX(Comenzi!$B:$B,$X111),"")</f>
        <v/>
      </c>
      <c r="C111" s="28" t="str">
        <f>IF($A111="","",INDEX('PI Furnizor'!$B:$B,ROW()-3)&amp;"")</f>
        <v/>
      </c>
      <c r="D111" s="28" t="str">
        <f>IF($A111="","",INDEX('PI Furnizor'!$C:$C,ROW()-3)&amp;"")</f>
        <v/>
      </c>
      <c r="E111" s="30" t="str">
        <f>IF($A111="","",N(INDEX('PI Furnizor'!$D:$D,ROW()-3)))</f>
        <v/>
      </c>
      <c r="F111" s="31" t="str">
        <f>IF(ISNUMBER($X111),INDEX(Comenzi!$G:$G,$X111),"")</f>
        <v/>
      </c>
      <c r="G111" s="32" t="str">
        <f>IF($A111="","",N(INDEX('PI Furnizor'!$E:$E,ROW()-3)))</f>
        <v/>
      </c>
      <c r="H111" s="33" t="str">
        <f t="shared" si="13"/>
        <v/>
      </c>
      <c r="I111" s="34" t="str">
        <f>IF($Y111&lt;&gt;1,"",IFERROR($AE111/INDEX(Comenzi!$AN:$AN,$X111),0))</f>
        <v/>
      </c>
      <c r="J111" s="33" t="str">
        <f>IF($Y111&lt;&gt;1,"",INDEX(Comenzi!$AG:$AG,$X111)*$I111/$E111)</f>
        <v/>
      </c>
      <c r="K111" s="33" t="str">
        <f t="shared" si="14"/>
        <v/>
      </c>
      <c r="L111" s="33" t="str">
        <f>IF($Y111&lt;&gt;1,"",$K111*$AD111+INDEX(Comenzi!$AJ:$AJ,$X111)*$I111/$E111)</f>
        <v/>
      </c>
      <c r="M111" s="33" t="str">
        <f t="shared" si="15"/>
        <v/>
      </c>
      <c r="N111" s="33" t="str">
        <f t="shared" si="16"/>
        <v/>
      </c>
      <c r="O111" s="33" t="str">
        <f>IF($Y111&lt;&gt;1,"",(INDEX(Comenzi!$AK:$AK,$X111)+N(INDEX(Comenzi!$T:$T,$X111)))*$I111/$E111)</f>
        <v/>
      </c>
      <c r="P111" s="35" t="str">
        <f t="shared" si="17"/>
        <v/>
      </c>
      <c r="Q111" s="36" t="str">
        <f t="shared" si="18"/>
        <v/>
      </c>
      <c r="R111" s="37" t="str">
        <f t="shared" si="19"/>
        <v/>
      </c>
      <c r="S111" s="38" t="str">
        <f t="shared" si="20"/>
        <v/>
      </c>
      <c r="T111" s="39" t="str">
        <f t="shared" si="21"/>
        <v/>
      </c>
      <c r="U111" s="40" t="str">
        <f t="shared" si="22"/>
        <v/>
      </c>
      <c r="V111" s="33" t="str">
        <f t="shared" si="23"/>
        <v/>
      </c>
      <c r="W111" s="33" t="str">
        <f t="shared" si="24"/>
        <v/>
      </c>
      <c r="X111" s="41" t="str">
        <f>IF($A111="","",IFERROR(MATCH($A111,Comenzi!$A$9:$A$108,0)+8,""))</f>
        <v/>
      </c>
      <c r="Y111" s="41" t="str">
        <f t="shared" si="25"/>
        <v/>
      </c>
      <c r="Z111" s="42" t="str">
        <f>IF($A111="","",IF($A111="?","Lipseste ID-ul comenzii (col. A din PI Furnizor)",IF(NOT(ISNUMBER($X111)),"ID comanda negasit in foaia Comenzi",IF(N($E111)&lt;=0,"Lipseste cantitatea",IF(N($G111)=0,"Pret unitar lipsa",IF($Y111&lt;&gt;1,"Curs sau moneda marfa lipsa (foaia Comenzi)",IF(INDEX(Comenzi!$AT:$AT,$X111)&lt;&gt;"OK","Avertisment comanda: "&amp;INDEX(Comenzi!$AT:$AT,$X111),"OK")))))))</f>
        <v/>
      </c>
      <c r="AA111" s="43" t="str">
        <f>IF(ISNUMBER($X111),INDEX(Comenzi!$H:$H,$X111),"")</f>
        <v/>
      </c>
      <c r="AB111" s="43" t="str">
        <f>IF(ISNUMBER($X111),INDEX(Comenzi!$I:$I,$X111),"")</f>
        <v/>
      </c>
      <c r="AC111" s="44" t="str">
        <f>IF(ISNUMBER($X111),IF(INDEX(Comenzi!$V:$V,$X111)="",Comenzi!$D$3,INDEX(Comenzi!$V:$V,$X111)),"")</f>
        <v/>
      </c>
      <c r="AD111" s="44" t="str">
        <f>IF(ISNUMBER($X111),IF(INDEX(Comenzi!$U:$U,$X111)="",Comenzi!$D$4,INDEX(Comenzi!$U:$U,$X111)),"")</f>
        <v/>
      </c>
      <c r="AE111" s="45" t="str">
        <f>IF($Y111&lt;&gt;1,"",IF(INDEX(Comenzi!$AM:$AM,$X111)="Greutate",INDEX('PI Furnizor'!$O:$O,ROW()-3),IF(INDEX(Comenzi!$AM:$AM,$X111)="Volum (CBM)",INDEX('PI Furnizor'!$Q:$Q,ROW()-3),IF(INDEX(Comenzi!$AM:$AM,$X111)="Valoare marfa",INDEX('PI Furnizor'!$N:$N,ROW()-3),$E111))))</f>
        <v/>
      </c>
    </row>
    <row r="112" spans="1:31" x14ac:dyDescent="0.3">
      <c r="A112" s="28" t="str">
        <f>IF(COUNTA(INDEX('PI Furnizor'!$A:$E,ROW()-3,0))=0,"",IF(INDEX('PI Furnizor'!$A:$A,ROW()-3)="","?",INDEX('PI Furnizor'!$A:$A,ROW()-3)))</f>
        <v/>
      </c>
      <c r="B112" s="29" t="str">
        <f>IF(ISNUMBER($X112),INDEX(Comenzi!$B:$B,$X112),"")</f>
        <v/>
      </c>
      <c r="C112" s="28" t="str">
        <f>IF($A112="","",INDEX('PI Furnizor'!$B:$B,ROW()-3)&amp;"")</f>
        <v/>
      </c>
      <c r="D112" s="28" t="str">
        <f>IF($A112="","",INDEX('PI Furnizor'!$C:$C,ROW()-3)&amp;"")</f>
        <v/>
      </c>
      <c r="E112" s="30" t="str">
        <f>IF($A112="","",N(INDEX('PI Furnizor'!$D:$D,ROW()-3)))</f>
        <v/>
      </c>
      <c r="F112" s="31" t="str">
        <f>IF(ISNUMBER($X112),INDEX(Comenzi!$G:$G,$X112),"")</f>
        <v/>
      </c>
      <c r="G112" s="32" t="str">
        <f>IF($A112="","",N(INDEX('PI Furnizor'!$E:$E,ROW()-3)))</f>
        <v/>
      </c>
      <c r="H112" s="33" t="str">
        <f t="shared" si="13"/>
        <v/>
      </c>
      <c r="I112" s="34" t="str">
        <f>IF($Y112&lt;&gt;1,"",IFERROR($AE112/INDEX(Comenzi!$AN:$AN,$X112),0))</f>
        <v/>
      </c>
      <c r="J112" s="33" t="str">
        <f>IF($Y112&lt;&gt;1,"",INDEX(Comenzi!$AG:$AG,$X112)*$I112/$E112)</f>
        <v/>
      </c>
      <c r="K112" s="33" t="str">
        <f t="shared" si="14"/>
        <v/>
      </c>
      <c r="L112" s="33" t="str">
        <f>IF($Y112&lt;&gt;1,"",$K112*$AD112+INDEX(Comenzi!$AJ:$AJ,$X112)*$I112/$E112)</f>
        <v/>
      </c>
      <c r="M112" s="33" t="str">
        <f t="shared" si="15"/>
        <v/>
      </c>
      <c r="N112" s="33" t="str">
        <f t="shared" si="16"/>
        <v/>
      </c>
      <c r="O112" s="33" t="str">
        <f>IF($Y112&lt;&gt;1,"",(INDEX(Comenzi!$AK:$AK,$X112)+N(INDEX(Comenzi!$T:$T,$X112)))*$I112/$E112)</f>
        <v/>
      </c>
      <c r="P112" s="35" t="str">
        <f t="shared" si="17"/>
        <v/>
      </c>
      <c r="Q112" s="36" t="str">
        <f t="shared" si="18"/>
        <v/>
      </c>
      <c r="R112" s="37" t="str">
        <f t="shared" si="19"/>
        <v/>
      </c>
      <c r="S112" s="38" t="str">
        <f t="shared" si="20"/>
        <v/>
      </c>
      <c r="T112" s="39" t="str">
        <f t="shared" si="21"/>
        <v/>
      </c>
      <c r="U112" s="40" t="str">
        <f t="shared" si="22"/>
        <v/>
      </c>
      <c r="V112" s="33" t="str">
        <f t="shared" si="23"/>
        <v/>
      </c>
      <c r="W112" s="33" t="str">
        <f t="shared" si="24"/>
        <v/>
      </c>
      <c r="X112" s="41" t="str">
        <f>IF($A112="","",IFERROR(MATCH($A112,Comenzi!$A$9:$A$108,0)+8,""))</f>
        <v/>
      </c>
      <c r="Y112" s="41" t="str">
        <f t="shared" si="25"/>
        <v/>
      </c>
      <c r="Z112" s="42" t="str">
        <f>IF($A112="","",IF($A112="?","Lipseste ID-ul comenzii (col. A din PI Furnizor)",IF(NOT(ISNUMBER($X112)),"ID comanda negasit in foaia Comenzi",IF(N($E112)&lt;=0,"Lipseste cantitatea",IF(N($G112)=0,"Pret unitar lipsa",IF($Y112&lt;&gt;1,"Curs sau moneda marfa lipsa (foaia Comenzi)",IF(INDEX(Comenzi!$AT:$AT,$X112)&lt;&gt;"OK","Avertisment comanda: "&amp;INDEX(Comenzi!$AT:$AT,$X112),"OK")))))))</f>
        <v/>
      </c>
      <c r="AA112" s="43" t="str">
        <f>IF(ISNUMBER($X112),INDEX(Comenzi!$H:$H,$X112),"")</f>
        <v/>
      </c>
      <c r="AB112" s="43" t="str">
        <f>IF(ISNUMBER($X112),INDEX(Comenzi!$I:$I,$X112),"")</f>
        <v/>
      </c>
      <c r="AC112" s="44" t="str">
        <f>IF(ISNUMBER($X112),IF(INDEX(Comenzi!$V:$V,$X112)="",Comenzi!$D$3,INDEX(Comenzi!$V:$V,$X112)),"")</f>
        <v/>
      </c>
      <c r="AD112" s="44" t="str">
        <f>IF(ISNUMBER($X112),IF(INDEX(Comenzi!$U:$U,$X112)="",Comenzi!$D$4,INDEX(Comenzi!$U:$U,$X112)),"")</f>
        <v/>
      </c>
      <c r="AE112" s="45" t="str">
        <f>IF($Y112&lt;&gt;1,"",IF(INDEX(Comenzi!$AM:$AM,$X112)="Greutate",INDEX('PI Furnizor'!$O:$O,ROW()-3),IF(INDEX(Comenzi!$AM:$AM,$X112)="Volum (CBM)",INDEX('PI Furnizor'!$Q:$Q,ROW()-3),IF(INDEX(Comenzi!$AM:$AM,$X112)="Valoare marfa",INDEX('PI Furnizor'!$N:$N,ROW()-3),$E112))))</f>
        <v/>
      </c>
    </row>
    <row r="113" spans="1:31" x14ac:dyDescent="0.3">
      <c r="A113" s="28" t="str">
        <f>IF(COUNTA(INDEX('PI Furnizor'!$A:$E,ROW()-3,0))=0,"",IF(INDEX('PI Furnizor'!$A:$A,ROW()-3)="","?",INDEX('PI Furnizor'!$A:$A,ROW()-3)))</f>
        <v/>
      </c>
      <c r="B113" s="29" t="str">
        <f>IF(ISNUMBER($X113),INDEX(Comenzi!$B:$B,$X113),"")</f>
        <v/>
      </c>
      <c r="C113" s="28" t="str">
        <f>IF($A113="","",INDEX('PI Furnizor'!$B:$B,ROW()-3)&amp;"")</f>
        <v/>
      </c>
      <c r="D113" s="28" t="str">
        <f>IF($A113="","",INDEX('PI Furnizor'!$C:$C,ROW()-3)&amp;"")</f>
        <v/>
      </c>
      <c r="E113" s="30" t="str">
        <f>IF($A113="","",N(INDEX('PI Furnizor'!$D:$D,ROW()-3)))</f>
        <v/>
      </c>
      <c r="F113" s="31" t="str">
        <f>IF(ISNUMBER($X113),INDEX(Comenzi!$G:$G,$X113),"")</f>
        <v/>
      </c>
      <c r="G113" s="32" t="str">
        <f>IF($A113="","",N(INDEX('PI Furnizor'!$E:$E,ROW()-3)))</f>
        <v/>
      </c>
      <c r="H113" s="33" t="str">
        <f t="shared" si="13"/>
        <v/>
      </c>
      <c r="I113" s="34" t="str">
        <f>IF($Y113&lt;&gt;1,"",IFERROR($AE113/INDEX(Comenzi!$AN:$AN,$X113),0))</f>
        <v/>
      </c>
      <c r="J113" s="33" t="str">
        <f>IF($Y113&lt;&gt;1,"",INDEX(Comenzi!$AG:$AG,$X113)*$I113/$E113)</f>
        <v/>
      </c>
      <c r="K113" s="33" t="str">
        <f t="shared" si="14"/>
        <v/>
      </c>
      <c r="L113" s="33" t="str">
        <f>IF($Y113&lt;&gt;1,"",$K113*$AD113+INDEX(Comenzi!$AJ:$AJ,$X113)*$I113/$E113)</f>
        <v/>
      </c>
      <c r="M113" s="33" t="str">
        <f t="shared" si="15"/>
        <v/>
      </c>
      <c r="N113" s="33" t="str">
        <f t="shared" si="16"/>
        <v/>
      </c>
      <c r="O113" s="33" t="str">
        <f>IF($Y113&lt;&gt;1,"",(INDEX(Comenzi!$AK:$AK,$X113)+N(INDEX(Comenzi!$T:$T,$X113)))*$I113/$E113)</f>
        <v/>
      </c>
      <c r="P113" s="35" t="str">
        <f t="shared" si="17"/>
        <v/>
      </c>
      <c r="Q113" s="36" t="str">
        <f t="shared" si="18"/>
        <v/>
      </c>
      <c r="R113" s="37" t="str">
        <f t="shared" si="19"/>
        <v/>
      </c>
      <c r="S113" s="38" t="str">
        <f t="shared" si="20"/>
        <v/>
      </c>
      <c r="T113" s="39" t="str">
        <f t="shared" si="21"/>
        <v/>
      </c>
      <c r="U113" s="40" t="str">
        <f t="shared" si="22"/>
        <v/>
      </c>
      <c r="V113" s="33" t="str">
        <f t="shared" si="23"/>
        <v/>
      </c>
      <c r="W113" s="33" t="str">
        <f t="shared" si="24"/>
        <v/>
      </c>
      <c r="X113" s="41" t="str">
        <f>IF($A113="","",IFERROR(MATCH($A113,Comenzi!$A$9:$A$108,0)+8,""))</f>
        <v/>
      </c>
      <c r="Y113" s="41" t="str">
        <f t="shared" si="25"/>
        <v/>
      </c>
      <c r="Z113" s="42" t="str">
        <f>IF($A113="","",IF($A113="?","Lipseste ID-ul comenzii (col. A din PI Furnizor)",IF(NOT(ISNUMBER($X113)),"ID comanda negasit in foaia Comenzi",IF(N($E113)&lt;=0,"Lipseste cantitatea",IF(N($G113)=0,"Pret unitar lipsa",IF($Y113&lt;&gt;1,"Curs sau moneda marfa lipsa (foaia Comenzi)",IF(INDEX(Comenzi!$AT:$AT,$X113)&lt;&gt;"OK","Avertisment comanda: "&amp;INDEX(Comenzi!$AT:$AT,$X113),"OK")))))))</f>
        <v/>
      </c>
      <c r="AA113" s="43" t="str">
        <f>IF(ISNUMBER($X113),INDEX(Comenzi!$H:$H,$X113),"")</f>
        <v/>
      </c>
      <c r="AB113" s="43" t="str">
        <f>IF(ISNUMBER($X113),INDEX(Comenzi!$I:$I,$X113),"")</f>
        <v/>
      </c>
      <c r="AC113" s="44" t="str">
        <f>IF(ISNUMBER($X113),IF(INDEX(Comenzi!$V:$V,$X113)="",Comenzi!$D$3,INDEX(Comenzi!$V:$V,$X113)),"")</f>
        <v/>
      </c>
      <c r="AD113" s="44" t="str">
        <f>IF(ISNUMBER($X113),IF(INDEX(Comenzi!$U:$U,$X113)="",Comenzi!$D$4,INDEX(Comenzi!$U:$U,$X113)),"")</f>
        <v/>
      </c>
      <c r="AE113" s="45" t="str">
        <f>IF($Y113&lt;&gt;1,"",IF(INDEX(Comenzi!$AM:$AM,$X113)="Greutate",INDEX('PI Furnizor'!$O:$O,ROW()-3),IF(INDEX(Comenzi!$AM:$AM,$X113)="Volum (CBM)",INDEX('PI Furnizor'!$Q:$Q,ROW()-3),IF(INDEX(Comenzi!$AM:$AM,$X113)="Valoare marfa",INDEX('PI Furnizor'!$N:$N,ROW()-3),$E113))))</f>
        <v/>
      </c>
    </row>
    <row r="114" spans="1:31" x14ac:dyDescent="0.3">
      <c r="A114" s="28" t="str">
        <f>IF(COUNTA(INDEX('PI Furnizor'!$A:$E,ROW()-3,0))=0,"",IF(INDEX('PI Furnizor'!$A:$A,ROW()-3)="","?",INDEX('PI Furnizor'!$A:$A,ROW()-3)))</f>
        <v/>
      </c>
      <c r="B114" s="29" t="str">
        <f>IF(ISNUMBER($X114),INDEX(Comenzi!$B:$B,$X114),"")</f>
        <v/>
      </c>
      <c r="C114" s="28" t="str">
        <f>IF($A114="","",INDEX('PI Furnizor'!$B:$B,ROW()-3)&amp;"")</f>
        <v/>
      </c>
      <c r="D114" s="28" t="str">
        <f>IF($A114="","",INDEX('PI Furnizor'!$C:$C,ROW()-3)&amp;"")</f>
        <v/>
      </c>
      <c r="E114" s="30" t="str">
        <f>IF($A114="","",N(INDEX('PI Furnizor'!$D:$D,ROW()-3)))</f>
        <v/>
      </c>
      <c r="F114" s="31" t="str">
        <f>IF(ISNUMBER($X114),INDEX(Comenzi!$G:$G,$X114),"")</f>
        <v/>
      </c>
      <c r="G114" s="32" t="str">
        <f>IF($A114="","",N(INDEX('PI Furnizor'!$E:$E,ROW()-3)))</f>
        <v/>
      </c>
      <c r="H114" s="33" t="str">
        <f t="shared" si="13"/>
        <v/>
      </c>
      <c r="I114" s="34" t="str">
        <f>IF($Y114&lt;&gt;1,"",IFERROR($AE114/INDEX(Comenzi!$AN:$AN,$X114),0))</f>
        <v/>
      </c>
      <c r="J114" s="33" t="str">
        <f>IF($Y114&lt;&gt;1,"",INDEX(Comenzi!$AG:$AG,$X114)*$I114/$E114)</f>
        <v/>
      </c>
      <c r="K114" s="33" t="str">
        <f t="shared" si="14"/>
        <v/>
      </c>
      <c r="L114" s="33" t="str">
        <f>IF($Y114&lt;&gt;1,"",$K114*$AD114+INDEX(Comenzi!$AJ:$AJ,$X114)*$I114/$E114)</f>
        <v/>
      </c>
      <c r="M114" s="33" t="str">
        <f t="shared" si="15"/>
        <v/>
      </c>
      <c r="N114" s="33" t="str">
        <f t="shared" si="16"/>
        <v/>
      </c>
      <c r="O114" s="33" t="str">
        <f>IF($Y114&lt;&gt;1,"",(INDEX(Comenzi!$AK:$AK,$X114)+N(INDEX(Comenzi!$T:$T,$X114)))*$I114/$E114)</f>
        <v/>
      </c>
      <c r="P114" s="35" t="str">
        <f t="shared" si="17"/>
        <v/>
      </c>
      <c r="Q114" s="36" t="str">
        <f t="shared" si="18"/>
        <v/>
      </c>
      <c r="R114" s="37" t="str">
        <f t="shared" si="19"/>
        <v/>
      </c>
      <c r="S114" s="38" t="str">
        <f t="shared" si="20"/>
        <v/>
      </c>
      <c r="T114" s="39" t="str">
        <f t="shared" si="21"/>
        <v/>
      </c>
      <c r="U114" s="40" t="str">
        <f t="shared" si="22"/>
        <v/>
      </c>
      <c r="V114" s="33" t="str">
        <f t="shared" si="23"/>
        <v/>
      </c>
      <c r="W114" s="33" t="str">
        <f t="shared" si="24"/>
        <v/>
      </c>
      <c r="X114" s="41" t="str">
        <f>IF($A114="","",IFERROR(MATCH($A114,Comenzi!$A$9:$A$108,0)+8,""))</f>
        <v/>
      </c>
      <c r="Y114" s="41" t="str">
        <f t="shared" si="25"/>
        <v/>
      </c>
      <c r="Z114" s="42" t="str">
        <f>IF($A114="","",IF($A114="?","Lipseste ID-ul comenzii (col. A din PI Furnizor)",IF(NOT(ISNUMBER($X114)),"ID comanda negasit in foaia Comenzi",IF(N($E114)&lt;=0,"Lipseste cantitatea",IF(N($G114)=0,"Pret unitar lipsa",IF($Y114&lt;&gt;1,"Curs sau moneda marfa lipsa (foaia Comenzi)",IF(INDEX(Comenzi!$AT:$AT,$X114)&lt;&gt;"OK","Avertisment comanda: "&amp;INDEX(Comenzi!$AT:$AT,$X114),"OK")))))))</f>
        <v/>
      </c>
      <c r="AA114" s="43" t="str">
        <f>IF(ISNUMBER($X114),INDEX(Comenzi!$H:$H,$X114),"")</f>
        <v/>
      </c>
      <c r="AB114" s="43" t="str">
        <f>IF(ISNUMBER($X114),INDEX(Comenzi!$I:$I,$X114),"")</f>
        <v/>
      </c>
      <c r="AC114" s="44" t="str">
        <f>IF(ISNUMBER($X114),IF(INDEX(Comenzi!$V:$V,$X114)="",Comenzi!$D$3,INDEX(Comenzi!$V:$V,$X114)),"")</f>
        <v/>
      </c>
      <c r="AD114" s="44" t="str">
        <f>IF(ISNUMBER($X114),IF(INDEX(Comenzi!$U:$U,$X114)="",Comenzi!$D$4,INDEX(Comenzi!$U:$U,$X114)),"")</f>
        <v/>
      </c>
      <c r="AE114" s="45" t="str">
        <f>IF($Y114&lt;&gt;1,"",IF(INDEX(Comenzi!$AM:$AM,$X114)="Greutate",INDEX('PI Furnizor'!$O:$O,ROW()-3),IF(INDEX(Comenzi!$AM:$AM,$X114)="Volum (CBM)",INDEX('PI Furnizor'!$Q:$Q,ROW()-3),IF(INDEX(Comenzi!$AM:$AM,$X114)="Valoare marfa",INDEX('PI Furnizor'!$N:$N,ROW()-3),$E114))))</f>
        <v/>
      </c>
    </row>
    <row r="115" spans="1:31" x14ac:dyDescent="0.3">
      <c r="A115" s="28" t="str">
        <f>IF(COUNTA(INDEX('PI Furnizor'!$A:$E,ROW()-3,0))=0,"",IF(INDEX('PI Furnizor'!$A:$A,ROW()-3)="","?",INDEX('PI Furnizor'!$A:$A,ROW()-3)))</f>
        <v/>
      </c>
      <c r="B115" s="29" t="str">
        <f>IF(ISNUMBER($X115),INDEX(Comenzi!$B:$B,$X115),"")</f>
        <v/>
      </c>
      <c r="C115" s="28" t="str">
        <f>IF($A115="","",INDEX('PI Furnizor'!$B:$B,ROW()-3)&amp;"")</f>
        <v/>
      </c>
      <c r="D115" s="28" t="str">
        <f>IF($A115="","",INDEX('PI Furnizor'!$C:$C,ROW()-3)&amp;"")</f>
        <v/>
      </c>
      <c r="E115" s="30" t="str">
        <f>IF($A115="","",N(INDEX('PI Furnizor'!$D:$D,ROW()-3)))</f>
        <v/>
      </c>
      <c r="F115" s="31" t="str">
        <f>IF(ISNUMBER($X115),INDEX(Comenzi!$G:$G,$X115),"")</f>
        <v/>
      </c>
      <c r="G115" s="32" t="str">
        <f>IF($A115="","",N(INDEX('PI Furnizor'!$E:$E,ROW()-3)))</f>
        <v/>
      </c>
      <c r="H115" s="33" t="str">
        <f t="shared" si="13"/>
        <v/>
      </c>
      <c r="I115" s="34" t="str">
        <f>IF($Y115&lt;&gt;1,"",IFERROR($AE115/INDEX(Comenzi!$AN:$AN,$X115),0))</f>
        <v/>
      </c>
      <c r="J115" s="33" t="str">
        <f>IF($Y115&lt;&gt;1,"",INDEX(Comenzi!$AG:$AG,$X115)*$I115/$E115)</f>
        <v/>
      </c>
      <c r="K115" s="33" t="str">
        <f t="shared" si="14"/>
        <v/>
      </c>
      <c r="L115" s="33" t="str">
        <f>IF($Y115&lt;&gt;1,"",$K115*$AD115+INDEX(Comenzi!$AJ:$AJ,$X115)*$I115/$E115)</f>
        <v/>
      </c>
      <c r="M115" s="33" t="str">
        <f t="shared" si="15"/>
        <v/>
      </c>
      <c r="N115" s="33" t="str">
        <f t="shared" si="16"/>
        <v/>
      </c>
      <c r="O115" s="33" t="str">
        <f>IF($Y115&lt;&gt;1,"",(INDEX(Comenzi!$AK:$AK,$X115)+N(INDEX(Comenzi!$T:$T,$X115)))*$I115/$E115)</f>
        <v/>
      </c>
      <c r="P115" s="35" t="str">
        <f t="shared" si="17"/>
        <v/>
      </c>
      <c r="Q115" s="36" t="str">
        <f t="shared" si="18"/>
        <v/>
      </c>
      <c r="R115" s="37" t="str">
        <f t="shared" si="19"/>
        <v/>
      </c>
      <c r="S115" s="38" t="str">
        <f t="shared" si="20"/>
        <v/>
      </c>
      <c r="T115" s="39" t="str">
        <f t="shared" si="21"/>
        <v/>
      </c>
      <c r="U115" s="40" t="str">
        <f t="shared" si="22"/>
        <v/>
      </c>
      <c r="V115" s="33" t="str">
        <f t="shared" si="23"/>
        <v/>
      </c>
      <c r="W115" s="33" t="str">
        <f t="shared" si="24"/>
        <v/>
      </c>
      <c r="X115" s="41" t="str">
        <f>IF($A115="","",IFERROR(MATCH($A115,Comenzi!$A$9:$A$108,0)+8,""))</f>
        <v/>
      </c>
      <c r="Y115" s="41" t="str">
        <f t="shared" si="25"/>
        <v/>
      </c>
      <c r="Z115" s="42" t="str">
        <f>IF($A115="","",IF($A115="?","Lipseste ID-ul comenzii (col. A din PI Furnizor)",IF(NOT(ISNUMBER($X115)),"ID comanda negasit in foaia Comenzi",IF(N($E115)&lt;=0,"Lipseste cantitatea",IF(N($G115)=0,"Pret unitar lipsa",IF($Y115&lt;&gt;1,"Curs sau moneda marfa lipsa (foaia Comenzi)",IF(INDEX(Comenzi!$AT:$AT,$X115)&lt;&gt;"OK","Avertisment comanda: "&amp;INDEX(Comenzi!$AT:$AT,$X115),"OK")))))))</f>
        <v/>
      </c>
      <c r="AA115" s="43" t="str">
        <f>IF(ISNUMBER($X115),INDEX(Comenzi!$H:$H,$X115),"")</f>
        <v/>
      </c>
      <c r="AB115" s="43" t="str">
        <f>IF(ISNUMBER($X115),INDEX(Comenzi!$I:$I,$X115),"")</f>
        <v/>
      </c>
      <c r="AC115" s="44" t="str">
        <f>IF(ISNUMBER($X115),IF(INDEX(Comenzi!$V:$V,$X115)="",Comenzi!$D$3,INDEX(Comenzi!$V:$V,$X115)),"")</f>
        <v/>
      </c>
      <c r="AD115" s="44" t="str">
        <f>IF(ISNUMBER($X115),IF(INDEX(Comenzi!$U:$U,$X115)="",Comenzi!$D$4,INDEX(Comenzi!$U:$U,$X115)),"")</f>
        <v/>
      </c>
      <c r="AE115" s="45" t="str">
        <f>IF($Y115&lt;&gt;1,"",IF(INDEX(Comenzi!$AM:$AM,$X115)="Greutate",INDEX('PI Furnizor'!$O:$O,ROW()-3),IF(INDEX(Comenzi!$AM:$AM,$X115)="Volum (CBM)",INDEX('PI Furnizor'!$Q:$Q,ROW()-3),IF(INDEX(Comenzi!$AM:$AM,$X115)="Valoare marfa",INDEX('PI Furnizor'!$N:$N,ROW()-3),$E115))))</f>
        <v/>
      </c>
    </row>
    <row r="116" spans="1:31" x14ac:dyDescent="0.3">
      <c r="A116" s="28" t="str">
        <f>IF(COUNTA(INDEX('PI Furnizor'!$A:$E,ROW()-3,0))=0,"",IF(INDEX('PI Furnizor'!$A:$A,ROW()-3)="","?",INDEX('PI Furnizor'!$A:$A,ROW()-3)))</f>
        <v/>
      </c>
      <c r="B116" s="29" t="str">
        <f>IF(ISNUMBER($X116),INDEX(Comenzi!$B:$B,$X116),"")</f>
        <v/>
      </c>
      <c r="C116" s="28" t="str">
        <f>IF($A116="","",INDEX('PI Furnizor'!$B:$B,ROW()-3)&amp;"")</f>
        <v/>
      </c>
      <c r="D116" s="28" t="str">
        <f>IF($A116="","",INDEX('PI Furnizor'!$C:$C,ROW()-3)&amp;"")</f>
        <v/>
      </c>
      <c r="E116" s="30" t="str">
        <f>IF($A116="","",N(INDEX('PI Furnizor'!$D:$D,ROW()-3)))</f>
        <v/>
      </c>
      <c r="F116" s="31" t="str">
        <f>IF(ISNUMBER($X116),INDEX(Comenzi!$G:$G,$X116),"")</f>
        <v/>
      </c>
      <c r="G116" s="32" t="str">
        <f>IF($A116="","",N(INDEX('PI Furnizor'!$E:$E,ROW()-3)))</f>
        <v/>
      </c>
      <c r="H116" s="33" t="str">
        <f t="shared" si="13"/>
        <v/>
      </c>
      <c r="I116" s="34" t="str">
        <f>IF($Y116&lt;&gt;1,"",IFERROR($AE116/INDEX(Comenzi!$AN:$AN,$X116),0))</f>
        <v/>
      </c>
      <c r="J116" s="33" t="str">
        <f>IF($Y116&lt;&gt;1,"",INDEX(Comenzi!$AG:$AG,$X116)*$I116/$E116)</f>
        <v/>
      </c>
      <c r="K116" s="33" t="str">
        <f t="shared" si="14"/>
        <v/>
      </c>
      <c r="L116" s="33" t="str">
        <f>IF($Y116&lt;&gt;1,"",$K116*$AD116+INDEX(Comenzi!$AJ:$AJ,$X116)*$I116/$E116)</f>
        <v/>
      </c>
      <c r="M116" s="33" t="str">
        <f t="shared" si="15"/>
        <v/>
      </c>
      <c r="N116" s="33" t="str">
        <f t="shared" si="16"/>
        <v/>
      </c>
      <c r="O116" s="33" t="str">
        <f>IF($Y116&lt;&gt;1,"",(INDEX(Comenzi!$AK:$AK,$X116)+N(INDEX(Comenzi!$T:$T,$X116)))*$I116/$E116)</f>
        <v/>
      </c>
      <c r="P116" s="35" t="str">
        <f t="shared" si="17"/>
        <v/>
      </c>
      <c r="Q116" s="36" t="str">
        <f t="shared" si="18"/>
        <v/>
      </c>
      <c r="R116" s="37" t="str">
        <f t="shared" si="19"/>
        <v/>
      </c>
      <c r="S116" s="38" t="str">
        <f t="shared" si="20"/>
        <v/>
      </c>
      <c r="T116" s="39" t="str">
        <f t="shared" si="21"/>
        <v/>
      </c>
      <c r="U116" s="40" t="str">
        <f t="shared" si="22"/>
        <v/>
      </c>
      <c r="V116" s="33" t="str">
        <f t="shared" si="23"/>
        <v/>
      </c>
      <c r="W116" s="33" t="str">
        <f t="shared" si="24"/>
        <v/>
      </c>
      <c r="X116" s="41" t="str">
        <f>IF($A116="","",IFERROR(MATCH($A116,Comenzi!$A$9:$A$108,0)+8,""))</f>
        <v/>
      </c>
      <c r="Y116" s="41" t="str">
        <f t="shared" si="25"/>
        <v/>
      </c>
      <c r="Z116" s="42" t="str">
        <f>IF($A116="","",IF($A116="?","Lipseste ID-ul comenzii (col. A din PI Furnizor)",IF(NOT(ISNUMBER($X116)),"ID comanda negasit in foaia Comenzi",IF(N($E116)&lt;=0,"Lipseste cantitatea",IF(N($G116)=0,"Pret unitar lipsa",IF($Y116&lt;&gt;1,"Curs sau moneda marfa lipsa (foaia Comenzi)",IF(INDEX(Comenzi!$AT:$AT,$X116)&lt;&gt;"OK","Avertisment comanda: "&amp;INDEX(Comenzi!$AT:$AT,$X116),"OK")))))))</f>
        <v/>
      </c>
      <c r="AA116" s="43" t="str">
        <f>IF(ISNUMBER($X116),INDEX(Comenzi!$H:$H,$X116),"")</f>
        <v/>
      </c>
      <c r="AB116" s="43" t="str">
        <f>IF(ISNUMBER($X116),INDEX(Comenzi!$I:$I,$X116),"")</f>
        <v/>
      </c>
      <c r="AC116" s="44" t="str">
        <f>IF(ISNUMBER($X116),IF(INDEX(Comenzi!$V:$V,$X116)="",Comenzi!$D$3,INDEX(Comenzi!$V:$V,$X116)),"")</f>
        <v/>
      </c>
      <c r="AD116" s="44" t="str">
        <f>IF(ISNUMBER($X116),IF(INDEX(Comenzi!$U:$U,$X116)="",Comenzi!$D$4,INDEX(Comenzi!$U:$U,$X116)),"")</f>
        <v/>
      </c>
      <c r="AE116" s="45" t="str">
        <f>IF($Y116&lt;&gt;1,"",IF(INDEX(Comenzi!$AM:$AM,$X116)="Greutate",INDEX('PI Furnizor'!$O:$O,ROW()-3),IF(INDEX(Comenzi!$AM:$AM,$X116)="Volum (CBM)",INDEX('PI Furnizor'!$Q:$Q,ROW()-3),IF(INDEX(Comenzi!$AM:$AM,$X116)="Valoare marfa",INDEX('PI Furnizor'!$N:$N,ROW()-3),$E116))))</f>
        <v/>
      </c>
    </row>
    <row r="117" spans="1:31" x14ac:dyDescent="0.3">
      <c r="A117" s="28" t="str">
        <f>IF(COUNTA(INDEX('PI Furnizor'!$A:$E,ROW()-3,0))=0,"",IF(INDEX('PI Furnizor'!$A:$A,ROW()-3)="","?",INDEX('PI Furnizor'!$A:$A,ROW()-3)))</f>
        <v/>
      </c>
      <c r="B117" s="29" t="str">
        <f>IF(ISNUMBER($X117),INDEX(Comenzi!$B:$B,$X117),"")</f>
        <v/>
      </c>
      <c r="C117" s="28" t="str">
        <f>IF($A117="","",INDEX('PI Furnizor'!$B:$B,ROW()-3)&amp;"")</f>
        <v/>
      </c>
      <c r="D117" s="28" t="str">
        <f>IF($A117="","",INDEX('PI Furnizor'!$C:$C,ROW()-3)&amp;"")</f>
        <v/>
      </c>
      <c r="E117" s="30" t="str">
        <f>IF($A117="","",N(INDEX('PI Furnizor'!$D:$D,ROW()-3)))</f>
        <v/>
      </c>
      <c r="F117" s="31" t="str">
        <f>IF(ISNUMBER($X117),INDEX(Comenzi!$G:$G,$X117),"")</f>
        <v/>
      </c>
      <c r="G117" s="32" t="str">
        <f>IF($A117="","",N(INDEX('PI Furnizor'!$E:$E,ROW()-3)))</f>
        <v/>
      </c>
      <c r="H117" s="33" t="str">
        <f t="shared" si="13"/>
        <v/>
      </c>
      <c r="I117" s="34" t="str">
        <f>IF($Y117&lt;&gt;1,"",IFERROR($AE117/INDEX(Comenzi!$AN:$AN,$X117),0))</f>
        <v/>
      </c>
      <c r="J117" s="33" t="str">
        <f>IF($Y117&lt;&gt;1,"",INDEX(Comenzi!$AG:$AG,$X117)*$I117/$E117)</f>
        <v/>
      </c>
      <c r="K117" s="33" t="str">
        <f t="shared" si="14"/>
        <v/>
      </c>
      <c r="L117" s="33" t="str">
        <f>IF($Y117&lt;&gt;1,"",$K117*$AD117+INDEX(Comenzi!$AJ:$AJ,$X117)*$I117/$E117)</f>
        <v/>
      </c>
      <c r="M117" s="33" t="str">
        <f t="shared" si="15"/>
        <v/>
      </c>
      <c r="N117" s="33" t="str">
        <f t="shared" si="16"/>
        <v/>
      </c>
      <c r="O117" s="33" t="str">
        <f>IF($Y117&lt;&gt;1,"",(INDEX(Comenzi!$AK:$AK,$X117)+N(INDEX(Comenzi!$T:$T,$X117)))*$I117/$E117)</f>
        <v/>
      </c>
      <c r="P117" s="35" t="str">
        <f t="shared" si="17"/>
        <v/>
      </c>
      <c r="Q117" s="36" t="str">
        <f t="shared" si="18"/>
        <v/>
      </c>
      <c r="R117" s="37" t="str">
        <f t="shared" si="19"/>
        <v/>
      </c>
      <c r="S117" s="38" t="str">
        <f t="shared" si="20"/>
        <v/>
      </c>
      <c r="T117" s="39" t="str">
        <f t="shared" si="21"/>
        <v/>
      </c>
      <c r="U117" s="40" t="str">
        <f t="shared" si="22"/>
        <v/>
      </c>
      <c r="V117" s="33" t="str">
        <f t="shared" si="23"/>
        <v/>
      </c>
      <c r="W117" s="33" t="str">
        <f t="shared" si="24"/>
        <v/>
      </c>
      <c r="X117" s="41" t="str">
        <f>IF($A117="","",IFERROR(MATCH($A117,Comenzi!$A$9:$A$108,0)+8,""))</f>
        <v/>
      </c>
      <c r="Y117" s="41" t="str">
        <f t="shared" si="25"/>
        <v/>
      </c>
      <c r="Z117" s="42" t="str">
        <f>IF($A117="","",IF($A117="?","Lipseste ID-ul comenzii (col. A din PI Furnizor)",IF(NOT(ISNUMBER($X117)),"ID comanda negasit in foaia Comenzi",IF(N($E117)&lt;=0,"Lipseste cantitatea",IF(N($G117)=0,"Pret unitar lipsa",IF($Y117&lt;&gt;1,"Curs sau moneda marfa lipsa (foaia Comenzi)",IF(INDEX(Comenzi!$AT:$AT,$X117)&lt;&gt;"OK","Avertisment comanda: "&amp;INDEX(Comenzi!$AT:$AT,$X117),"OK")))))))</f>
        <v/>
      </c>
      <c r="AA117" s="43" t="str">
        <f>IF(ISNUMBER($X117),INDEX(Comenzi!$H:$H,$X117),"")</f>
        <v/>
      </c>
      <c r="AB117" s="43" t="str">
        <f>IF(ISNUMBER($X117),INDEX(Comenzi!$I:$I,$X117),"")</f>
        <v/>
      </c>
      <c r="AC117" s="44" t="str">
        <f>IF(ISNUMBER($X117),IF(INDEX(Comenzi!$V:$V,$X117)="",Comenzi!$D$3,INDEX(Comenzi!$V:$V,$X117)),"")</f>
        <v/>
      </c>
      <c r="AD117" s="44" t="str">
        <f>IF(ISNUMBER($X117),IF(INDEX(Comenzi!$U:$U,$X117)="",Comenzi!$D$4,INDEX(Comenzi!$U:$U,$X117)),"")</f>
        <v/>
      </c>
      <c r="AE117" s="45" t="str">
        <f>IF($Y117&lt;&gt;1,"",IF(INDEX(Comenzi!$AM:$AM,$X117)="Greutate",INDEX('PI Furnizor'!$O:$O,ROW()-3),IF(INDEX(Comenzi!$AM:$AM,$X117)="Volum (CBM)",INDEX('PI Furnizor'!$Q:$Q,ROW()-3),IF(INDEX(Comenzi!$AM:$AM,$X117)="Valoare marfa",INDEX('PI Furnizor'!$N:$N,ROW()-3),$E117))))</f>
        <v/>
      </c>
    </row>
    <row r="118" spans="1:31" x14ac:dyDescent="0.3">
      <c r="A118" s="28" t="str">
        <f>IF(COUNTA(INDEX('PI Furnizor'!$A:$E,ROW()-3,0))=0,"",IF(INDEX('PI Furnizor'!$A:$A,ROW()-3)="","?",INDEX('PI Furnizor'!$A:$A,ROW()-3)))</f>
        <v/>
      </c>
      <c r="B118" s="29" t="str">
        <f>IF(ISNUMBER($X118),INDEX(Comenzi!$B:$B,$X118),"")</f>
        <v/>
      </c>
      <c r="C118" s="28" t="str">
        <f>IF($A118="","",INDEX('PI Furnizor'!$B:$B,ROW()-3)&amp;"")</f>
        <v/>
      </c>
      <c r="D118" s="28" t="str">
        <f>IF($A118="","",INDEX('PI Furnizor'!$C:$C,ROW()-3)&amp;"")</f>
        <v/>
      </c>
      <c r="E118" s="30" t="str">
        <f>IF($A118="","",N(INDEX('PI Furnizor'!$D:$D,ROW()-3)))</f>
        <v/>
      </c>
      <c r="F118" s="31" t="str">
        <f>IF(ISNUMBER($X118),INDEX(Comenzi!$G:$G,$X118),"")</f>
        <v/>
      </c>
      <c r="G118" s="32" t="str">
        <f>IF($A118="","",N(INDEX('PI Furnizor'!$E:$E,ROW()-3)))</f>
        <v/>
      </c>
      <c r="H118" s="33" t="str">
        <f t="shared" si="13"/>
        <v/>
      </c>
      <c r="I118" s="34" t="str">
        <f>IF($Y118&lt;&gt;1,"",IFERROR($AE118/INDEX(Comenzi!$AN:$AN,$X118),0))</f>
        <v/>
      </c>
      <c r="J118" s="33" t="str">
        <f>IF($Y118&lt;&gt;1,"",INDEX(Comenzi!$AG:$AG,$X118)*$I118/$E118)</f>
        <v/>
      </c>
      <c r="K118" s="33" t="str">
        <f t="shared" si="14"/>
        <v/>
      </c>
      <c r="L118" s="33" t="str">
        <f>IF($Y118&lt;&gt;1,"",$K118*$AD118+INDEX(Comenzi!$AJ:$AJ,$X118)*$I118/$E118)</f>
        <v/>
      </c>
      <c r="M118" s="33" t="str">
        <f t="shared" si="15"/>
        <v/>
      </c>
      <c r="N118" s="33" t="str">
        <f t="shared" si="16"/>
        <v/>
      </c>
      <c r="O118" s="33" t="str">
        <f>IF($Y118&lt;&gt;1,"",(INDEX(Comenzi!$AK:$AK,$X118)+N(INDEX(Comenzi!$T:$T,$X118)))*$I118/$E118)</f>
        <v/>
      </c>
      <c r="P118" s="35" t="str">
        <f t="shared" si="17"/>
        <v/>
      </c>
      <c r="Q118" s="36" t="str">
        <f t="shared" si="18"/>
        <v/>
      </c>
      <c r="R118" s="37" t="str">
        <f t="shared" si="19"/>
        <v/>
      </c>
      <c r="S118" s="38" t="str">
        <f t="shared" si="20"/>
        <v/>
      </c>
      <c r="T118" s="39" t="str">
        <f t="shared" si="21"/>
        <v/>
      </c>
      <c r="U118" s="40" t="str">
        <f t="shared" si="22"/>
        <v/>
      </c>
      <c r="V118" s="33" t="str">
        <f t="shared" si="23"/>
        <v/>
      </c>
      <c r="W118" s="33" t="str">
        <f t="shared" si="24"/>
        <v/>
      </c>
      <c r="X118" s="41" t="str">
        <f>IF($A118="","",IFERROR(MATCH($A118,Comenzi!$A$9:$A$108,0)+8,""))</f>
        <v/>
      </c>
      <c r="Y118" s="41" t="str">
        <f t="shared" si="25"/>
        <v/>
      </c>
      <c r="Z118" s="42" t="str">
        <f>IF($A118="","",IF($A118="?","Lipseste ID-ul comenzii (col. A din PI Furnizor)",IF(NOT(ISNUMBER($X118)),"ID comanda negasit in foaia Comenzi",IF(N($E118)&lt;=0,"Lipseste cantitatea",IF(N($G118)=0,"Pret unitar lipsa",IF($Y118&lt;&gt;1,"Curs sau moneda marfa lipsa (foaia Comenzi)",IF(INDEX(Comenzi!$AT:$AT,$X118)&lt;&gt;"OK","Avertisment comanda: "&amp;INDEX(Comenzi!$AT:$AT,$X118),"OK")))))))</f>
        <v/>
      </c>
      <c r="AA118" s="43" t="str">
        <f>IF(ISNUMBER($X118),INDEX(Comenzi!$H:$H,$X118),"")</f>
        <v/>
      </c>
      <c r="AB118" s="43" t="str">
        <f>IF(ISNUMBER($X118),INDEX(Comenzi!$I:$I,$X118),"")</f>
        <v/>
      </c>
      <c r="AC118" s="44" t="str">
        <f>IF(ISNUMBER($X118),IF(INDEX(Comenzi!$V:$V,$X118)="",Comenzi!$D$3,INDEX(Comenzi!$V:$V,$X118)),"")</f>
        <v/>
      </c>
      <c r="AD118" s="44" t="str">
        <f>IF(ISNUMBER($X118),IF(INDEX(Comenzi!$U:$U,$X118)="",Comenzi!$D$4,INDEX(Comenzi!$U:$U,$X118)),"")</f>
        <v/>
      </c>
      <c r="AE118" s="45" t="str">
        <f>IF($Y118&lt;&gt;1,"",IF(INDEX(Comenzi!$AM:$AM,$X118)="Greutate",INDEX('PI Furnizor'!$O:$O,ROW()-3),IF(INDEX(Comenzi!$AM:$AM,$X118)="Volum (CBM)",INDEX('PI Furnizor'!$Q:$Q,ROW()-3),IF(INDEX(Comenzi!$AM:$AM,$X118)="Valoare marfa",INDEX('PI Furnizor'!$N:$N,ROW()-3),$E118))))</f>
        <v/>
      </c>
    </row>
    <row r="119" spans="1:31" x14ac:dyDescent="0.3">
      <c r="A119" s="28" t="str">
        <f>IF(COUNTA(INDEX('PI Furnizor'!$A:$E,ROW()-3,0))=0,"",IF(INDEX('PI Furnizor'!$A:$A,ROW()-3)="","?",INDEX('PI Furnizor'!$A:$A,ROW()-3)))</f>
        <v/>
      </c>
      <c r="B119" s="29" t="str">
        <f>IF(ISNUMBER($X119),INDEX(Comenzi!$B:$B,$X119),"")</f>
        <v/>
      </c>
      <c r="C119" s="28" t="str">
        <f>IF($A119="","",INDEX('PI Furnizor'!$B:$B,ROW()-3)&amp;"")</f>
        <v/>
      </c>
      <c r="D119" s="28" t="str">
        <f>IF($A119="","",INDEX('PI Furnizor'!$C:$C,ROW()-3)&amp;"")</f>
        <v/>
      </c>
      <c r="E119" s="30" t="str">
        <f>IF($A119="","",N(INDEX('PI Furnizor'!$D:$D,ROW()-3)))</f>
        <v/>
      </c>
      <c r="F119" s="31" t="str">
        <f>IF(ISNUMBER($X119),INDEX(Comenzi!$G:$G,$X119),"")</f>
        <v/>
      </c>
      <c r="G119" s="32" t="str">
        <f>IF($A119="","",N(INDEX('PI Furnizor'!$E:$E,ROW()-3)))</f>
        <v/>
      </c>
      <c r="H119" s="33" t="str">
        <f t="shared" si="13"/>
        <v/>
      </c>
      <c r="I119" s="34" t="str">
        <f>IF($Y119&lt;&gt;1,"",IFERROR($AE119/INDEX(Comenzi!$AN:$AN,$X119),0))</f>
        <v/>
      </c>
      <c r="J119" s="33" t="str">
        <f>IF($Y119&lt;&gt;1,"",INDEX(Comenzi!$AG:$AG,$X119)*$I119/$E119)</f>
        <v/>
      </c>
      <c r="K119" s="33" t="str">
        <f t="shared" si="14"/>
        <v/>
      </c>
      <c r="L119" s="33" t="str">
        <f>IF($Y119&lt;&gt;1,"",$K119*$AD119+INDEX(Comenzi!$AJ:$AJ,$X119)*$I119/$E119)</f>
        <v/>
      </c>
      <c r="M119" s="33" t="str">
        <f t="shared" si="15"/>
        <v/>
      </c>
      <c r="N119" s="33" t="str">
        <f t="shared" si="16"/>
        <v/>
      </c>
      <c r="O119" s="33" t="str">
        <f>IF($Y119&lt;&gt;1,"",(INDEX(Comenzi!$AK:$AK,$X119)+N(INDEX(Comenzi!$T:$T,$X119)))*$I119/$E119)</f>
        <v/>
      </c>
      <c r="P119" s="35" t="str">
        <f t="shared" si="17"/>
        <v/>
      </c>
      <c r="Q119" s="36" t="str">
        <f t="shared" si="18"/>
        <v/>
      </c>
      <c r="R119" s="37" t="str">
        <f t="shared" si="19"/>
        <v/>
      </c>
      <c r="S119" s="38" t="str">
        <f t="shared" si="20"/>
        <v/>
      </c>
      <c r="T119" s="39" t="str">
        <f t="shared" si="21"/>
        <v/>
      </c>
      <c r="U119" s="40" t="str">
        <f t="shared" si="22"/>
        <v/>
      </c>
      <c r="V119" s="33" t="str">
        <f t="shared" si="23"/>
        <v/>
      </c>
      <c r="W119" s="33" t="str">
        <f t="shared" si="24"/>
        <v/>
      </c>
      <c r="X119" s="41" t="str">
        <f>IF($A119="","",IFERROR(MATCH($A119,Comenzi!$A$9:$A$108,0)+8,""))</f>
        <v/>
      </c>
      <c r="Y119" s="41" t="str">
        <f t="shared" si="25"/>
        <v/>
      </c>
      <c r="Z119" s="42" t="str">
        <f>IF($A119="","",IF($A119="?","Lipseste ID-ul comenzii (col. A din PI Furnizor)",IF(NOT(ISNUMBER($X119)),"ID comanda negasit in foaia Comenzi",IF(N($E119)&lt;=0,"Lipseste cantitatea",IF(N($G119)=0,"Pret unitar lipsa",IF($Y119&lt;&gt;1,"Curs sau moneda marfa lipsa (foaia Comenzi)",IF(INDEX(Comenzi!$AT:$AT,$X119)&lt;&gt;"OK","Avertisment comanda: "&amp;INDEX(Comenzi!$AT:$AT,$X119),"OK")))))))</f>
        <v/>
      </c>
      <c r="AA119" s="43" t="str">
        <f>IF(ISNUMBER($X119),INDEX(Comenzi!$H:$H,$X119),"")</f>
        <v/>
      </c>
      <c r="AB119" s="43" t="str">
        <f>IF(ISNUMBER($X119),INDEX(Comenzi!$I:$I,$X119),"")</f>
        <v/>
      </c>
      <c r="AC119" s="44" t="str">
        <f>IF(ISNUMBER($X119),IF(INDEX(Comenzi!$V:$V,$X119)="",Comenzi!$D$3,INDEX(Comenzi!$V:$V,$X119)),"")</f>
        <v/>
      </c>
      <c r="AD119" s="44" t="str">
        <f>IF(ISNUMBER($X119),IF(INDEX(Comenzi!$U:$U,$X119)="",Comenzi!$D$4,INDEX(Comenzi!$U:$U,$X119)),"")</f>
        <v/>
      </c>
      <c r="AE119" s="45" t="str">
        <f>IF($Y119&lt;&gt;1,"",IF(INDEX(Comenzi!$AM:$AM,$X119)="Greutate",INDEX('PI Furnizor'!$O:$O,ROW()-3),IF(INDEX(Comenzi!$AM:$AM,$X119)="Volum (CBM)",INDEX('PI Furnizor'!$Q:$Q,ROW()-3),IF(INDEX(Comenzi!$AM:$AM,$X119)="Valoare marfa",INDEX('PI Furnizor'!$N:$N,ROW()-3),$E119))))</f>
        <v/>
      </c>
    </row>
    <row r="120" spans="1:31" x14ac:dyDescent="0.3">
      <c r="A120" s="28" t="str">
        <f>IF(COUNTA(INDEX('PI Furnizor'!$A:$E,ROW()-3,0))=0,"",IF(INDEX('PI Furnizor'!$A:$A,ROW()-3)="","?",INDEX('PI Furnizor'!$A:$A,ROW()-3)))</f>
        <v/>
      </c>
      <c r="B120" s="29" t="str">
        <f>IF(ISNUMBER($X120),INDEX(Comenzi!$B:$B,$X120),"")</f>
        <v/>
      </c>
      <c r="C120" s="28" t="str">
        <f>IF($A120="","",INDEX('PI Furnizor'!$B:$B,ROW()-3)&amp;"")</f>
        <v/>
      </c>
      <c r="D120" s="28" t="str">
        <f>IF($A120="","",INDEX('PI Furnizor'!$C:$C,ROW()-3)&amp;"")</f>
        <v/>
      </c>
      <c r="E120" s="30" t="str">
        <f>IF($A120="","",N(INDEX('PI Furnizor'!$D:$D,ROW()-3)))</f>
        <v/>
      </c>
      <c r="F120" s="31" t="str">
        <f>IF(ISNUMBER($X120),INDEX(Comenzi!$G:$G,$X120),"")</f>
        <v/>
      </c>
      <c r="G120" s="32" t="str">
        <f>IF($A120="","",N(INDEX('PI Furnizor'!$E:$E,ROW()-3)))</f>
        <v/>
      </c>
      <c r="H120" s="33" t="str">
        <f t="shared" si="13"/>
        <v/>
      </c>
      <c r="I120" s="34" t="str">
        <f>IF($Y120&lt;&gt;1,"",IFERROR($AE120/INDEX(Comenzi!$AN:$AN,$X120),0))</f>
        <v/>
      </c>
      <c r="J120" s="33" t="str">
        <f>IF($Y120&lt;&gt;1,"",INDEX(Comenzi!$AG:$AG,$X120)*$I120/$E120)</f>
        <v/>
      </c>
      <c r="K120" s="33" t="str">
        <f t="shared" si="14"/>
        <v/>
      </c>
      <c r="L120" s="33" t="str">
        <f>IF($Y120&lt;&gt;1,"",$K120*$AD120+INDEX(Comenzi!$AJ:$AJ,$X120)*$I120/$E120)</f>
        <v/>
      </c>
      <c r="M120" s="33" t="str">
        <f t="shared" si="15"/>
        <v/>
      </c>
      <c r="N120" s="33" t="str">
        <f t="shared" si="16"/>
        <v/>
      </c>
      <c r="O120" s="33" t="str">
        <f>IF($Y120&lt;&gt;1,"",(INDEX(Comenzi!$AK:$AK,$X120)+N(INDEX(Comenzi!$T:$T,$X120)))*$I120/$E120)</f>
        <v/>
      </c>
      <c r="P120" s="35" t="str">
        <f t="shared" si="17"/>
        <v/>
      </c>
      <c r="Q120" s="36" t="str">
        <f t="shared" si="18"/>
        <v/>
      </c>
      <c r="R120" s="37" t="str">
        <f t="shared" si="19"/>
        <v/>
      </c>
      <c r="S120" s="38" t="str">
        <f t="shared" si="20"/>
        <v/>
      </c>
      <c r="T120" s="39" t="str">
        <f t="shared" si="21"/>
        <v/>
      </c>
      <c r="U120" s="40" t="str">
        <f t="shared" si="22"/>
        <v/>
      </c>
      <c r="V120" s="33" t="str">
        <f t="shared" si="23"/>
        <v/>
      </c>
      <c r="W120" s="33" t="str">
        <f t="shared" si="24"/>
        <v/>
      </c>
      <c r="X120" s="41" t="str">
        <f>IF($A120="","",IFERROR(MATCH($A120,Comenzi!$A$9:$A$108,0)+8,""))</f>
        <v/>
      </c>
      <c r="Y120" s="41" t="str">
        <f t="shared" si="25"/>
        <v/>
      </c>
      <c r="Z120" s="42" t="str">
        <f>IF($A120="","",IF($A120="?","Lipseste ID-ul comenzii (col. A din PI Furnizor)",IF(NOT(ISNUMBER($X120)),"ID comanda negasit in foaia Comenzi",IF(N($E120)&lt;=0,"Lipseste cantitatea",IF(N($G120)=0,"Pret unitar lipsa",IF($Y120&lt;&gt;1,"Curs sau moneda marfa lipsa (foaia Comenzi)",IF(INDEX(Comenzi!$AT:$AT,$X120)&lt;&gt;"OK","Avertisment comanda: "&amp;INDEX(Comenzi!$AT:$AT,$X120),"OK")))))))</f>
        <v/>
      </c>
      <c r="AA120" s="43" t="str">
        <f>IF(ISNUMBER($X120),INDEX(Comenzi!$H:$H,$X120),"")</f>
        <v/>
      </c>
      <c r="AB120" s="43" t="str">
        <f>IF(ISNUMBER($X120),INDEX(Comenzi!$I:$I,$X120),"")</f>
        <v/>
      </c>
      <c r="AC120" s="44" t="str">
        <f>IF(ISNUMBER($X120),IF(INDEX(Comenzi!$V:$V,$X120)="",Comenzi!$D$3,INDEX(Comenzi!$V:$V,$X120)),"")</f>
        <v/>
      </c>
      <c r="AD120" s="44" t="str">
        <f>IF(ISNUMBER($X120),IF(INDEX(Comenzi!$U:$U,$X120)="",Comenzi!$D$4,INDEX(Comenzi!$U:$U,$X120)),"")</f>
        <v/>
      </c>
      <c r="AE120" s="45" t="str">
        <f>IF($Y120&lt;&gt;1,"",IF(INDEX(Comenzi!$AM:$AM,$X120)="Greutate",INDEX('PI Furnizor'!$O:$O,ROW()-3),IF(INDEX(Comenzi!$AM:$AM,$X120)="Volum (CBM)",INDEX('PI Furnizor'!$Q:$Q,ROW()-3),IF(INDEX(Comenzi!$AM:$AM,$X120)="Valoare marfa",INDEX('PI Furnizor'!$N:$N,ROW()-3),$E120))))</f>
        <v/>
      </c>
    </row>
    <row r="121" spans="1:31" x14ac:dyDescent="0.3">
      <c r="A121" s="28" t="str">
        <f>IF(COUNTA(INDEX('PI Furnizor'!$A:$E,ROW()-3,0))=0,"",IF(INDEX('PI Furnizor'!$A:$A,ROW()-3)="","?",INDEX('PI Furnizor'!$A:$A,ROW()-3)))</f>
        <v/>
      </c>
      <c r="B121" s="29" t="str">
        <f>IF(ISNUMBER($X121),INDEX(Comenzi!$B:$B,$X121),"")</f>
        <v/>
      </c>
      <c r="C121" s="28" t="str">
        <f>IF($A121="","",INDEX('PI Furnizor'!$B:$B,ROW()-3)&amp;"")</f>
        <v/>
      </c>
      <c r="D121" s="28" t="str">
        <f>IF($A121="","",INDEX('PI Furnizor'!$C:$C,ROW()-3)&amp;"")</f>
        <v/>
      </c>
      <c r="E121" s="30" t="str">
        <f>IF($A121="","",N(INDEX('PI Furnizor'!$D:$D,ROW()-3)))</f>
        <v/>
      </c>
      <c r="F121" s="31" t="str">
        <f>IF(ISNUMBER($X121),INDEX(Comenzi!$G:$G,$X121),"")</f>
        <v/>
      </c>
      <c r="G121" s="32" t="str">
        <f>IF($A121="","",N(INDEX('PI Furnizor'!$E:$E,ROW()-3)))</f>
        <v/>
      </c>
      <c r="H121" s="33" t="str">
        <f t="shared" si="13"/>
        <v/>
      </c>
      <c r="I121" s="34" t="str">
        <f>IF($Y121&lt;&gt;1,"",IFERROR($AE121/INDEX(Comenzi!$AN:$AN,$X121),0))</f>
        <v/>
      </c>
      <c r="J121" s="33" t="str">
        <f>IF($Y121&lt;&gt;1,"",INDEX(Comenzi!$AG:$AG,$X121)*$I121/$E121)</f>
        <v/>
      </c>
      <c r="K121" s="33" t="str">
        <f t="shared" si="14"/>
        <v/>
      </c>
      <c r="L121" s="33" t="str">
        <f>IF($Y121&lt;&gt;1,"",$K121*$AD121+INDEX(Comenzi!$AJ:$AJ,$X121)*$I121/$E121)</f>
        <v/>
      </c>
      <c r="M121" s="33" t="str">
        <f t="shared" si="15"/>
        <v/>
      </c>
      <c r="N121" s="33" t="str">
        <f t="shared" si="16"/>
        <v/>
      </c>
      <c r="O121" s="33" t="str">
        <f>IF($Y121&lt;&gt;1,"",(INDEX(Comenzi!$AK:$AK,$X121)+N(INDEX(Comenzi!$T:$T,$X121)))*$I121/$E121)</f>
        <v/>
      </c>
      <c r="P121" s="35" t="str">
        <f t="shared" si="17"/>
        <v/>
      </c>
      <c r="Q121" s="36" t="str">
        <f t="shared" si="18"/>
        <v/>
      </c>
      <c r="R121" s="37" t="str">
        <f t="shared" si="19"/>
        <v/>
      </c>
      <c r="S121" s="38" t="str">
        <f t="shared" si="20"/>
        <v/>
      </c>
      <c r="T121" s="39" t="str">
        <f t="shared" si="21"/>
        <v/>
      </c>
      <c r="U121" s="40" t="str">
        <f t="shared" si="22"/>
        <v/>
      </c>
      <c r="V121" s="33" t="str">
        <f t="shared" si="23"/>
        <v/>
      </c>
      <c r="W121" s="33" t="str">
        <f t="shared" si="24"/>
        <v/>
      </c>
      <c r="X121" s="41" t="str">
        <f>IF($A121="","",IFERROR(MATCH($A121,Comenzi!$A$9:$A$108,0)+8,""))</f>
        <v/>
      </c>
      <c r="Y121" s="41" t="str">
        <f t="shared" si="25"/>
        <v/>
      </c>
      <c r="Z121" s="42" t="str">
        <f>IF($A121="","",IF($A121="?","Lipseste ID-ul comenzii (col. A din PI Furnizor)",IF(NOT(ISNUMBER($X121)),"ID comanda negasit in foaia Comenzi",IF(N($E121)&lt;=0,"Lipseste cantitatea",IF(N($G121)=0,"Pret unitar lipsa",IF($Y121&lt;&gt;1,"Curs sau moneda marfa lipsa (foaia Comenzi)",IF(INDEX(Comenzi!$AT:$AT,$X121)&lt;&gt;"OK","Avertisment comanda: "&amp;INDEX(Comenzi!$AT:$AT,$X121),"OK")))))))</f>
        <v/>
      </c>
      <c r="AA121" s="43" t="str">
        <f>IF(ISNUMBER($X121),INDEX(Comenzi!$H:$H,$X121),"")</f>
        <v/>
      </c>
      <c r="AB121" s="43" t="str">
        <f>IF(ISNUMBER($X121),INDEX(Comenzi!$I:$I,$X121),"")</f>
        <v/>
      </c>
      <c r="AC121" s="44" t="str">
        <f>IF(ISNUMBER($X121),IF(INDEX(Comenzi!$V:$V,$X121)="",Comenzi!$D$3,INDEX(Comenzi!$V:$V,$X121)),"")</f>
        <v/>
      </c>
      <c r="AD121" s="44" t="str">
        <f>IF(ISNUMBER($X121),IF(INDEX(Comenzi!$U:$U,$X121)="",Comenzi!$D$4,INDEX(Comenzi!$U:$U,$X121)),"")</f>
        <v/>
      </c>
      <c r="AE121" s="45" t="str">
        <f>IF($Y121&lt;&gt;1,"",IF(INDEX(Comenzi!$AM:$AM,$X121)="Greutate",INDEX('PI Furnizor'!$O:$O,ROW()-3),IF(INDEX(Comenzi!$AM:$AM,$X121)="Volum (CBM)",INDEX('PI Furnizor'!$Q:$Q,ROW()-3),IF(INDEX(Comenzi!$AM:$AM,$X121)="Valoare marfa",INDEX('PI Furnizor'!$N:$N,ROW()-3),$E121))))</f>
        <v/>
      </c>
    </row>
    <row r="122" spans="1:31" x14ac:dyDescent="0.3">
      <c r="A122" s="28" t="str">
        <f>IF(COUNTA(INDEX('PI Furnizor'!$A:$E,ROW()-3,0))=0,"",IF(INDEX('PI Furnizor'!$A:$A,ROW()-3)="","?",INDEX('PI Furnizor'!$A:$A,ROW()-3)))</f>
        <v/>
      </c>
      <c r="B122" s="29" t="str">
        <f>IF(ISNUMBER($X122),INDEX(Comenzi!$B:$B,$X122),"")</f>
        <v/>
      </c>
      <c r="C122" s="28" t="str">
        <f>IF($A122="","",INDEX('PI Furnizor'!$B:$B,ROW()-3)&amp;"")</f>
        <v/>
      </c>
      <c r="D122" s="28" t="str">
        <f>IF($A122="","",INDEX('PI Furnizor'!$C:$C,ROW()-3)&amp;"")</f>
        <v/>
      </c>
      <c r="E122" s="30" t="str">
        <f>IF($A122="","",N(INDEX('PI Furnizor'!$D:$D,ROW()-3)))</f>
        <v/>
      </c>
      <c r="F122" s="31" t="str">
        <f>IF(ISNUMBER($X122),INDEX(Comenzi!$G:$G,$X122),"")</f>
        <v/>
      </c>
      <c r="G122" s="32" t="str">
        <f>IF($A122="","",N(INDEX('PI Furnizor'!$E:$E,ROW()-3)))</f>
        <v/>
      </c>
      <c r="H122" s="33" t="str">
        <f t="shared" si="13"/>
        <v/>
      </c>
      <c r="I122" s="34" t="str">
        <f>IF($Y122&lt;&gt;1,"",IFERROR($AE122/INDEX(Comenzi!$AN:$AN,$X122),0))</f>
        <v/>
      </c>
      <c r="J122" s="33" t="str">
        <f>IF($Y122&lt;&gt;1,"",INDEX(Comenzi!$AG:$AG,$X122)*$I122/$E122)</f>
        <v/>
      </c>
      <c r="K122" s="33" t="str">
        <f t="shared" si="14"/>
        <v/>
      </c>
      <c r="L122" s="33" t="str">
        <f>IF($Y122&lt;&gt;1,"",$K122*$AD122+INDEX(Comenzi!$AJ:$AJ,$X122)*$I122/$E122)</f>
        <v/>
      </c>
      <c r="M122" s="33" t="str">
        <f t="shared" si="15"/>
        <v/>
      </c>
      <c r="N122" s="33" t="str">
        <f t="shared" si="16"/>
        <v/>
      </c>
      <c r="O122" s="33" t="str">
        <f>IF($Y122&lt;&gt;1,"",(INDEX(Comenzi!$AK:$AK,$X122)+N(INDEX(Comenzi!$T:$T,$X122)))*$I122/$E122)</f>
        <v/>
      </c>
      <c r="P122" s="35" t="str">
        <f t="shared" si="17"/>
        <v/>
      </c>
      <c r="Q122" s="36" t="str">
        <f t="shared" si="18"/>
        <v/>
      </c>
      <c r="R122" s="37" t="str">
        <f t="shared" si="19"/>
        <v/>
      </c>
      <c r="S122" s="38" t="str">
        <f t="shared" si="20"/>
        <v/>
      </c>
      <c r="T122" s="39" t="str">
        <f t="shared" si="21"/>
        <v/>
      </c>
      <c r="U122" s="40" t="str">
        <f t="shared" si="22"/>
        <v/>
      </c>
      <c r="V122" s="33" t="str">
        <f t="shared" si="23"/>
        <v/>
      </c>
      <c r="W122" s="33" t="str">
        <f t="shared" si="24"/>
        <v/>
      </c>
      <c r="X122" s="41" t="str">
        <f>IF($A122="","",IFERROR(MATCH($A122,Comenzi!$A$9:$A$108,0)+8,""))</f>
        <v/>
      </c>
      <c r="Y122" s="41" t="str">
        <f t="shared" si="25"/>
        <v/>
      </c>
      <c r="Z122" s="42" t="str">
        <f>IF($A122="","",IF($A122="?","Lipseste ID-ul comenzii (col. A din PI Furnizor)",IF(NOT(ISNUMBER($X122)),"ID comanda negasit in foaia Comenzi",IF(N($E122)&lt;=0,"Lipseste cantitatea",IF(N($G122)=0,"Pret unitar lipsa",IF($Y122&lt;&gt;1,"Curs sau moneda marfa lipsa (foaia Comenzi)",IF(INDEX(Comenzi!$AT:$AT,$X122)&lt;&gt;"OK","Avertisment comanda: "&amp;INDEX(Comenzi!$AT:$AT,$X122),"OK")))))))</f>
        <v/>
      </c>
      <c r="AA122" s="43" t="str">
        <f>IF(ISNUMBER($X122),INDEX(Comenzi!$H:$H,$X122),"")</f>
        <v/>
      </c>
      <c r="AB122" s="43" t="str">
        <f>IF(ISNUMBER($X122),INDEX(Comenzi!$I:$I,$X122),"")</f>
        <v/>
      </c>
      <c r="AC122" s="44" t="str">
        <f>IF(ISNUMBER($X122),IF(INDEX(Comenzi!$V:$V,$X122)="",Comenzi!$D$3,INDEX(Comenzi!$V:$V,$X122)),"")</f>
        <v/>
      </c>
      <c r="AD122" s="44" t="str">
        <f>IF(ISNUMBER($X122),IF(INDEX(Comenzi!$U:$U,$X122)="",Comenzi!$D$4,INDEX(Comenzi!$U:$U,$X122)),"")</f>
        <v/>
      </c>
      <c r="AE122" s="45" t="str">
        <f>IF($Y122&lt;&gt;1,"",IF(INDEX(Comenzi!$AM:$AM,$X122)="Greutate",INDEX('PI Furnizor'!$O:$O,ROW()-3),IF(INDEX(Comenzi!$AM:$AM,$X122)="Volum (CBM)",INDEX('PI Furnizor'!$Q:$Q,ROW()-3),IF(INDEX(Comenzi!$AM:$AM,$X122)="Valoare marfa",INDEX('PI Furnizor'!$N:$N,ROW()-3),$E122))))</f>
        <v/>
      </c>
    </row>
    <row r="123" spans="1:31" x14ac:dyDescent="0.3">
      <c r="A123" s="28" t="str">
        <f>IF(COUNTA(INDEX('PI Furnizor'!$A:$E,ROW()-3,0))=0,"",IF(INDEX('PI Furnizor'!$A:$A,ROW()-3)="","?",INDEX('PI Furnizor'!$A:$A,ROW()-3)))</f>
        <v/>
      </c>
      <c r="B123" s="29" t="str">
        <f>IF(ISNUMBER($X123),INDEX(Comenzi!$B:$B,$X123),"")</f>
        <v/>
      </c>
      <c r="C123" s="28" t="str">
        <f>IF($A123="","",INDEX('PI Furnizor'!$B:$B,ROW()-3)&amp;"")</f>
        <v/>
      </c>
      <c r="D123" s="28" t="str">
        <f>IF($A123="","",INDEX('PI Furnizor'!$C:$C,ROW()-3)&amp;"")</f>
        <v/>
      </c>
      <c r="E123" s="30" t="str">
        <f>IF($A123="","",N(INDEX('PI Furnizor'!$D:$D,ROW()-3)))</f>
        <v/>
      </c>
      <c r="F123" s="31" t="str">
        <f>IF(ISNUMBER($X123),INDEX(Comenzi!$G:$G,$X123),"")</f>
        <v/>
      </c>
      <c r="G123" s="32" t="str">
        <f>IF($A123="","",N(INDEX('PI Furnizor'!$E:$E,ROW()-3)))</f>
        <v/>
      </c>
      <c r="H123" s="33" t="str">
        <f t="shared" si="13"/>
        <v/>
      </c>
      <c r="I123" s="34" t="str">
        <f>IF($Y123&lt;&gt;1,"",IFERROR($AE123/INDEX(Comenzi!$AN:$AN,$X123),0))</f>
        <v/>
      </c>
      <c r="J123" s="33" t="str">
        <f>IF($Y123&lt;&gt;1,"",INDEX(Comenzi!$AG:$AG,$X123)*$I123/$E123)</f>
        <v/>
      </c>
      <c r="K123" s="33" t="str">
        <f t="shared" si="14"/>
        <v/>
      </c>
      <c r="L123" s="33" t="str">
        <f>IF($Y123&lt;&gt;1,"",$K123*$AD123+INDEX(Comenzi!$AJ:$AJ,$X123)*$I123/$E123)</f>
        <v/>
      </c>
      <c r="M123" s="33" t="str">
        <f t="shared" si="15"/>
        <v/>
      </c>
      <c r="N123" s="33" t="str">
        <f t="shared" si="16"/>
        <v/>
      </c>
      <c r="O123" s="33" t="str">
        <f>IF($Y123&lt;&gt;1,"",(INDEX(Comenzi!$AK:$AK,$X123)+N(INDEX(Comenzi!$T:$T,$X123)))*$I123/$E123)</f>
        <v/>
      </c>
      <c r="P123" s="35" t="str">
        <f t="shared" si="17"/>
        <v/>
      </c>
      <c r="Q123" s="36" t="str">
        <f t="shared" si="18"/>
        <v/>
      </c>
      <c r="R123" s="37" t="str">
        <f t="shared" si="19"/>
        <v/>
      </c>
      <c r="S123" s="38" t="str">
        <f t="shared" si="20"/>
        <v/>
      </c>
      <c r="T123" s="39" t="str">
        <f t="shared" si="21"/>
        <v/>
      </c>
      <c r="U123" s="40" t="str">
        <f t="shared" si="22"/>
        <v/>
      </c>
      <c r="V123" s="33" t="str">
        <f t="shared" si="23"/>
        <v/>
      </c>
      <c r="W123" s="33" t="str">
        <f t="shared" si="24"/>
        <v/>
      </c>
      <c r="X123" s="41" t="str">
        <f>IF($A123="","",IFERROR(MATCH($A123,Comenzi!$A$9:$A$108,0)+8,""))</f>
        <v/>
      </c>
      <c r="Y123" s="41" t="str">
        <f t="shared" si="25"/>
        <v/>
      </c>
      <c r="Z123" s="42" t="str">
        <f>IF($A123="","",IF($A123="?","Lipseste ID-ul comenzii (col. A din PI Furnizor)",IF(NOT(ISNUMBER($X123)),"ID comanda negasit in foaia Comenzi",IF(N($E123)&lt;=0,"Lipseste cantitatea",IF(N($G123)=0,"Pret unitar lipsa",IF($Y123&lt;&gt;1,"Curs sau moneda marfa lipsa (foaia Comenzi)",IF(INDEX(Comenzi!$AT:$AT,$X123)&lt;&gt;"OK","Avertisment comanda: "&amp;INDEX(Comenzi!$AT:$AT,$X123),"OK")))))))</f>
        <v/>
      </c>
      <c r="AA123" s="43" t="str">
        <f>IF(ISNUMBER($X123),INDEX(Comenzi!$H:$H,$X123),"")</f>
        <v/>
      </c>
      <c r="AB123" s="43" t="str">
        <f>IF(ISNUMBER($X123),INDEX(Comenzi!$I:$I,$X123),"")</f>
        <v/>
      </c>
      <c r="AC123" s="44" t="str">
        <f>IF(ISNUMBER($X123),IF(INDEX(Comenzi!$V:$V,$X123)="",Comenzi!$D$3,INDEX(Comenzi!$V:$V,$X123)),"")</f>
        <v/>
      </c>
      <c r="AD123" s="44" t="str">
        <f>IF(ISNUMBER($X123),IF(INDEX(Comenzi!$U:$U,$X123)="",Comenzi!$D$4,INDEX(Comenzi!$U:$U,$X123)),"")</f>
        <v/>
      </c>
      <c r="AE123" s="45" t="str">
        <f>IF($Y123&lt;&gt;1,"",IF(INDEX(Comenzi!$AM:$AM,$X123)="Greutate",INDEX('PI Furnizor'!$O:$O,ROW()-3),IF(INDEX(Comenzi!$AM:$AM,$X123)="Volum (CBM)",INDEX('PI Furnizor'!$Q:$Q,ROW()-3),IF(INDEX(Comenzi!$AM:$AM,$X123)="Valoare marfa",INDEX('PI Furnizor'!$N:$N,ROW()-3),$E123))))</f>
        <v/>
      </c>
    </row>
    <row r="124" spans="1:31" x14ac:dyDescent="0.3">
      <c r="A124" s="28" t="str">
        <f>IF(COUNTA(INDEX('PI Furnizor'!$A:$E,ROW()-3,0))=0,"",IF(INDEX('PI Furnizor'!$A:$A,ROW()-3)="","?",INDEX('PI Furnizor'!$A:$A,ROW()-3)))</f>
        <v/>
      </c>
      <c r="B124" s="29" t="str">
        <f>IF(ISNUMBER($X124),INDEX(Comenzi!$B:$B,$X124),"")</f>
        <v/>
      </c>
      <c r="C124" s="28" t="str">
        <f>IF($A124="","",INDEX('PI Furnizor'!$B:$B,ROW()-3)&amp;"")</f>
        <v/>
      </c>
      <c r="D124" s="28" t="str">
        <f>IF($A124="","",INDEX('PI Furnizor'!$C:$C,ROW()-3)&amp;"")</f>
        <v/>
      </c>
      <c r="E124" s="30" t="str">
        <f>IF($A124="","",N(INDEX('PI Furnizor'!$D:$D,ROW()-3)))</f>
        <v/>
      </c>
      <c r="F124" s="31" t="str">
        <f>IF(ISNUMBER($X124),INDEX(Comenzi!$G:$G,$X124),"")</f>
        <v/>
      </c>
      <c r="G124" s="32" t="str">
        <f>IF($A124="","",N(INDEX('PI Furnizor'!$E:$E,ROW()-3)))</f>
        <v/>
      </c>
      <c r="H124" s="33" t="str">
        <f t="shared" si="13"/>
        <v/>
      </c>
      <c r="I124" s="34" t="str">
        <f>IF($Y124&lt;&gt;1,"",IFERROR($AE124/INDEX(Comenzi!$AN:$AN,$X124),0))</f>
        <v/>
      </c>
      <c r="J124" s="33" t="str">
        <f>IF($Y124&lt;&gt;1,"",INDEX(Comenzi!$AG:$AG,$X124)*$I124/$E124)</f>
        <v/>
      </c>
      <c r="K124" s="33" t="str">
        <f t="shared" si="14"/>
        <v/>
      </c>
      <c r="L124" s="33" t="str">
        <f>IF($Y124&lt;&gt;1,"",$K124*$AD124+INDEX(Comenzi!$AJ:$AJ,$X124)*$I124/$E124)</f>
        <v/>
      </c>
      <c r="M124" s="33" t="str">
        <f t="shared" si="15"/>
        <v/>
      </c>
      <c r="N124" s="33" t="str">
        <f t="shared" si="16"/>
        <v/>
      </c>
      <c r="O124" s="33" t="str">
        <f>IF($Y124&lt;&gt;1,"",(INDEX(Comenzi!$AK:$AK,$X124)+N(INDEX(Comenzi!$T:$T,$X124)))*$I124/$E124)</f>
        <v/>
      </c>
      <c r="P124" s="35" t="str">
        <f t="shared" si="17"/>
        <v/>
      </c>
      <c r="Q124" s="36" t="str">
        <f t="shared" si="18"/>
        <v/>
      </c>
      <c r="R124" s="37" t="str">
        <f t="shared" si="19"/>
        <v/>
      </c>
      <c r="S124" s="38" t="str">
        <f t="shared" si="20"/>
        <v/>
      </c>
      <c r="T124" s="39" t="str">
        <f t="shared" si="21"/>
        <v/>
      </c>
      <c r="U124" s="40" t="str">
        <f t="shared" si="22"/>
        <v/>
      </c>
      <c r="V124" s="33" t="str">
        <f t="shared" si="23"/>
        <v/>
      </c>
      <c r="W124" s="33" t="str">
        <f t="shared" si="24"/>
        <v/>
      </c>
      <c r="X124" s="41" t="str">
        <f>IF($A124="","",IFERROR(MATCH($A124,Comenzi!$A$9:$A$108,0)+8,""))</f>
        <v/>
      </c>
      <c r="Y124" s="41" t="str">
        <f t="shared" si="25"/>
        <v/>
      </c>
      <c r="Z124" s="42" t="str">
        <f>IF($A124="","",IF($A124="?","Lipseste ID-ul comenzii (col. A din PI Furnizor)",IF(NOT(ISNUMBER($X124)),"ID comanda negasit in foaia Comenzi",IF(N($E124)&lt;=0,"Lipseste cantitatea",IF(N($G124)=0,"Pret unitar lipsa",IF($Y124&lt;&gt;1,"Curs sau moneda marfa lipsa (foaia Comenzi)",IF(INDEX(Comenzi!$AT:$AT,$X124)&lt;&gt;"OK","Avertisment comanda: "&amp;INDEX(Comenzi!$AT:$AT,$X124),"OK")))))))</f>
        <v/>
      </c>
      <c r="AA124" s="43" t="str">
        <f>IF(ISNUMBER($X124),INDEX(Comenzi!$H:$H,$X124),"")</f>
        <v/>
      </c>
      <c r="AB124" s="43" t="str">
        <f>IF(ISNUMBER($X124),INDEX(Comenzi!$I:$I,$X124),"")</f>
        <v/>
      </c>
      <c r="AC124" s="44" t="str">
        <f>IF(ISNUMBER($X124),IF(INDEX(Comenzi!$V:$V,$X124)="",Comenzi!$D$3,INDEX(Comenzi!$V:$V,$X124)),"")</f>
        <v/>
      </c>
      <c r="AD124" s="44" t="str">
        <f>IF(ISNUMBER($X124),IF(INDEX(Comenzi!$U:$U,$X124)="",Comenzi!$D$4,INDEX(Comenzi!$U:$U,$X124)),"")</f>
        <v/>
      </c>
      <c r="AE124" s="45" t="str">
        <f>IF($Y124&lt;&gt;1,"",IF(INDEX(Comenzi!$AM:$AM,$X124)="Greutate",INDEX('PI Furnizor'!$O:$O,ROW()-3),IF(INDEX(Comenzi!$AM:$AM,$X124)="Volum (CBM)",INDEX('PI Furnizor'!$Q:$Q,ROW()-3),IF(INDEX(Comenzi!$AM:$AM,$X124)="Valoare marfa",INDEX('PI Furnizor'!$N:$N,ROW()-3),$E124))))</f>
        <v/>
      </c>
    </row>
    <row r="125" spans="1:31" x14ac:dyDescent="0.3">
      <c r="A125" s="28" t="str">
        <f>IF(COUNTA(INDEX('PI Furnizor'!$A:$E,ROW()-3,0))=0,"",IF(INDEX('PI Furnizor'!$A:$A,ROW()-3)="","?",INDEX('PI Furnizor'!$A:$A,ROW()-3)))</f>
        <v/>
      </c>
      <c r="B125" s="29" t="str">
        <f>IF(ISNUMBER($X125),INDEX(Comenzi!$B:$B,$X125),"")</f>
        <v/>
      </c>
      <c r="C125" s="28" t="str">
        <f>IF($A125="","",INDEX('PI Furnizor'!$B:$B,ROW()-3)&amp;"")</f>
        <v/>
      </c>
      <c r="D125" s="28" t="str">
        <f>IF($A125="","",INDEX('PI Furnizor'!$C:$C,ROW()-3)&amp;"")</f>
        <v/>
      </c>
      <c r="E125" s="30" t="str">
        <f>IF($A125="","",N(INDEX('PI Furnizor'!$D:$D,ROW()-3)))</f>
        <v/>
      </c>
      <c r="F125" s="31" t="str">
        <f>IF(ISNUMBER($X125),INDEX(Comenzi!$G:$G,$X125),"")</f>
        <v/>
      </c>
      <c r="G125" s="32" t="str">
        <f>IF($A125="","",N(INDEX('PI Furnizor'!$E:$E,ROW()-3)))</f>
        <v/>
      </c>
      <c r="H125" s="33" t="str">
        <f t="shared" si="13"/>
        <v/>
      </c>
      <c r="I125" s="34" t="str">
        <f>IF($Y125&lt;&gt;1,"",IFERROR($AE125/INDEX(Comenzi!$AN:$AN,$X125),0))</f>
        <v/>
      </c>
      <c r="J125" s="33" t="str">
        <f>IF($Y125&lt;&gt;1,"",INDEX(Comenzi!$AG:$AG,$X125)*$I125/$E125)</f>
        <v/>
      </c>
      <c r="K125" s="33" t="str">
        <f t="shared" si="14"/>
        <v/>
      </c>
      <c r="L125" s="33" t="str">
        <f>IF($Y125&lt;&gt;1,"",$K125*$AD125+INDEX(Comenzi!$AJ:$AJ,$X125)*$I125/$E125)</f>
        <v/>
      </c>
      <c r="M125" s="33" t="str">
        <f t="shared" si="15"/>
        <v/>
      </c>
      <c r="N125" s="33" t="str">
        <f t="shared" si="16"/>
        <v/>
      </c>
      <c r="O125" s="33" t="str">
        <f>IF($Y125&lt;&gt;1,"",(INDEX(Comenzi!$AK:$AK,$X125)+N(INDEX(Comenzi!$T:$T,$X125)))*$I125/$E125)</f>
        <v/>
      </c>
      <c r="P125" s="35" t="str">
        <f t="shared" si="17"/>
        <v/>
      </c>
      <c r="Q125" s="36" t="str">
        <f t="shared" si="18"/>
        <v/>
      </c>
      <c r="R125" s="37" t="str">
        <f t="shared" si="19"/>
        <v/>
      </c>
      <c r="S125" s="38" t="str">
        <f t="shared" si="20"/>
        <v/>
      </c>
      <c r="T125" s="39" t="str">
        <f t="shared" si="21"/>
        <v/>
      </c>
      <c r="U125" s="40" t="str">
        <f t="shared" si="22"/>
        <v/>
      </c>
      <c r="V125" s="33" t="str">
        <f t="shared" si="23"/>
        <v/>
      </c>
      <c r="W125" s="33" t="str">
        <f t="shared" si="24"/>
        <v/>
      </c>
      <c r="X125" s="41" t="str">
        <f>IF($A125="","",IFERROR(MATCH($A125,Comenzi!$A$9:$A$108,0)+8,""))</f>
        <v/>
      </c>
      <c r="Y125" s="41" t="str">
        <f t="shared" si="25"/>
        <v/>
      </c>
      <c r="Z125" s="42" t="str">
        <f>IF($A125="","",IF($A125="?","Lipseste ID-ul comenzii (col. A din PI Furnizor)",IF(NOT(ISNUMBER($X125)),"ID comanda negasit in foaia Comenzi",IF(N($E125)&lt;=0,"Lipseste cantitatea",IF(N($G125)=0,"Pret unitar lipsa",IF($Y125&lt;&gt;1,"Curs sau moneda marfa lipsa (foaia Comenzi)",IF(INDEX(Comenzi!$AT:$AT,$X125)&lt;&gt;"OK","Avertisment comanda: "&amp;INDEX(Comenzi!$AT:$AT,$X125),"OK")))))))</f>
        <v/>
      </c>
      <c r="AA125" s="43" t="str">
        <f>IF(ISNUMBER($X125),INDEX(Comenzi!$H:$H,$X125),"")</f>
        <v/>
      </c>
      <c r="AB125" s="43" t="str">
        <f>IF(ISNUMBER($X125),INDEX(Comenzi!$I:$I,$X125),"")</f>
        <v/>
      </c>
      <c r="AC125" s="44" t="str">
        <f>IF(ISNUMBER($X125),IF(INDEX(Comenzi!$V:$V,$X125)="",Comenzi!$D$3,INDEX(Comenzi!$V:$V,$X125)),"")</f>
        <v/>
      </c>
      <c r="AD125" s="44" t="str">
        <f>IF(ISNUMBER($X125),IF(INDEX(Comenzi!$U:$U,$X125)="",Comenzi!$D$4,INDEX(Comenzi!$U:$U,$X125)),"")</f>
        <v/>
      </c>
      <c r="AE125" s="45" t="str">
        <f>IF($Y125&lt;&gt;1,"",IF(INDEX(Comenzi!$AM:$AM,$X125)="Greutate",INDEX('PI Furnizor'!$O:$O,ROW()-3),IF(INDEX(Comenzi!$AM:$AM,$X125)="Volum (CBM)",INDEX('PI Furnizor'!$Q:$Q,ROW()-3),IF(INDEX(Comenzi!$AM:$AM,$X125)="Valoare marfa",INDEX('PI Furnizor'!$N:$N,ROW()-3),$E125))))</f>
        <v/>
      </c>
    </row>
    <row r="126" spans="1:31" x14ac:dyDescent="0.3">
      <c r="A126" s="28" t="str">
        <f>IF(COUNTA(INDEX('PI Furnizor'!$A:$E,ROW()-3,0))=0,"",IF(INDEX('PI Furnizor'!$A:$A,ROW()-3)="","?",INDEX('PI Furnizor'!$A:$A,ROW()-3)))</f>
        <v/>
      </c>
      <c r="B126" s="29" t="str">
        <f>IF(ISNUMBER($X126),INDEX(Comenzi!$B:$B,$X126),"")</f>
        <v/>
      </c>
      <c r="C126" s="28" t="str">
        <f>IF($A126="","",INDEX('PI Furnizor'!$B:$B,ROW()-3)&amp;"")</f>
        <v/>
      </c>
      <c r="D126" s="28" t="str">
        <f>IF($A126="","",INDEX('PI Furnizor'!$C:$C,ROW()-3)&amp;"")</f>
        <v/>
      </c>
      <c r="E126" s="30" t="str">
        <f>IF($A126="","",N(INDEX('PI Furnizor'!$D:$D,ROW()-3)))</f>
        <v/>
      </c>
      <c r="F126" s="31" t="str">
        <f>IF(ISNUMBER($X126),INDEX(Comenzi!$G:$G,$X126),"")</f>
        <v/>
      </c>
      <c r="G126" s="32" t="str">
        <f>IF($A126="","",N(INDEX('PI Furnizor'!$E:$E,ROW()-3)))</f>
        <v/>
      </c>
      <c r="H126" s="33" t="str">
        <f t="shared" si="13"/>
        <v/>
      </c>
      <c r="I126" s="34" t="str">
        <f>IF($Y126&lt;&gt;1,"",IFERROR($AE126/INDEX(Comenzi!$AN:$AN,$X126),0))</f>
        <v/>
      </c>
      <c r="J126" s="33" t="str">
        <f>IF($Y126&lt;&gt;1,"",INDEX(Comenzi!$AG:$AG,$X126)*$I126/$E126)</f>
        <v/>
      </c>
      <c r="K126" s="33" t="str">
        <f t="shared" si="14"/>
        <v/>
      </c>
      <c r="L126" s="33" t="str">
        <f>IF($Y126&lt;&gt;1,"",$K126*$AD126+INDEX(Comenzi!$AJ:$AJ,$X126)*$I126/$E126)</f>
        <v/>
      </c>
      <c r="M126" s="33" t="str">
        <f t="shared" si="15"/>
        <v/>
      </c>
      <c r="N126" s="33" t="str">
        <f t="shared" si="16"/>
        <v/>
      </c>
      <c r="O126" s="33" t="str">
        <f>IF($Y126&lt;&gt;1,"",(INDEX(Comenzi!$AK:$AK,$X126)+N(INDEX(Comenzi!$T:$T,$X126)))*$I126/$E126)</f>
        <v/>
      </c>
      <c r="P126" s="35" t="str">
        <f t="shared" si="17"/>
        <v/>
      </c>
      <c r="Q126" s="36" t="str">
        <f t="shared" si="18"/>
        <v/>
      </c>
      <c r="R126" s="37" t="str">
        <f t="shared" si="19"/>
        <v/>
      </c>
      <c r="S126" s="38" t="str">
        <f t="shared" si="20"/>
        <v/>
      </c>
      <c r="T126" s="39" t="str">
        <f t="shared" si="21"/>
        <v/>
      </c>
      <c r="U126" s="40" t="str">
        <f t="shared" si="22"/>
        <v/>
      </c>
      <c r="V126" s="33" t="str">
        <f t="shared" si="23"/>
        <v/>
      </c>
      <c r="W126" s="33" t="str">
        <f t="shared" si="24"/>
        <v/>
      </c>
      <c r="X126" s="41" t="str">
        <f>IF($A126="","",IFERROR(MATCH($A126,Comenzi!$A$9:$A$108,0)+8,""))</f>
        <v/>
      </c>
      <c r="Y126" s="41" t="str">
        <f t="shared" si="25"/>
        <v/>
      </c>
      <c r="Z126" s="42" t="str">
        <f>IF($A126="","",IF($A126="?","Lipseste ID-ul comenzii (col. A din PI Furnizor)",IF(NOT(ISNUMBER($X126)),"ID comanda negasit in foaia Comenzi",IF(N($E126)&lt;=0,"Lipseste cantitatea",IF(N($G126)=0,"Pret unitar lipsa",IF($Y126&lt;&gt;1,"Curs sau moneda marfa lipsa (foaia Comenzi)",IF(INDEX(Comenzi!$AT:$AT,$X126)&lt;&gt;"OK","Avertisment comanda: "&amp;INDEX(Comenzi!$AT:$AT,$X126),"OK")))))))</f>
        <v/>
      </c>
      <c r="AA126" s="43" t="str">
        <f>IF(ISNUMBER($X126),INDEX(Comenzi!$H:$H,$X126),"")</f>
        <v/>
      </c>
      <c r="AB126" s="43" t="str">
        <f>IF(ISNUMBER($X126),INDEX(Comenzi!$I:$I,$X126),"")</f>
        <v/>
      </c>
      <c r="AC126" s="44" t="str">
        <f>IF(ISNUMBER($X126),IF(INDEX(Comenzi!$V:$V,$X126)="",Comenzi!$D$3,INDEX(Comenzi!$V:$V,$X126)),"")</f>
        <v/>
      </c>
      <c r="AD126" s="44" t="str">
        <f>IF(ISNUMBER($X126),IF(INDEX(Comenzi!$U:$U,$X126)="",Comenzi!$D$4,INDEX(Comenzi!$U:$U,$X126)),"")</f>
        <v/>
      </c>
      <c r="AE126" s="45" t="str">
        <f>IF($Y126&lt;&gt;1,"",IF(INDEX(Comenzi!$AM:$AM,$X126)="Greutate",INDEX('PI Furnizor'!$O:$O,ROW()-3),IF(INDEX(Comenzi!$AM:$AM,$X126)="Volum (CBM)",INDEX('PI Furnizor'!$Q:$Q,ROW()-3),IF(INDEX(Comenzi!$AM:$AM,$X126)="Valoare marfa",INDEX('PI Furnizor'!$N:$N,ROW()-3),$E126))))</f>
        <v/>
      </c>
    </row>
    <row r="127" spans="1:31" x14ac:dyDescent="0.3">
      <c r="A127" s="28" t="str">
        <f>IF(COUNTA(INDEX('PI Furnizor'!$A:$E,ROW()-3,0))=0,"",IF(INDEX('PI Furnizor'!$A:$A,ROW()-3)="","?",INDEX('PI Furnizor'!$A:$A,ROW()-3)))</f>
        <v/>
      </c>
      <c r="B127" s="29" t="str">
        <f>IF(ISNUMBER($X127),INDEX(Comenzi!$B:$B,$X127),"")</f>
        <v/>
      </c>
      <c r="C127" s="28" t="str">
        <f>IF($A127="","",INDEX('PI Furnizor'!$B:$B,ROW()-3)&amp;"")</f>
        <v/>
      </c>
      <c r="D127" s="28" t="str">
        <f>IF($A127="","",INDEX('PI Furnizor'!$C:$C,ROW()-3)&amp;"")</f>
        <v/>
      </c>
      <c r="E127" s="30" t="str">
        <f>IF($A127="","",N(INDEX('PI Furnizor'!$D:$D,ROW()-3)))</f>
        <v/>
      </c>
      <c r="F127" s="31" t="str">
        <f>IF(ISNUMBER($X127),INDEX(Comenzi!$G:$G,$X127),"")</f>
        <v/>
      </c>
      <c r="G127" s="32" t="str">
        <f>IF($A127="","",N(INDEX('PI Furnizor'!$E:$E,ROW()-3)))</f>
        <v/>
      </c>
      <c r="H127" s="33" t="str">
        <f t="shared" si="13"/>
        <v/>
      </c>
      <c r="I127" s="34" t="str">
        <f>IF($Y127&lt;&gt;1,"",IFERROR($AE127/INDEX(Comenzi!$AN:$AN,$X127),0))</f>
        <v/>
      </c>
      <c r="J127" s="33" t="str">
        <f>IF($Y127&lt;&gt;1,"",INDEX(Comenzi!$AG:$AG,$X127)*$I127/$E127)</f>
        <v/>
      </c>
      <c r="K127" s="33" t="str">
        <f t="shared" si="14"/>
        <v/>
      </c>
      <c r="L127" s="33" t="str">
        <f>IF($Y127&lt;&gt;1,"",$K127*$AD127+INDEX(Comenzi!$AJ:$AJ,$X127)*$I127/$E127)</f>
        <v/>
      </c>
      <c r="M127" s="33" t="str">
        <f t="shared" si="15"/>
        <v/>
      </c>
      <c r="N127" s="33" t="str">
        <f t="shared" si="16"/>
        <v/>
      </c>
      <c r="O127" s="33" t="str">
        <f>IF($Y127&lt;&gt;1,"",(INDEX(Comenzi!$AK:$AK,$X127)+N(INDEX(Comenzi!$T:$T,$X127)))*$I127/$E127)</f>
        <v/>
      </c>
      <c r="P127" s="35" t="str">
        <f t="shared" si="17"/>
        <v/>
      </c>
      <c r="Q127" s="36" t="str">
        <f t="shared" si="18"/>
        <v/>
      </c>
      <c r="R127" s="37" t="str">
        <f t="shared" si="19"/>
        <v/>
      </c>
      <c r="S127" s="38" t="str">
        <f t="shared" si="20"/>
        <v/>
      </c>
      <c r="T127" s="39" t="str">
        <f t="shared" si="21"/>
        <v/>
      </c>
      <c r="U127" s="40" t="str">
        <f t="shared" si="22"/>
        <v/>
      </c>
      <c r="V127" s="33" t="str">
        <f t="shared" si="23"/>
        <v/>
      </c>
      <c r="W127" s="33" t="str">
        <f t="shared" si="24"/>
        <v/>
      </c>
      <c r="X127" s="41" t="str">
        <f>IF($A127="","",IFERROR(MATCH($A127,Comenzi!$A$9:$A$108,0)+8,""))</f>
        <v/>
      </c>
      <c r="Y127" s="41" t="str">
        <f t="shared" si="25"/>
        <v/>
      </c>
      <c r="Z127" s="42" t="str">
        <f>IF($A127="","",IF($A127="?","Lipseste ID-ul comenzii (col. A din PI Furnizor)",IF(NOT(ISNUMBER($X127)),"ID comanda negasit in foaia Comenzi",IF(N($E127)&lt;=0,"Lipseste cantitatea",IF(N($G127)=0,"Pret unitar lipsa",IF($Y127&lt;&gt;1,"Curs sau moneda marfa lipsa (foaia Comenzi)",IF(INDEX(Comenzi!$AT:$AT,$X127)&lt;&gt;"OK","Avertisment comanda: "&amp;INDEX(Comenzi!$AT:$AT,$X127),"OK")))))))</f>
        <v/>
      </c>
      <c r="AA127" s="43" t="str">
        <f>IF(ISNUMBER($X127),INDEX(Comenzi!$H:$H,$X127),"")</f>
        <v/>
      </c>
      <c r="AB127" s="43" t="str">
        <f>IF(ISNUMBER($X127),INDEX(Comenzi!$I:$I,$X127),"")</f>
        <v/>
      </c>
      <c r="AC127" s="44" t="str">
        <f>IF(ISNUMBER($X127),IF(INDEX(Comenzi!$V:$V,$X127)="",Comenzi!$D$3,INDEX(Comenzi!$V:$V,$X127)),"")</f>
        <v/>
      </c>
      <c r="AD127" s="44" t="str">
        <f>IF(ISNUMBER($X127),IF(INDEX(Comenzi!$U:$U,$X127)="",Comenzi!$D$4,INDEX(Comenzi!$U:$U,$X127)),"")</f>
        <v/>
      </c>
      <c r="AE127" s="45" t="str">
        <f>IF($Y127&lt;&gt;1,"",IF(INDEX(Comenzi!$AM:$AM,$X127)="Greutate",INDEX('PI Furnizor'!$O:$O,ROW()-3),IF(INDEX(Comenzi!$AM:$AM,$X127)="Volum (CBM)",INDEX('PI Furnizor'!$Q:$Q,ROW()-3),IF(INDEX(Comenzi!$AM:$AM,$X127)="Valoare marfa",INDEX('PI Furnizor'!$N:$N,ROW()-3),$E127))))</f>
        <v/>
      </c>
    </row>
    <row r="128" spans="1:31" x14ac:dyDescent="0.3">
      <c r="A128" s="28" t="str">
        <f>IF(COUNTA(INDEX('PI Furnizor'!$A:$E,ROW()-3,0))=0,"",IF(INDEX('PI Furnizor'!$A:$A,ROW()-3)="","?",INDEX('PI Furnizor'!$A:$A,ROW()-3)))</f>
        <v/>
      </c>
      <c r="B128" s="29" t="str">
        <f>IF(ISNUMBER($X128),INDEX(Comenzi!$B:$B,$X128),"")</f>
        <v/>
      </c>
      <c r="C128" s="28" t="str">
        <f>IF($A128="","",INDEX('PI Furnizor'!$B:$B,ROW()-3)&amp;"")</f>
        <v/>
      </c>
      <c r="D128" s="28" t="str">
        <f>IF($A128="","",INDEX('PI Furnizor'!$C:$C,ROW()-3)&amp;"")</f>
        <v/>
      </c>
      <c r="E128" s="30" t="str">
        <f>IF($A128="","",N(INDEX('PI Furnizor'!$D:$D,ROW()-3)))</f>
        <v/>
      </c>
      <c r="F128" s="31" t="str">
        <f>IF(ISNUMBER($X128),INDEX(Comenzi!$G:$G,$X128),"")</f>
        <v/>
      </c>
      <c r="G128" s="32" t="str">
        <f>IF($A128="","",N(INDEX('PI Furnizor'!$E:$E,ROW()-3)))</f>
        <v/>
      </c>
      <c r="H128" s="33" t="str">
        <f t="shared" si="13"/>
        <v/>
      </c>
      <c r="I128" s="34" t="str">
        <f>IF($Y128&lt;&gt;1,"",IFERROR($AE128/INDEX(Comenzi!$AN:$AN,$X128),0))</f>
        <v/>
      </c>
      <c r="J128" s="33" t="str">
        <f>IF($Y128&lt;&gt;1,"",INDEX(Comenzi!$AG:$AG,$X128)*$I128/$E128)</f>
        <v/>
      </c>
      <c r="K128" s="33" t="str">
        <f t="shared" si="14"/>
        <v/>
      </c>
      <c r="L128" s="33" t="str">
        <f>IF($Y128&lt;&gt;1,"",$K128*$AD128+INDEX(Comenzi!$AJ:$AJ,$X128)*$I128/$E128)</f>
        <v/>
      </c>
      <c r="M128" s="33" t="str">
        <f t="shared" si="15"/>
        <v/>
      </c>
      <c r="N128" s="33" t="str">
        <f t="shared" si="16"/>
        <v/>
      </c>
      <c r="O128" s="33" t="str">
        <f>IF($Y128&lt;&gt;1,"",(INDEX(Comenzi!$AK:$AK,$X128)+N(INDEX(Comenzi!$T:$T,$X128)))*$I128/$E128)</f>
        <v/>
      </c>
      <c r="P128" s="35" t="str">
        <f t="shared" si="17"/>
        <v/>
      </c>
      <c r="Q128" s="36" t="str">
        <f t="shared" si="18"/>
        <v/>
      </c>
      <c r="R128" s="37" t="str">
        <f t="shared" si="19"/>
        <v/>
      </c>
      <c r="S128" s="38" t="str">
        <f t="shared" si="20"/>
        <v/>
      </c>
      <c r="T128" s="39" t="str">
        <f t="shared" si="21"/>
        <v/>
      </c>
      <c r="U128" s="40" t="str">
        <f t="shared" si="22"/>
        <v/>
      </c>
      <c r="V128" s="33" t="str">
        <f t="shared" si="23"/>
        <v/>
      </c>
      <c r="W128" s="33" t="str">
        <f t="shared" si="24"/>
        <v/>
      </c>
      <c r="X128" s="41" t="str">
        <f>IF($A128="","",IFERROR(MATCH($A128,Comenzi!$A$9:$A$108,0)+8,""))</f>
        <v/>
      </c>
      <c r="Y128" s="41" t="str">
        <f t="shared" si="25"/>
        <v/>
      </c>
      <c r="Z128" s="42" t="str">
        <f>IF($A128="","",IF($A128="?","Lipseste ID-ul comenzii (col. A din PI Furnizor)",IF(NOT(ISNUMBER($X128)),"ID comanda negasit in foaia Comenzi",IF(N($E128)&lt;=0,"Lipseste cantitatea",IF(N($G128)=0,"Pret unitar lipsa",IF($Y128&lt;&gt;1,"Curs sau moneda marfa lipsa (foaia Comenzi)",IF(INDEX(Comenzi!$AT:$AT,$X128)&lt;&gt;"OK","Avertisment comanda: "&amp;INDEX(Comenzi!$AT:$AT,$X128),"OK")))))))</f>
        <v/>
      </c>
      <c r="AA128" s="43" t="str">
        <f>IF(ISNUMBER($X128),INDEX(Comenzi!$H:$H,$X128),"")</f>
        <v/>
      </c>
      <c r="AB128" s="43" t="str">
        <f>IF(ISNUMBER($X128),INDEX(Comenzi!$I:$I,$X128),"")</f>
        <v/>
      </c>
      <c r="AC128" s="44" t="str">
        <f>IF(ISNUMBER($X128),IF(INDEX(Comenzi!$V:$V,$X128)="",Comenzi!$D$3,INDEX(Comenzi!$V:$V,$X128)),"")</f>
        <v/>
      </c>
      <c r="AD128" s="44" t="str">
        <f>IF(ISNUMBER($X128),IF(INDEX(Comenzi!$U:$U,$X128)="",Comenzi!$D$4,INDEX(Comenzi!$U:$U,$X128)),"")</f>
        <v/>
      </c>
      <c r="AE128" s="45" t="str">
        <f>IF($Y128&lt;&gt;1,"",IF(INDEX(Comenzi!$AM:$AM,$X128)="Greutate",INDEX('PI Furnizor'!$O:$O,ROW()-3),IF(INDEX(Comenzi!$AM:$AM,$X128)="Volum (CBM)",INDEX('PI Furnizor'!$Q:$Q,ROW()-3),IF(INDEX(Comenzi!$AM:$AM,$X128)="Valoare marfa",INDEX('PI Furnizor'!$N:$N,ROW()-3),$E128))))</f>
        <v/>
      </c>
    </row>
    <row r="129" spans="1:31" x14ac:dyDescent="0.3">
      <c r="A129" s="28" t="str">
        <f>IF(COUNTA(INDEX('PI Furnizor'!$A:$E,ROW()-3,0))=0,"",IF(INDEX('PI Furnizor'!$A:$A,ROW()-3)="","?",INDEX('PI Furnizor'!$A:$A,ROW()-3)))</f>
        <v/>
      </c>
      <c r="B129" s="29" t="str">
        <f>IF(ISNUMBER($X129),INDEX(Comenzi!$B:$B,$X129),"")</f>
        <v/>
      </c>
      <c r="C129" s="28" t="str">
        <f>IF($A129="","",INDEX('PI Furnizor'!$B:$B,ROW()-3)&amp;"")</f>
        <v/>
      </c>
      <c r="D129" s="28" t="str">
        <f>IF($A129="","",INDEX('PI Furnizor'!$C:$C,ROW()-3)&amp;"")</f>
        <v/>
      </c>
      <c r="E129" s="30" t="str">
        <f>IF($A129="","",N(INDEX('PI Furnizor'!$D:$D,ROW()-3)))</f>
        <v/>
      </c>
      <c r="F129" s="31" t="str">
        <f>IF(ISNUMBER($X129),INDEX(Comenzi!$G:$G,$X129),"")</f>
        <v/>
      </c>
      <c r="G129" s="32" t="str">
        <f>IF($A129="","",N(INDEX('PI Furnizor'!$E:$E,ROW()-3)))</f>
        <v/>
      </c>
      <c r="H129" s="33" t="str">
        <f t="shared" si="13"/>
        <v/>
      </c>
      <c r="I129" s="34" t="str">
        <f>IF($Y129&lt;&gt;1,"",IFERROR($AE129/INDEX(Comenzi!$AN:$AN,$X129),0))</f>
        <v/>
      </c>
      <c r="J129" s="33" t="str">
        <f>IF($Y129&lt;&gt;1,"",INDEX(Comenzi!$AG:$AG,$X129)*$I129/$E129)</f>
        <v/>
      </c>
      <c r="K129" s="33" t="str">
        <f t="shared" si="14"/>
        <v/>
      </c>
      <c r="L129" s="33" t="str">
        <f>IF($Y129&lt;&gt;1,"",$K129*$AD129+INDEX(Comenzi!$AJ:$AJ,$X129)*$I129/$E129)</f>
        <v/>
      </c>
      <c r="M129" s="33" t="str">
        <f t="shared" si="15"/>
        <v/>
      </c>
      <c r="N129" s="33" t="str">
        <f t="shared" si="16"/>
        <v/>
      </c>
      <c r="O129" s="33" t="str">
        <f>IF($Y129&lt;&gt;1,"",(INDEX(Comenzi!$AK:$AK,$X129)+N(INDEX(Comenzi!$T:$T,$X129)))*$I129/$E129)</f>
        <v/>
      </c>
      <c r="P129" s="35" t="str">
        <f t="shared" si="17"/>
        <v/>
      </c>
      <c r="Q129" s="36" t="str">
        <f t="shared" si="18"/>
        <v/>
      </c>
      <c r="R129" s="37" t="str">
        <f t="shared" si="19"/>
        <v/>
      </c>
      <c r="S129" s="38" t="str">
        <f t="shared" si="20"/>
        <v/>
      </c>
      <c r="T129" s="39" t="str">
        <f t="shared" si="21"/>
        <v/>
      </c>
      <c r="U129" s="40" t="str">
        <f t="shared" si="22"/>
        <v/>
      </c>
      <c r="V129" s="33" t="str">
        <f t="shared" si="23"/>
        <v/>
      </c>
      <c r="W129" s="33" t="str">
        <f t="shared" si="24"/>
        <v/>
      </c>
      <c r="X129" s="41" t="str">
        <f>IF($A129="","",IFERROR(MATCH($A129,Comenzi!$A$9:$A$108,0)+8,""))</f>
        <v/>
      </c>
      <c r="Y129" s="41" t="str">
        <f t="shared" si="25"/>
        <v/>
      </c>
      <c r="Z129" s="42" t="str">
        <f>IF($A129="","",IF($A129="?","Lipseste ID-ul comenzii (col. A din PI Furnizor)",IF(NOT(ISNUMBER($X129)),"ID comanda negasit in foaia Comenzi",IF(N($E129)&lt;=0,"Lipseste cantitatea",IF(N($G129)=0,"Pret unitar lipsa",IF($Y129&lt;&gt;1,"Curs sau moneda marfa lipsa (foaia Comenzi)",IF(INDEX(Comenzi!$AT:$AT,$X129)&lt;&gt;"OK","Avertisment comanda: "&amp;INDEX(Comenzi!$AT:$AT,$X129),"OK")))))))</f>
        <v/>
      </c>
      <c r="AA129" s="43" t="str">
        <f>IF(ISNUMBER($X129),INDEX(Comenzi!$H:$H,$X129),"")</f>
        <v/>
      </c>
      <c r="AB129" s="43" t="str">
        <f>IF(ISNUMBER($X129),INDEX(Comenzi!$I:$I,$X129),"")</f>
        <v/>
      </c>
      <c r="AC129" s="44" t="str">
        <f>IF(ISNUMBER($X129),IF(INDEX(Comenzi!$V:$V,$X129)="",Comenzi!$D$3,INDEX(Comenzi!$V:$V,$X129)),"")</f>
        <v/>
      </c>
      <c r="AD129" s="44" t="str">
        <f>IF(ISNUMBER($X129),IF(INDEX(Comenzi!$U:$U,$X129)="",Comenzi!$D$4,INDEX(Comenzi!$U:$U,$X129)),"")</f>
        <v/>
      </c>
      <c r="AE129" s="45" t="str">
        <f>IF($Y129&lt;&gt;1,"",IF(INDEX(Comenzi!$AM:$AM,$X129)="Greutate",INDEX('PI Furnizor'!$O:$O,ROW()-3),IF(INDEX(Comenzi!$AM:$AM,$X129)="Volum (CBM)",INDEX('PI Furnizor'!$Q:$Q,ROW()-3),IF(INDEX(Comenzi!$AM:$AM,$X129)="Valoare marfa",INDEX('PI Furnizor'!$N:$N,ROW()-3),$E129))))</f>
        <v/>
      </c>
    </row>
    <row r="130" spans="1:31" x14ac:dyDescent="0.3">
      <c r="A130" s="28" t="str">
        <f>IF(COUNTA(INDEX('PI Furnizor'!$A:$E,ROW()-3,0))=0,"",IF(INDEX('PI Furnizor'!$A:$A,ROW()-3)="","?",INDEX('PI Furnizor'!$A:$A,ROW()-3)))</f>
        <v/>
      </c>
      <c r="B130" s="29" t="str">
        <f>IF(ISNUMBER($X130),INDEX(Comenzi!$B:$B,$X130),"")</f>
        <v/>
      </c>
      <c r="C130" s="28" t="str">
        <f>IF($A130="","",INDEX('PI Furnizor'!$B:$B,ROW()-3)&amp;"")</f>
        <v/>
      </c>
      <c r="D130" s="28" t="str">
        <f>IF($A130="","",INDEX('PI Furnizor'!$C:$C,ROW()-3)&amp;"")</f>
        <v/>
      </c>
      <c r="E130" s="30" t="str">
        <f>IF($A130="","",N(INDEX('PI Furnizor'!$D:$D,ROW()-3)))</f>
        <v/>
      </c>
      <c r="F130" s="31" t="str">
        <f>IF(ISNUMBER($X130),INDEX(Comenzi!$G:$G,$X130),"")</f>
        <v/>
      </c>
      <c r="G130" s="32" t="str">
        <f>IF($A130="","",N(INDEX('PI Furnizor'!$E:$E,ROW()-3)))</f>
        <v/>
      </c>
      <c r="H130" s="33" t="str">
        <f t="shared" si="13"/>
        <v/>
      </c>
      <c r="I130" s="34" t="str">
        <f>IF($Y130&lt;&gt;1,"",IFERROR($AE130/INDEX(Comenzi!$AN:$AN,$X130),0))</f>
        <v/>
      </c>
      <c r="J130" s="33" t="str">
        <f>IF($Y130&lt;&gt;1,"",INDEX(Comenzi!$AG:$AG,$X130)*$I130/$E130)</f>
        <v/>
      </c>
      <c r="K130" s="33" t="str">
        <f t="shared" si="14"/>
        <v/>
      </c>
      <c r="L130" s="33" t="str">
        <f>IF($Y130&lt;&gt;1,"",$K130*$AD130+INDEX(Comenzi!$AJ:$AJ,$X130)*$I130/$E130)</f>
        <v/>
      </c>
      <c r="M130" s="33" t="str">
        <f t="shared" si="15"/>
        <v/>
      </c>
      <c r="N130" s="33" t="str">
        <f t="shared" si="16"/>
        <v/>
      </c>
      <c r="O130" s="33" t="str">
        <f>IF($Y130&lt;&gt;1,"",(INDEX(Comenzi!$AK:$AK,$X130)+N(INDEX(Comenzi!$T:$T,$X130)))*$I130/$E130)</f>
        <v/>
      </c>
      <c r="P130" s="35" t="str">
        <f t="shared" si="17"/>
        <v/>
      </c>
      <c r="Q130" s="36" t="str">
        <f t="shared" si="18"/>
        <v/>
      </c>
      <c r="R130" s="37" t="str">
        <f t="shared" si="19"/>
        <v/>
      </c>
      <c r="S130" s="38" t="str">
        <f t="shared" si="20"/>
        <v/>
      </c>
      <c r="T130" s="39" t="str">
        <f t="shared" si="21"/>
        <v/>
      </c>
      <c r="U130" s="40" t="str">
        <f t="shared" si="22"/>
        <v/>
      </c>
      <c r="V130" s="33" t="str">
        <f t="shared" si="23"/>
        <v/>
      </c>
      <c r="W130" s="33" t="str">
        <f t="shared" si="24"/>
        <v/>
      </c>
      <c r="X130" s="41" t="str">
        <f>IF($A130="","",IFERROR(MATCH($A130,Comenzi!$A$9:$A$108,0)+8,""))</f>
        <v/>
      </c>
      <c r="Y130" s="41" t="str">
        <f t="shared" si="25"/>
        <v/>
      </c>
      <c r="Z130" s="42" t="str">
        <f>IF($A130="","",IF($A130="?","Lipseste ID-ul comenzii (col. A din PI Furnizor)",IF(NOT(ISNUMBER($X130)),"ID comanda negasit in foaia Comenzi",IF(N($E130)&lt;=0,"Lipseste cantitatea",IF(N($G130)=0,"Pret unitar lipsa",IF($Y130&lt;&gt;1,"Curs sau moneda marfa lipsa (foaia Comenzi)",IF(INDEX(Comenzi!$AT:$AT,$X130)&lt;&gt;"OK","Avertisment comanda: "&amp;INDEX(Comenzi!$AT:$AT,$X130),"OK")))))))</f>
        <v/>
      </c>
      <c r="AA130" s="43" t="str">
        <f>IF(ISNUMBER($X130),INDEX(Comenzi!$H:$H,$X130),"")</f>
        <v/>
      </c>
      <c r="AB130" s="43" t="str">
        <f>IF(ISNUMBER($X130),INDEX(Comenzi!$I:$I,$X130),"")</f>
        <v/>
      </c>
      <c r="AC130" s="44" t="str">
        <f>IF(ISNUMBER($X130),IF(INDEX(Comenzi!$V:$V,$X130)="",Comenzi!$D$3,INDEX(Comenzi!$V:$V,$X130)),"")</f>
        <v/>
      </c>
      <c r="AD130" s="44" t="str">
        <f>IF(ISNUMBER($X130),IF(INDEX(Comenzi!$U:$U,$X130)="",Comenzi!$D$4,INDEX(Comenzi!$U:$U,$X130)),"")</f>
        <v/>
      </c>
      <c r="AE130" s="45" t="str">
        <f>IF($Y130&lt;&gt;1,"",IF(INDEX(Comenzi!$AM:$AM,$X130)="Greutate",INDEX('PI Furnizor'!$O:$O,ROW()-3),IF(INDEX(Comenzi!$AM:$AM,$X130)="Volum (CBM)",INDEX('PI Furnizor'!$Q:$Q,ROW()-3),IF(INDEX(Comenzi!$AM:$AM,$X130)="Valoare marfa",INDEX('PI Furnizor'!$N:$N,ROW()-3),$E130))))</f>
        <v/>
      </c>
    </row>
    <row r="131" spans="1:31" x14ac:dyDescent="0.3">
      <c r="A131" s="28" t="str">
        <f>IF(COUNTA(INDEX('PI Furnizor'!$A:$E,ROW()-3,0))=0,"",IF(INDEX('PI Furnizor'!$A:$A,ROW()-3)="","?",INDEX('PI Furnizor'!$A:$A,ROW()-3)))</f>
        <v/>
      </c>
      <c r="B131" s="29" t="str">
        <f>IF(ISNUMBER($X131),INDEX(Comenzi!$B:$B,$X131),"")</f>
        <v/>
      </c>
      <c r="C131" s="28" t="str">
        <f>IF($A131="","",INDEX('PI Furnizor'!$B:$B,ROW()-3)&amp;"")</f>
        <v/>
      </c>
      <c r="D131" s="28" t="str">
        <f>IF($A131="","",INDEX('PI Furnizor'!$C:$C,ROW()-3)&amp;"")</f>
        <v/>
      </c>
      <c r="E131" s="30" t="str">
        <f>IF($A131="","",N(INDEX('PI Furnizor'!$D:$D,ROW()-3)))</f>
        <v/>
      </c>
      <c r="F131" s="31" t="str">
        <f>IF(ISNUMBER($X131),INDEX(Comenzi!$G:$G,$X131),"")</f>
        <v/>
      </c>
      <c r="G131" s="32" t="str">
        <f>IF($A131="","",N(INDEX('PI Furnizor'!$E:$E,ROW()-3)))</f>
        <v/>
      </c>
      <c r="H131" s="33" t="str">
        <f t="shared" si="13"/>
        <v/>
      </c>
      <c r="I131" s="34" t="str">
        <f>IF($Y131&lt;&gt;1,"",IFERROR($AE131/INDEX(Comenzi!$AN:$AN,$X131),0))</f>
        <v/>
      </c>
      <c r="J131" s="33" t="str">
        <f>IF($Y131&lt;&gt;1,"",INDEX(Comenzi!$AG:$AG,$X131)*$I131/$E131)</f>
        <v/>
      </c>
      <c r="K131" s="33" t="str">
        <f t="shared" si="14"/>
        <v/>
      </c>
      <c r="L131" s="33" t="str">
        <f>IF($Y131&lt;&gt;1,"",$K131*$AD131+INDEX(Comenzi!$AJ:$AJ,$X131)*$I131/$E131)</f>
        <v/>
      </c>
      <c r="M131" s="33" t="str">
        <f t="shared" si="15"/>
        <v/>
      </c>
      <c r="N131" s="33" t="str">
        <f t="shared" si="16"/>
        <v/>
      </c>
      <c r="O131" s="33" t="str">
        <f>IF($Y131&lt;&gt;1,"",(INDEX(Comenzi!$AK:$AK,$X131)+N(INDEX(Comenzi!$T:$T,$X131)))*$I131/$E131)</f>
        <v/>
      </c>
      <c r="P131" s="35" t="str">
        <f t="shared" si="17"/>
        <v/>
      </c>
      <c r="Q131" s="36" t="str">
        <f t="shared" si="18"/>
        <v/>
      </c>
      <c r="R131" s="37" t="str">
        <f t="shared" si="19"/>
        <v/>
      </c>
      <c r="S131" s="38" t="str">
        <f t="shared" si="20"/>
        <v/>
      </c>
      <c r="T131" s="39" t="str">
        <f t="shared" si="21"/>
        <v/>
      </c>
      <c r="U131" s="40" t="str">
        <f t="shared" si="22"/>
        <v/>
      </c>
      <c r="V131" s="33" t="str">
        <f t="shared" si="23"/>
        <v/>
      </c>
      <c r="W131" s="33" t="str">
        <f t="shared" si="24"/>
        <v/>
      </c>
      <c r="X131" s="41" t="str">
        <f>IF($A131="","",IFERROR(MATCH($A131,Comenzi!$A$9:$A$108,0)+8,""))</f>
        <v/>
      </c>
      <c r="Y131" s="41" t="str">
        <f t="shared" si="25"/>
        <v/>
      </c>
      <c r="Z131" s="42" t="str">
        <f>IF($A131="","",IF($A131="?","Lipseste ID-ul comenzii (col. A din PI Furnizor)",IF(NOT(ISNUMBER($X131)),"ID comanda negasit in foaia Comenzi",IF(N($E131)&lt;=0,"Lipseste cantitatea",IF(N($G131)=0,"Pret unitar lipsa",IF($Y131&lt;&gt;1,"Curs sau moneda marfa lipsa (foaia Comenzi)",IF(INDEX(Comenzi!$AT:$AT,$X131)&lt;&gt;"OK","Avertisment comanda: "&amp;INDEX(Comenzi!$AT:$AT,$X131),"OK")))))))</f>
        <v/>
      </c>
      <c r="AA131" s="43" t="str">
        <f>IF(ISNUMBER($X131),INDEX(Comenzi!$H:$H,$X131),"")</f>
        <v/>
      </c>
      <c r="AB131" s="43" t="str">
        <f>IF(ISNUMBER($X131),INDEX(Comenzi!$I:$I,$X131),"")</f>
        <v/>
      </c>
      <c r="AC131" s="44" t="str">
        <f>IF(ISNUMBER($X131),IF(INDEX(Comenzi!$V:$V,$X131)="",Comenzi!$D$3,INDEX(Comenzi!$V:$V,$X131)),"")</f>
        <v/>
      </c>
      <c r="AD131" s="44" t="str">
        <f>IF(ISNUMBER($X131),IF(INDEX(Comenzi!$U:$U,$X131)="",Comenzi!$D$4,INDEX(Comenzi!$U:$U,$X131)),"")</f>
        <v/>
      </c>
      <c r="AE131" s="45" t="str">
        <f>IF($Y131&lt;&gt;1,"",IF(INDEX(Comenzi!$AM:$AM,$X131)="Greutate",INDEX('PI Furnizor'!$O:$O,ROW()-3),IF(INDEX(Comenzi!$AM:$AM,$X131)="Volum (CBM)",INDEX('PI Furnizor'!$Q:$Q,ROW()-3),IF(INDEX(Comenzi!$AM:$AM,$X131)="Valoare marfa",INDEX('PI Furnizor'!$N:$N,ROW()-3),$E131))))</f>
        <v/>
      </c>
    </row>
    <row r="132" spans="1:31" x14ac:dyDescent="0.3">
      <c r="A132" s="28" t="str">
        <f>IF(COUNTA(INDEX('PI Furnizor'!$A:$E,ROW()-3,0))=0,"",IF(INDEX('PI Furnizor'!$A:$A,ROW()-3)="","?",INDEX('PI Furnizor'!$A:$A,ROW()-3)))</f>
        <v/>
      </c>
      <c r="B132" s="29" t="str">
        <f>IF(ISNUMBER($X132),INDEX(Comenzi!$B:$B,$X132),"")</f>
        <v/>
      </c>
      <c r="C132" s="28" t="str">
        <f>IF($A132="","",INDEX('PI Furnizor'!$B:$B,ROW()-3)&amp;"")</f>
        <v/>
      </c>
      <c r="D132" s="28" t="str">
        <f>IF($A132="","",INDEX('PI Furnizor'!$C:$C,ROW()-3)&amp;"")</f>
        <v/>
      </c>
      <c r="E132" s="30" t="str">
        <f>IF($A132="","",N(INDEX('PI Furnizor'!$D:$D,ROW()-3)))</f>
        <v/>
      </c>
      <c r="F132" s="31" t="str">
        <f>IF(ISNUMBER($X132),INDEX(Comenzi!$G:$G,$X132),"")</f>
        <v/>
      </c>
      <c r="G132" s="32" t="str">
        <f>IF($A132="","",N(INDEX('PI Furnizor'!$E:$E,ROW()-3)))</f>
        <v/>
      </c>
      <c r="H132" s="33" t="str">
        <f t="shared" si="13"/>
        <v/>
      </c>
      <c r="I132" s="34" t="str">
        <f>IF($Y132&lt;&gt;1,"",IFERROR($AE132/INDEX(Comenzi!$AN:$AN,$X132),0))</f>
        <v/>
      </c>
      <c r="J132" s="33" t="str">
        <f>IF($Y132&lt;&gt;1,"",INDEX(Comenzi!$AG:$AG,$X132)*$I132/$E132)</f>
        <v/>
      </c>
      <c r="K132" s="33" t="str">
        <f t="shared" si="14"/>
        <v/>
      </c>
      <c r="L132" s="33" t="str">
        <f>IF($Y132&lt;&gt;1,"",$K132*$AD132+INDEX(Comenzi!$AJ:$AJ,$X132)*$I132/$E132)</f>
        <v/>
      </c>
      <c r="M132" s="33" t="str">
        <f t="shared" si="15"/>
        <v/>
      </c>
      <c r="N132" s="33" t="str">
        <f t="shared" si="16"/>
        <v/>
      </c>
      <c r="O132" s="33" t="str">
        <f>IF($Y132&lt;&gt;1,"",(INDEX(Comenzi!$AK:$AK,$X132)+N(INDEX(Comenzi!$T:$T,$X132)))*$I132/$E132)</f>
        <v/>
      </c>
      <c r="P132" s="35" t="str">
        <f t="shared" si="17"/>
        <v/>
      </c>
      <c r="Q132" s="36" t="str">
        <f t="shared" si="18"/>
        <v/>
      </c>
      <c r="R132" s="37" t="str">
        <f t="shared" si="19"/>
        <v/>
      </c>
      <c r="S132" s="38" t="str">
        <f t="shared" si="20"/>
        <v/>
      </c>
      <c r="T132" s="39" t="str">
        <f t="shared" si="21"/>
        <v/>
      </c>
      <c r="U132" s="40" t="str">
        <f t="shared" si="22"/>
        <v/>
      </c>
      <c r="V132" s="33" t="str">
        <f t="shared" si="23"/>
        <v/>
      </c>
      <c r="W132" s="33" t="str">
        <f t="shared" si="24"/>
        <v/>
      </c>
      <c r="X132" s="41" t="str">
        <f>IF($A132="","",IFERROR(MATCH($A132,Comenzi!$A$9:$A$108,0)+8,""))</f>
        <v/>
      </c>
      <c r="Y132" s="41" t="str">
        <f t="shared" si="25"/>
        <v/>
      </c>
      <c r="Z132" s="42" t="str">
        <f>IF($A132="","",IF($A132="?","Lipseste ID-ul comenzii (col. A din PI Furnizor)",IF(NOT(ISNUMBER($X132)),"ID comanda negasit in foaia Comenzi",IF(N($E132)&lt;=0,"Lipseste cantitatea",IF(N($G132)=0,"Pret unitar lipsa",IF($Y132&lt;&gt;1,"Curs sau moneda marfa lipsa (foaia Comenzi)",IF(INDEX(Comenzi!$AT:$AT,$X132)&lt;&gt;"OK","Avertisment comanda: "&amp;INDEX(Comenzi!$AT:$AT,$X132),"OK")))))))</f>
        <v/>
      </c>
      <c r="AA132" s="43" t="str">
        <f>IF(ISNUMBER($X132),INDEX(Comenzi!$H:$H,$X132),"")</f>
        <v/>
      </c>
      <c r="AB132" s="43" t="str">
        <f>IF(ISNUMBER($X132),INDEX(Comenzi!$I:$I,$X132),"")</f>
        <v/>
      </c>
      <c r="AC132" s="44" t="str">
        <f>IF(ISNUMBER($X132),IF(INDEX(Comenzi!$V:$V,$X132)="",Comenzi!$D$3,INDEX(Comenzi!$V:$V,$X132)),"")</f>
        <v/>
      </c>
      <c r="AD132" s="44" t="str">
        <f>IF(ISNUMBER($X132),IF(INDEX(Comenzi!$U:$U,$X132)="",Comenzi!$D$4,INDEX(Comenzi!$U:$U,$X132)),"")</f>
        <v/>
      </c>
      <c r="AE132" s="45" t="str">
        <f>IF($Y132&lt;&gt;1,"",IF(INDEX(Comenzi!$AM:$AM,$X132)="Greutate",INDEX('PI Furnizor'!$O:$O,ROW()-3),IF(INDEX(Comenzi!$AM:$AM,$X132)="Volum (CBM)",INDEX('PI Furnizor'!$Q:$Q,ROW()-3),IF(INDEX(Comenzi!$AM:$AM,$X132)="Valoare marfa",INDEX('PI Furnizor'!$N:$N,ROW()-3),$E132))))</f>
        <v/>
      </c>
    </row>
    <row r="133" spans="1:31" x14ac:dyDescent="0.3">
      <c r="A133" s="28" t="str">
        <f>IF(COUNTA(INDEX('PI Furnizor'!$A:$E,ROW()-3,0))=0,"",IF(INDEX('PI Furnizor'!$A:$A,ROW()-3)="","?",INDEX('PI Furnizor'!$A:$A,ROW()-3)))</f>
        <v/>
      </c>
      <c r="B133" s="29" t="str">
        <f>IF(ISNUMBER($X133),INDEX(Comenzi!$B:$B,$X133),"")</f>
        <v/>
      </c>
      <c r="C133" s="28" t="str">
        <f>IF($A133="","",INDEX('PI Furnizor'!$B:$B,ROW()-3)&amp;"")</f>
        <v/>
      </c>
      <c r="D133" s="28" t="str">
        <f>IF($A133="","",INDEX('PI Furnizor'!$C:$C,ROW()-3)&amp;"")</f>
        <v/>
      </c>
      <c r="E133" s="30" t="str">
        <f>IF($A133="","",N(INDEX('PI Furnizor'!$D:$D,ROW()-3)))</f>
        <v/>
      </c>
      <c r="F133" s="31" t="str">
        <f>IF(ISNUMBER($X133),INDEX(Comenzi!$G:$G,$X133),"")</f>
        <v/>
      </c>
      <c r="G133" s="32" t="str">
        <f>IF($A133="","",N(INDEX('PI Furnizor'!$E:$E,ROW()-3)))</f>
        <v/>
      </c>
      <c r="H133" s="33" t="str">
        <f t="shared" si="13"/>
        <v/>
      </c>
      <c r="I133" s="34" t="str">
        <f>IF($Y133&lt;&gt;1,"",IFERROR($AE133/INDEX(Comenzi!$AN:$AN,$X133),0))</f>
        <v/>
      </c>
      <c r="J133" s="33" t="str">
        <f>IF($Y133&lt;&gt;1,"",INDEX(Comenzi!$AG:$AG,$X133)*$I133/$E133)</f>
        <v/>
      </c>
      <c r="K133" s="33" t="str">
        <f t="shared" si="14"/>
        <v/>
      </c>
      <c r="L133" s="33" t="str">
        <f>IF($Y133&lt;&gt;1,"",$K133*$AD133+INDEX(Comenzi!$AJ:$AJ,$X133)*$I133/$E133)</f>
        <v/>
      </c>
      <c r="M133" s="33" t="str">
        <f t="shared" si="15"/>
        <v/>
      </c>
      <c r="N133" s="33" t="str">
        <f t="shared" si="16"/>
        <v/>
      </c>
      <c r="O133" s="33" t="str">
        <f>IF($Y133&lt;&gt;1,"",(INDEX(Comenzi!$AK:$AK,$X133)+N(INDEX(Comenzi!$T:$T,$X133)))*$I133/$E133)</f>
        <v/>
      </c>
      <c r="P133" s="35" t="str">
        <f t="shared" si="17"/>
        <v/>
      </c>
      <c r="Q133" s="36" t="str">
        <f t="shared" si="18"/>
        <v/>
      </c>
      <c r="R133" s="37" t="str">
        <f t="shared" si="19"/>
        <v/>
      </c>
      <c r="S133" s="38" t="str">
        <f t="shared" si="20"/>
        <v/>
      </c>
      <c r="T133" s="39" t="str">
        <f t="shared" si="21"/>
        <v/>
      </c>
      <c r="U133" s="40" t="str">
        <f t="shared" si="22"/>
        <v/>
      </c>
      <c r="V133" s="33" t="str">
        <f t="shared" si="23"/>
        <v/>
      </c>
      <c r="W133" s="33" t="str">
        <f t="shared" si="24"/>
        <v/>
      </c>
      <c r="X133" s="41" t="str">
        <f>IF($A133="","",IFERROR(MATCH($A133,Comenzi!$A$9:$A$108,0)+8,""))</f>
        <v/>
      </c>
      <c r="Y133" s="41" t="str">
        <f t="shared" si="25"/>
        <v/>
      </c>
      <c r="Z133" s="42" t="str">
        <f>IF($A133="","",IF($A133="?","Lipseste ID-ul comenzii (col. A din PI Furnizor)",IF(NOT(ISNUMBER($X133)),"ID comanda negasit in foaia Comenzi",IF(N($E133)&lt;=0,"Lipseste cantitatea",IF(N($G133)=0,"Pret unitar lipsa",IF($Y133&lt;&gt;1,"Curs sau moneda marfa lipsa (foaia Comenzi)",IF(INDEX(Comenzi!$AT:$AT,$X133)&lt;&gt;"OK","Avertisment comanda: "&amp;INDEX(Comenzi!$AT:$AT,$X133),"OK")))))))</f>
        <v/>
      </c>
      <c r="AA133" s="43" t="str">
        <f>IF(ISNUMBER($X133),INDEX(Comenzi!$H:$H,$X133),"")</f>
        <v/>
      </c>
      <c r="AB133" s="43" t="str">
        <f>IF(ISNUMBER($X133),INDEX(Comenzi!$I:$I,$X133),"")</f>
        <v/>
      </c>
      <c r="AC133" s="44" t="str">
        <f>IF(ISNUMBER($X133),IF(INDEX(Comenzi!$V:$V,$X133)="",Comenzi!$D$3,INDEX(Comenzi!$V:$V,$X133)),"")</f>
        <v/>
      </c>
      <c r="AD133" s="44" t="str">
        <f>IF(ISNUMBER($X133),IF(INDEX(Comenzi!$U:$U,$X133)="",Comenzi!$D$4,INDEX(Comenzi!$U:$U,$X133)),"")</f>
        <v/>
      </c>
      <c r="AE133" s="45" t="str">
        <f>IF($Y133&lt;&gt;1,"",IF(INDEX(Comenzi!$AM:$AM,$X133)="Greutate",INDEX('PI Furnizor'!$O:$O,ROW()-3),IF(INDEX(Comenzi!$AM:$AM,$X133)="Volum (CBM)",INDEX('PI Furnizor'!$Q:$Q,ROW()-3),IF(INDEX(Comenzi!$AM:$AM,$X133)="Valoare marfa",INDEX('PI Furnizor'!$N:$N,ROW()-3),$E133))))</f>
        <v/>
      </c>
    </row>
    <row r="134" spans="1:31" x14ac:dyDescent="0.3">
      <c r="A134" s="28" t="str">
        <f>IF(COUNTA(INDEX('PI Furnizor'!$A:$E,ROW()-3,0))=0,"",IF(INDEX('PI Furnizor'!$A:$A,ROW()-3)="","?",INDEX('PI Furnizor'!$A:$A,ROW()-3)))</f>
        <v/>
      </c>
      <c r="B134" s="29" t="str">
        <f>IF(ISNUMBER($X134),INDEX(Comenzi!$B:$B,$X134),"")</f>
        <v/>
      </c>
      <c r="C134" s="28" t="str">
        <f>IF($A134="","",INDEX('PI Furnizor'!$B:$B,ROW()-3)&amp;"")</f>
        <v/>
      </c>
      <c r="D134" s="28" t="str">
        <f>IF($A134="","",INDEX('PI Furnizor'!$C:$C,ROW()-3)&amp;"")</f>
        <v/>
      </c>
      <c r="E134" s="30" t="str">
        <f>IF($A134="","",N(INDEX('PI Furnizor'!$D:$D,ROW()-3)))</f>
        <v/>
      </c>
      <c r="F134" s="31" t="str">
        <f>IF(ISNUMBER($X134),INDEX(Comenzi!$G:$G,$X134),"")</f>
        <v/>
      </c>
      <c r="G134" s="32" t="str">
        <f>IF($A134="","",N(INDEX('PI Furnizor'!$E:$E,ROW()-3)))</f>
        <v/>
      </c>
      <c r="H134" s="33" t="str">
        <f t="shared" si="13"/>
        <v/>
      </c>
      <c r="I134" s="34" t="str">
        <f>IF($Y134&lt;&gt;1,"",IFERROR($AE134/INDEX(Comenzi!$AN:$AN,$X134),0))</f>
        <v/>
      </c>
      <c r="J134" s="33" t="str">
        <f>IF($Y134&lt;&gt;1,"",INDEX(Comenzi!$AG:$AG,$X134)*$I134/$E134)</f>
        <v/>
      </c>
      <c r="K134" s="33" t="str">
        <f t="shared" si="14"/>
        <v/>
      </c>
      <c r="L134" s="33" t="str">
        <f>IF($Y134&lt;&gt;1,"",$K134*$AD134+INDEX(Comenzi!$AJ:$AJ,$X134)*$I134/$E134)</f>
        <v/>
      </c>
      <c r="M134" s="33" t="str">
        <f t="shared" si="15"/>
        <v/>
      </c>
      <c r="N134" s="33" t="str">
        <f t="shared" si="16"/>
        <v/>
      </c>
      <c r="O134" s="33" t="str">
        <f>IF($Y134&lt;&gt;1,"",(INDEX(Comenzi!$AK:$AK,$X134)+N(INDEX(Comenzi!$T:$T,$X134)))*$I134/$E134)</f>
        <v/>
      </c>
      <c r="P134" s="35" t="str">
        <f t="shared" si="17"/>
        <v/>
      </c>
      <c r="Q134" s="36" t="str">
        <f t="shared" si="18"/>
        <v/>
      </c>
      <c r="R134" s="37" t="str">
        <f t="shared" si="19"/>
        <v/>
      </c>
      <c r="S134" s="38" t="str">
        <f t="shared" si="20"/>
        <v/>
      </c>
      <c r="T134" s="39" t="str">
        <f t="shared" si="21"/>
        <v/>
      </c>
      <c r="U134" s="40" t="str">
        <f t="shared" si="22"/>
        <v/>
      </c>
      <c r="V134" s="33" t="str">
        <f t="shared" si="23"/>
        <v/>
      </c>
      <c r="W134" s="33" t="str">
        <f t="shared" si="24"/>
        <v/>
      </c>
      <c r="X134" s="41" t="str">
        <f>IF($A134="","",IFERROR(MATCH($A134,Comenzi!$A$9:$A$108,0)+8,""))</f>
        <v/>
      </c>
      <c r="Y134" s="41" t="str">
        <f t="shared" si="25"/>
        <v/>
      </c>
      <c r="Z134" s="42" t="str">
        <f>IF($A134="","",IF($A134="?","Lipseste ID-ul comenzii (col. A din PI Furnizor)",IF(NOT(ISNUMBER($X134)),"ID comanda negasit in foaia Comenzi",IF(N($E134)&lt;=0,"Lipseste cantitatea",IF(N($G134)=0,"Pret unitar lipsa",IF($Y134&lt;&gt;1,"Curs sau moneda marfa lipsa (foaia Comenzi)",IF(INDEX(Comenzi!$AT:$AT,$X134)&lt;&gt;"OK","Avertisment comanda: "&amp;INDEX(Comenzi!$AT:$AT,$X134),"OK")))))))</f>
        <v/>
      </c>
      <c r="AA134" s="43" t="str">
        <f>IF(ISNUMBER($X134),INDEX(Comenzi!$H:$H,$X134),"")</f>
        <v/>
      </c>
      <c r="AB134" s="43" t="str">
        <f>IF(ISNUMBER($X134),INDEX(Comenzi!$I:$I,$X134),"")</f>
        <v/>
      </c>
      <c r="AC134" s="44" t="str">
        <f>IF(ISNUMBER($X134),IF(INDEX(Comenzi!$V:$V,$X134)="",Comenzi!$D$3,INDEX(Comenzi!$V:$V,$X134)),"")</f>
        <v/>
      </c>
      <c r="AD134" s="44" t="str">
        <f>IF(ISNUMBER($X134),IF(INDEX(Comenzi!$U:$U,$X134)="",Comenzi!$D$4,INDEX(Comenzi!$U:$U,$X134)),"")</f>
        <v/>
      </c>
      <c r="AE134" s="45" t="str">
        <f>IF($Y134&lt;&gt;1,"",IF(INDEX(Comenzi!$AM:$AM,$X134)="Greutate",INDEX('PI Furnizor'!$O:$O,ROW()-3),IF(INDEX(Comenzi!$AM:$AM,$X134)="Volum (CBM)",INDEX('PI Furnizor'!$Q:$Q,ROW()-3),IF(INDEX(Comenzi!$AM:$AM,$X134)="Valoare marfa",INDEX('PI Furnizor'!$N:$N,ROW()-3),$E134))))</f>
        <v/>
      </c>
    </row>
    <row r="135" spans="1:31" x14ac:dyDescent="0.3">
      <c r="A135" s="28" t="str">
        <f>IF(COUNTA(INDEX('PI Furnizor'!$A:$E,ROW()-3,0))=0,"",IF(INDEX('PI Furnizor'!$A:$A,ROW()-3)="","?",INDEX('PI Furnizor'!$A:$A,ROW()-3)))</f>
        <v/>
      </c>
      <c r="B135" s="29" t="str">
        <f>IF(ISNUMBER($X135),INDEX(Comenzi!$B:$B,$X135),"")</f>
        <v/>
      </c>
      <c r="C135" s="28" t="str">
        <f>IF($A135="","",INDEX('PI Furnizor'!$B:$B,ROW()-3)&amp;"")</f>
        <v/>
      </c>
      <c r="D135" s="28" t="str">
        <f>IF($A135="","",INDEX('PI Furnizor'!$C:$C,ROW()-3)&amp;"")</f>
        <v/>
      </c>
      <c r="E135" s="30" t="str">
        <f>IF($A135="","",N(INDEX('PI Furnizor'!$D:$D,ROW()-3)))</f>
        <v/>
      </c>
      <c r="F135" s="31" t="str">
        <f>IF(ISNUMBER($X135),INDEX(Comenzi!$G:$G,$X135),"")</f>
        <v/>
      </c>
      <c r="G135" s="32" t="str">
        <f>IF($A135="","",N(INDEX('PI Furnizor'!$E:$E,ROW()-3)))</f>
        <v/>
      </c>
      <c r="H135" s="33" t="str">
        <f t="shared" si="13"/>
        <v/>
      </c>
      <c r="I135" s="34" t="str">
        <f>IF($Y135&lt;&gt;1,"",IFERROR($AE135/INDEX(Comenzi!$AN:$AN,$X135),0))</f>
        <v/>
      </c>
      <c r="J135" s="33" t="str">
        <f>IF($Y135&lt;&gt;1,"",INDEX(Comenzi!$AG:$AG,$X135)*$I135/$E135)</f>
        <v/>
      </c>
      <c r="K135" s="33" t="str">
        <f t="shared" si="14"/>
        <v/>
      </c>
      <c r="L135" s="33" t="str">
        <f>IF($Y135&lt;&gt;1,"",$K135*$AD135+INDEX(Comenzi!$AJ:$AJ,$X135)*$I135/$E135)</f>
        <v/>
      </c>
      <c r="M135" s="33" t="str">
        <f t="shared" si="15"/>
        <v/>
      </c>
      <c r="N135" s="33" t="str">
        <f t="shared" si="16"/>
        <v/>
      </c>
      <c r="O135" s="33" t="str">
        <f>IF($Y135&lt;&gt;1,"",(INDEX(Comenzi!$AK:$AK,$X135)+N(INDEX(Comenzi!$T:$T,$X135)))*$I135/$E135)</f>
        <v/>
      </c>
      <c r="P135" s="35" t="str">
        <f t="shared" si="17"/>
        <v/>
      </c>
      <c r="Q135" s="36" t="str">
        <f t="shared" si="18"/>
        <v/>
      </c>
      <c r="R135" s="37" t="str">
        <f t="shared" si="19"/>
        <v/>
      </c>
      <c r="S135" s="38" t="str">
        <f t="shared" si="20"/>
        <v/>
      </c>
      <c r="T135" s="39" t="str">
        <f t="shared" si="21"/>
        <v/>
      </c>
      <c r="U135" s="40" t="str">
        <f t="shared" si="22"/>
        <v/>
      </c>
      <c r="V135" s="33" t="str">
        <f t="shared" si="23"/>
        <v/>
      </c>
      <c r="W135" s="33" t="str">
        <f t="shared" si="24"/>
        <v/>
      </c>
      <c r="X135" s="41" t="str">
        <f>IF($A135="","",IFERROR(MATCH($A135,Comenzi!$A$9:$A$108,0)+8,""))</f>
        <v/>
      </c>
      <c r="Y135" s="41" t="str">
        <f t="shared" si="25"/>
        <v/>
      </c>
      <c r="Z135" s="42" t="str">
        <f>IF($A135="","",IF($A135="?","Lipseste ID-ul comenzii (col. A din PI Furnizor)",IF(NOT(ISNUMBER($X135)),"ID comanda negasit in foaia Comenzi",IF(N($E135)&lt;=0,"Lipseste cantitatea",IF(N($G135)=0,"Pret unitar lipsa",IF($Y135&lt;&gt;1,"Curs sau moneda marfa lipsa (foaia Comenzi)",IF(INDEX(Comenzi!$AT:$AT,$X135)&lt;&gt;"OK","Avertisment comanda: "&amp;INDEX(Comenzi!$AT:$AT,$X135),"OK")))))))</f>
        <v/>
      </c>
      <c r="AA135" s="43" t="str">
        <f>IF(ISNUMBER($X135),INDEX(Comenzi!$H:$H,$X135),"")</f>
        <v/>
      </c>
      <c r="AB135" s="43" t="str">
        <f>IF(ISNUMBER($X135),INDEX(Comenzi!$I:$I,$X135),"")</f>
        <v/>
      </c>
      <c r="AC135" s="44" t="str">
        <f>IF(ISNUMBER($X135),IF(INDEX(Comenzi!$V:$V,$X135)="",Comenzi!$D$3,INDEX(Comenzi!$V:$V,$X135)),"")</f>
        <v/>
      </c>
      <c r="AD135" s="44" t="str">
        <f>IF(ISNUMBER($X135),IF(INDEX(Comenzi!$U:$U,$X135)="",Comenzi!$D$4,INDEX(Comenzi!$U:$U,$X135)),"")</f>
        <v/>
      </c>
      <c r="AE135" s="45" t="str">
        <f>IF($Y135&lt;&gt;1,"",IF(INDEX(Comenzi!$AM:$AM,$X135)="Greutate",INDEX('PI Furnizor'!$O:$O,ROW()-3),IF(INDEX(Comenzi!$AM:$AM,$X135)="Volum (CBM)",INDEX('PI Furnizor'!$Q:$Q,ROW()-3),IF(INDEX(Comenzi!$AM:$AM,$X135)="Valoare marfa",INDEX('PI Furnizor'!$N:$N,ROW()-3),$E135))))</f>
        <v/>
      </c>
    </row>
    <row r="136" spans="1:31" x14ac:dyDescent="0.3">
      <c r="A136" s="28" t="str">
        <f>IF(COUNTA(INDEX('PI Furnizor'!$A:$E,ROW()-3,0))=0,"",IF(INDEX('PI Furnizor'!$A:$A,ROW()-3)="","?",INDEX('PI Furnizor'!$A:$A,ROW()-3)))</f>
        <v/>
      </c>
      <c r="B136" s="29" t="str">
        <f>IF(ISNUMBER($X136),INDEX(Comenzi!$B:$B,$X136),"")</f>
        <v/>
      </c>
      <c r="C136" s="28" t="str">
        <f>IF($A136="","",INDEX('PI Furnizor'!$B:$B,ROW()-3)&amp;"")</f>
        <v/>
      </c>
      <c r="D136" s="28" t="str">
        <f>IF($A136="","",INDEX('PI Furnizor'!$C:$C,ROW()-3)&amp;"")</f>
        <v/>
      </c>
      <c r="E136" s="30" t="str">
        <f>IF($A136="","",N(INDEX('PI Furnizor'!$D:$D,ROW()-3)))</f>
        <v/>
      </c>
      <c r="F136" s="31" t="str">
        <f>IF(ISNUMBER($X136),INDEX(Comenzi!$G:$G,$X136),"")</f>
        <v/>
      </c>
      <c r="G136" s="32" t="str">
        <f>IF($A136="","",N(INDEX('PI Furnizor'!$E:$E,ROW()-3)))</f>
        <v/>
      </c>
      <c r="H136" s="33" t="str">
        <f t="shared" si="13"/>
        <v/>
      </c>
      <c r="I136" s="34" t="str">
        <f>IF($Y136&lt;&gt;1,"",IFERROR($AE136/INDEX(Comenzi!$AN:$AN,$X136),0))</f>
        <v/>
      </c>
      <c r="J136" s="33" t="str">
        <f>IF($Y136&lt;&gt;1,"",INDEX(Comenzi!$AG:$AG,$X136)*$I136/$E136)</f>
        <v/>
      </c>
      <c r="K136" s="33" t="str">
        <f t="shared" si="14"/>
        <v/>
      </c>
      <c r="L136" s="33" t="str">
        <f>IF($Y136&lt;&gt;1,"",$K136*$AD136+INDEX(Comenzi!$AJ:$AJ,$X136)*$I136/$E136)</f>
        <v/>
      </c>
      <c r="M136" s="33" t="str">
        <f t="shared" si="15"/>
        <v/>
      </c>
      <c r="N136" s="33" t="str">
        <f t="shared" si="16"/>
        <v/>
      </c>
      <c r="O136" s="33" t="str">
        <f>IF($Y136&lt;&gt;1,"",(INDEX(Comenzi!$AK:$AK,$X136)+N(INDEX(Comenzi!$T:$T,$X136)))*$I136/$E136)</f>
        <v/>
      </c>
      <c r="P136" s="35" t="str">
        <f t="shared" si="17"/>
        <v/>
      </c>
      <c r="Q136" s="36" t="str">
        <f t="shared" si="18"/>
        <v/>
      </c>
      <c r="R136" s="37" t="str">
        <f t="shared" si="19"/>
        <v/>
      </c>
      <c r="S136" s="38" t="str">
        <f t="shared" si="20"/>
        <v/>
      </c>
      <c r="T136" s="39" t="str">
        <f t="shared" si="21"/>
        <v/>
      </c>
      <c r="U136" s="40" t="str">
        <f t="shared" si="22"/>
        <v/>
      </c>
      <c r="V136" s="33" t="str">
        <f t="shared" si="23"/>
        <v/>
      </c>
      <c r="W136" s="33" t="str">
        <f t="shared" si="24"/>
        <v/>
      </c>
      <c r="X136" s="41" t="str">
        <f>IF($A136="","",IFERROR(MATCH($A136,Comenzi!$A$9:$A$108,0)+8,""))</f>
        <v/>
      </c>
      <c r="Y136" s="41" t="str">
        <f t="shared" si="25"/>
        <v/>
      </c>
      <c r="Z136" s="42" t="str">
        <f>IF($A136="","",IF($A136="?","Lipseste ID-ul comenzii (col. A din PI Furnizor)",IF(NOT(ISNUMBER($X136)),"ID comanda negasit in foaia Comenzi",IF(N($E136)&lt;=0,"Lipseste cantitatea",IF(N($G136)=0,"Pret unitar lipsa",IF($Y136&lt;&gt;1,"Curs sau moneda marfa lipsa (foaia Comenzi)",IF(INDEX(Comenzi!$AT:$AT,$X136)&lt;&gt;"OK","Avertisment comanda: "&amp;INDEX(Comenzi!$AT:$AT,$X136),"OK")))))))</f>
        <v/>
      </c>
      <c r="AA136" s="43" t="str">
        <f>IF(ISNUMBER($X136),INDEX(Comenzi!$H:$H,$X136),"")</f>
        <v/>
      </c>
      <c r="AB136" s="43" t="str">
        <f>IF(ISNUMBER($X136),INDEX(Comenzi!$I:$I,$X136),"")</f>
        <v/>
      </c>
      <c r="AC136" s="44" t="str">
        <f>IF(ISNUMBER($X136),IF(INDEX(Comenzi!$V:$V,$X136)="",Comenzi!$D$3,INDEX(Comenzi!$V:$V,$X136)),"")</f>
        <v/>
      </c>
      <c r="AD136" s="44" t="str">
        <f>IF(ISNUMBER($X136),IF(INDEX(Comenzi!$U:$U,$X136)="",Comenzi!$D$4,INDEX(Comenzi!$U:$U,$X136)),"")</f>
        <v/>
      </c>
      <c r="AE136" s="45" t="str">
        <f>IF($Y136&lt;&gt;1,"",IF(INDEX(Comenzi!$AM:$AM,$X136)="Greutate",INDEX('PI Furnizor'!$O:$O,ROW()-3),IF(INDEX(Comenzi!$AM:$AM,$X136)="Volum (CBM)",INDEX('PI Furnizor'!$Q:$Q,ROW()-3),IF(INDEX(Comenzi!$AM:$AM,$X136)="Valoare marfa",INDEX('PI Furnizor'!$N:$N,ROW()-3),$E136))))</f>
        <v/>
      </c>
    </row>
    <row r="137" spans="1:31" x14ac:dyDescent="0.3">
      <c r="A137" s="28" t="str">
        <f>IF(COUNTA(INDEX('PI Furnizor'!$A:$E,ROW()-3,0))=0,"",IF(INDEX('PI Furnizor'!$A:$A,ROW()-3)="","?",INDEX('PI Furnizor'!$A:$A,ROW()-3)))</f>
        <v/>
      </c>
      <c r="B137" s="29" t="str">
        <f>IF(ISNUMBER($X137),INDEX(Comenzi!$B:$B,$X137),"")</f>
        <v/>
      </c>
      <c r="C137" s="28" t="str">
        <f>IF($A137="","",INDEX('PI Furnizor'!$B:$B,ROW()-3)&amp;"")</f>
        <v/>
      </c>
      <c r="D137" s="28" t="str">
        <f>IF($A137="","",INDEX('PI Furnizor'!$C:$C,ROW()-3)&amp;"")</f>
        <v/>
      </c>
      <c r="E137" s="30" t="str">
        <f>IF($A137="","",N(INDEX('PI Furnizor'!$D:$D,ROW()-3)))</f>
        <v/>
      </c>
      <c r="F137" s="31" t="str">
        <f>IF(ISNUMBER($X137),INDEX(Comenzi!$G:$G,$X137),"")</f>
        <v/>
      </c>
      <c r="G137" s="32" t="str">
        <f>IF($A137="","",N(INDEX('PI Furnizor'!$E:$E,ROW()-3)))</f>
        <v/>
      </c>
      <c r="H137" s="33" t="str">
        <f t="shared" si="13"/>
        <v/>
      </c>
      <c r="I137" s="34" t="str">
        <f>IF($Y137&lt;&gt;1,"",IFERROR($AE137/INDEX(Comenzi!$AN:$AN,$X137),0))</f>
        <v/>
      </c>
      <c r="J137" s="33" t="str">
        <f>IF($Y137&lt;&gt;1,"",INDEX(Comenzi!$AG:$AG,$X137)*$I137/$E137)</f>
        <v/>
      </c>
      <c r="K137" s="33" t="str">
        <f t="shared" si="14"/>
        <v/>
      </c>
      <c r="L137" s="33" t="str">
        <f>IF($Y137&lt;&gt;1,"",$K137*$AD137+INDEX(Comenzi!$AJ:$AJ,$X137)*$I137/$E137)</f>
        <v/>
      </c>
      <c r="M137" s="33" t="str">
        <f t="shared" si="15"/>
        <v/>
      </c>
      <c r="N137" s="33" t="str">
        <f t="shared" si="16"/>
        <v/>
      </c>
      <c r="O137" s="33" t="str">
        <f>IF($Y137&lt;&gt;1,"",(INDEX(Comenzi!$AK:$AK,$X137)+N(INDEX(Comenzi!$T:$T,$X137)))*$I137/$E137)</f>
        <v/>
      </c>
      <c r="P137" s="35" t="str">
        <f t="shared" si="17"/>
        <v/>
      </c>
      <c r="Q137" s="36" t="str">
        <f t="shared" si="18"/>
        <v/>
      </c>
      <c r="R137" s="37" t="str">
        <f t="shared" si="19"/>
        <v/>
      </c>
      <c r="S137" s="38" t="str">
        <f t="shared" si="20"/>
        <v/>
      </c>
      <c r="T137" s="39" t="str">
        <f t="shared" si="21"/>
        <v/>
      </c>
      <c r="U137" s="40" t="str">
        <f t="shared" si="22"/>
        <v/>
      </c>
      <c r="V137" s="33" t="str">
        <f t="shared" si="23"/>
        <v/>
      </c>
      <c r="W137" s="33" t="str">
        <f t="shared" si="24"/>
        <v/>
      </c>
      <c r="X137" s="41" t="str">
        <f>IF($A137="","",IFERROR(MATCH($A137,Comenzi!$A$9:$A$108,0)+8,""))</f>
        <v/>
      </c>
      <c r="Y137" s="41" t="str">
        <f t="shared" si="25"/>
        <v/>
      </c>
      <c r="Z137" s="42" t="str">
        <f>IF($A137="","",IF($A137="?","Lipseste ID-ul comenzii (col. A din PI Furnizor)",IF(NOT(ISNUMBER($X137)),"ID comanda negasit in foaia Comenzi",IF(N($E137)&lt;=0,"Lipseste cantitatea",IF(N($G137)=0,"Pret unitar lipsa",IF($Y137&lt;&gt;1,"Curs sau moneda marfa lipsa (foaia Comenzi)",IF(INDEX(Comenzi!$AT:$AT,$X137)&lt;&gt;"OK","Avertisment comanda: "&amp;INDEX(Comenzi!$AT:$AT,$X137),"OK")))))))</f>
        <v/>
      </c>
      <c r="AA137" s="43" t="str">
        <f>IF(ISNUMBER($X137),INDEX(Comenzi!$H:$H,$X137),"")</f>
        <v/>
      </c>
      <c r="AB137" s="43" t="str">
        <f>IF(ISNUMBER($X137),INDEX(Comenzi!$I:$I,$X137),"")</f>
        <v/>
      </c>
      <c r="AC137" s="44" t="str">
        <f>IF(ISNUMBER($X137),IF(INDEX(Comenzi!$V:$V,$X137)="",Comenzi!$D$3,INDEX(Comenzi!$V:$V,$X137)),"")</f>
        <v/>
      </c>
      <c r="AD137" s="44" t="str">
        <f>IF(ISNUMBER($X137),IF(INDEX(Comenzi!$U:$U,$X137)="",Comenzi!$D$4,INDEX(Comenzi!$U:$U,$X137)),"")</f>
        <v/>
      </c>
      <c r="AE137" s="45" t="str">
        <f>IF($Y137&lt;&gt;1,"",IF(INDEX(Comenzi!$AM:$AM,$X137)="Greutate",INDEX('PI Furnizor'!$O:$O,ROW()-3),IF(INDEX(Comenzi!$AM:$AM,$X137)="Volum (CBM)",INDEX('PI Furnizor'!$Q:$Q,ROW()-3),IF(INDEX(Comenzi!$AM:$AM,$X137)="Valoare marfa",INDEX('PI Furnizor'!$N:$N,ROW()-3),$E137))))</f>
        <v/>
      </c>
    </row>
    <row r="138" spans="1:31" x14ac:dyDescent="0.3">
      <c r="A138" s="28" t="str">
        <f>IF(COUNTA(INDEX('PI Furnizor'!$A:$E,ROW()-3,0))=0,"",IF(INDEX('PI Furnizor'!$A:$A,ROW()-3)="","?",INDEX('PI Furnizor'!$A:$A,ROW()-3)))</f>
        <v/>
      </c>
      <c r="B138" s="29" t="str">
        <f>IF(ISNUMBER($X138),INDEX(Comenzi!$B:$B,$X138),"")</f>
        <v/>
      </c>
      <c r="C138" s="28" t="str">
        <f>IF($A138="","",INDEX('PI Furnizor'!$B:$B,ROW()-3)&amp;"")</f>
        <v/>
      </c>
      <c r="D138" s="28" t="str">
        <f>IF($A138="","",INDEX('PI Furnizor'!$C:$C,ROW()-3)&amp;"")</f>
        <v/>
      </c>
      <c r="E138" s="30" t="str">
        <f>IF($A138="","",N(INDEX('PI Furnizor'!$D:$D,ROW()-3)))</f>
        <v/>
      </c>
      <c r="F138" s="31" t="str">
        <f>IF(ISNUMBER($X138),INDEX(Comenzi!$G:$G,$X138),"")</f>
        <v/>
      </c>
      <c r="G138" s="32" t="str">
        <f>IF($A138="","",N(INDEX('PI Furnizor'!$E:$E,ROW()-3)))</f>
        <v/>
      </c>
      <c r="H138" s="33" t="str">
        <f t="shared" ref="H138:H201" si="26">IF($Y138&lt;&gt;1,"",$G138*IF($F138="USD",$AA138,IF($F138="EUR",$AB138,1)))</f>
        <v/>
      </c>
      <c r="I138" s="34" t="str">
        <f>IF($Y138&lt;&gt;1,"",IFERROR($AE138/INDEX(Comenzi!$AN:$AN,$X138),0))</f>
        <v/>
      </c>
      <c r="J138" s="33" t="str">
        <f>IF($Y138&lt;&gt;1,"",INDEX(Comenzi!$AG:$AG,$X138)*$I138/$E138)</f>
        <v/>
      </c>
      <c r="K138" s="33" t="str">
        <f t="shared" ref="K138:K201" si="27">IF($Y138&lt;&gt;1,"",$H138+$J138)</f>
        <v/>
      </c>
      <c r="L138" s="33" t="str">
        <f>IF($Y138&lt;&gt;1,"",$K138*$AD138+INDEX(Comenzi!$AJ:$AJ,$X138)*$I138/$E138)</f>
        <v/>
      </c>
      <c r="M138" s="33" t="str">
        <f t="shared" ref="M138:M201" si="28">IF($Y138&lt;&gt;1,"",$K138+$L138)</f>
        <v/>
      </c>
      <c r="N138" s="33" t="str">
        <f t="shared" ref="N138:N201" si="29">IF($Y138&lt;&gt;1,"",$M138*$AC138)</f>
        <v/>
      </c>
      <c r="O138" s="33" t="str">
        <f>IF($Y138&lt;&gt;1,"",(INDEX(Comenzi!$AK:$AK,$X138)+N(INDEX(Comenzi!$T:$T,$X138)))*$I138/$E138)</f>
        <v/>
      </c>
      <c r="P138" s="35" t="str">
        <f t="shared" ref="P138:P201" si="30">IF($Y138&lt;&gt;1,"",$M138+$O138)</f>
        <v/>
      </c>
      <c r="Q138" s="36" t="str">
        <f t="shared" ref="Q138:Q201" si="31">IF($Y138&lt;&gt;1,"",$P138/$AB138)</f>
        <v/>
      </c>
      <c r="R138" s="37" t="str">
        <f t="shared" ref="R138:R201" si="32">IF($Y138&lt;&gt;1,"",$P138/$AA138)</f>
        <v/>
      </c>
      <c r="S138" s="38" t="str">
        <f t="shared" ref="S138:S201" si="33">IF($Y138&lt;&gt;1,"",$P138+$N138)</f>
        <v/>
      </c>
      <c r="T138" s="39" t="str">
        <f t="shared" ref="T138:T201" si="34">IF($Y138&lt;&gt;1,"",$S138/$AB138)</f>
        <v/>
      </c>
      <c r="U138" s="40" t="str">
        <f t="shared" ref="U138:U201" si="35">IF($Y138&lt;&gt;1,"",$S138/$AA138)</f>
        <v/>
      </c>
      <c r="V138" s="33" t="str">
        <f t="shared" ref="V138:V201" si="36">IF($Y138&lt;&gt;1,"",$P138*$E138)</f>
        <v/>
      </c>
      <c r="W138" s="33" t="str">
        <f t="shared" ref="W138:W201" si="37">IF($Y138&lt;&gt;1,"",$S138*$E138)</f>
        <v/>
      </c>
      <c r="X138" s="41" t="str">
        <f>IF($A138="","",IFERROR(MATCH($A138,Comenzi!$A$9:$A$108,0)+8,""))</f>
        <v/>
      </c>
      <c r="Y138" s="41" t="str">
        <f t="shared" ref="Y138:Y201" si="38">IF($A138="","",IF(AND(ISNUMBER($X138),N($E138)&gt;0,N($AA138)&gt;0,N($AB138)&gt;0,OR($F138="USD",$F138="EUR",$F138="RON")),1,0))</f>
        <v/>
      </c>
      <c r="Z138" s="42" t="str">
        <f>IF($A138="","",IF($A138="?","Lipseste ID-ul comenzii (col. A din PI Furnizor)",IF(NOT(ISNUMBER($X138)),"ID comanda negasit in foaia Comenzi",IF(N($E138)&lt;=0,"Lipseste cantitatea",IF(N($G138)=0,"Pret unitar lipsa",IF($Y138&lt;&gt;1,"Curs sau moneda marfa lipsa (foaia Comenzi)",IF(INDEX(Comenzi!$AT:$AT,$X138)&lt;&gt;"OK","Avertisment comanda: "&amp;INDEX(Comenzi!$AT:$AT,$X138),"OK")))))))</f>
        <v/>
      </c>
      <c r="AA138" s="43" t="str">
        <f>IF(ISNUMBER($X138),INDEX(Comenzi!$H:$H,$X138),"")</f>
        <v/>
      </c>
      <c r="AB138" s="43" t="str">
        <f>IF(ISNUMBER($X138),INDEX(Comenzi!$I:$I,$X138),"")</f>
        <v/>
      </c>
      <c r="AC138" s="44" t="str">
        <f>IF(ISNUMBER($X138),IF(INDEX(Comenzi!$V:$V,$X138)="",Comenzi!$D$3,INDEX(Comenzi!$V:$V,$X138)),"")</f>
        <v/>
      </c>
      <c r="AD138" s="44" t="str">
        <f>IF(ISNUMBER($X138),IF(INDEX(Comenzi!$U:$U,$X138)="",Comenzi!$D$4,INDEX(Comenzi!$U:$U,$X138)),"")</f>
        <v/>
      </c>
      <c r="AE138" s="45" t="str">
        <f>IF($Y138&lt;&gt;1,"",IF(INDEX(Comenzi!$AM:$AM,$X138)="Greutate",INDEX('PI Furnizor'!$O:$O,ROW()-3),IF(INDEX(Comenzi!$AM:$AM,$X138)="Volum (CBM)",INDEX('PI Furnizor'!$Q:$Q,ROW()-3),IF(INDEX(Comenzi!$AM:$AM,$X138)="Valoare marfa",INDEX('PI Furnizor'!$N:$N,ROW()-3),$E138))))</f>
        <v/>
      </c>
    </row>
    <row r="139" spans="1:31" x14ac:dyDescent="0.3">
      <c r="A139" s="28" t="str">
        <f>IF(COUNTA(INDEX('PI Furnizor'!$A:$E,ROW()-3,0))=0,"",IF(INDEX('PI Furnizor'!$A:$A,ROW()-3)="","?",INDEX('PI Furnizor'!$A:$A,ROW()-3)))</f>
        <v/>
      </c>
      <c r="B139" s="29" t="str">
        <f>IF(ISNUMBER($X139),INDEX(Comenzi!$B:$B,$X139),"")</f>
        <v/>
      </c>
      <c r="C139" s="28" t="str">
        <f>IF($A139="","",INDEX('PI Furnizor'!$B:$B,ROW()-3)&amp;"")</f>
        <v/>
      </c>
      <c r="D139" s="28" t="str">
        <f>IF($A139="","",INDEX('PI Furnizor'!$C:$C,ROW()-3)&amp;"")</f>
        <v/>
      </c>
      <c r="E139" s="30" t="str">
        <f>IF($A139="","",N(INDEX('PI Furnizor'!$D:$D,ROW()-3)))</f>
        <v/>
      </c>
      <c r="F139" s="31" t="str">
        <f>IF(ISNUMBER($X139),INDEX(Comenzi!$G:$G,$X139),"")</f>
        <v/>
      </c>
      <c r="G139" s="32" t="str">
        <f>IF($A139="","",N(INDEX('PI Furnizor'!$E:$E,ROW()-3)))</f>
        <v/>
      </c>
      <c r="H139" s="33" t="str">
        <f t="shared" si="26"/>
        <v/>
      </c>
      <c r="I139" s="34" t="str">
        <f>IF($Y139&lt;&gt;1,"",IFERROR($AE139/INDEX(Comenzi!$AN:$AN,$X139),0))</f>
        <v/>
      </c>
      <c r="J139" s="33" t="str">
        <f>IF($Y139&lt;&gt;1,"",INDEX(Comenzi!$AG:$AG,$X139)*$I139/$E139)</f>
        <v/>
      </c>
      <c r="K139" s="33" t="str">
        <f t="shared" si="27"/>
        <v/>
      </c>
      <c r="L139" s="33" t="str">
        <f>IF($Y139&lt;&gt;1,"",$K139*$AD139+INDEX(Comenzi!$AJ:$AJ,$X139)*$I139/$E139)</f>
        <v/>
      </c>
      <c r="M139" s="33" t="str">
        <f t="shared" si="28"/>
        <v/>
      </c>
      <c r="N139" s="33" t="str">
        <f t="shared" si="29"/>
        <v/>
      </c>
      <c r="O139" s="33" t="str">
        <f>IF($Y139&lt;&gt;1,"",(INDEX(Comenzi!$AK:$AK,$X139)+N(INDEX(Comenzi!$T:$T,$X139)))*$I139/$E139)</f>
        <v/>
      </c>
      <c r="P139" s="35" t="str">
        <f t="shared" si="30"/>
        <v/>
      </c>
      <c r="Q139" s="36" t="str">
        <f t="shared" si="31"/>
        <v/>
      </c>
      <c r="R139" s="37" t="str">
        <f t="shared" si="32"/>
        <v/>
      </c>
      <c r="S139" s="38" t="str">
        <f t="shared" si="33"/>
        <v/>
      </c>
      <c r="T139" s="39" t="str">
        <f t="shared" si="34"/>
        <v/>
      </c>
      <c r="U139" s="40" t="str">
        <f t="shared" si="35"/>
        <v/>
      </c>
      <c r="V139" s="33" t="str">
        <f t="shared" si="36"/>
        <v/>
      </c>
      <c r="W139" s="33" t="str">
        <f t="shared" si="37"/>
        <v/>
      </c>
      <c r="X139" s="41" t="str">
        <f>IF($A139="","",IFERROR(MATCH($A139,Comenzi!$A$9:$A$108,0)+8,""))</f>
        <v/>
      </c>
      <c r="Y139" s="41" t="str">
        <f t="shared" si="38"/>
        <v/>
      </c>
      <c r="Z139" s="42" t="str">
        <f>IF($A139="","",IF($A139="?","Lipseste ID-ul comenzii (col. A din PI Furnizor)",IF(NOT(ISNUMBER($X139)),"ID comanda negasit in foaia Comenzi",IF(N($E139)&lt;=0,"Lipseste cantitatea",IF(N($G139)=0,"Pret unitar lipsa",IF($Y139&lt;&gt;1,"Curs sau moneda marfa lipsa (foaia Comenzi)",IF(INDEX(Comenzi!$AT:$AT,$X139)&lt;&gt;"OK","Avertisment comanda: "&amp;INDEX(Comenzi!$AT:$AT,$X139),"OK")))))))</f>
        <v/>
      </c>
      <c r="AA139" s="43" t="str">
        <f>IF(ISNUMBER($X139),INDEX(Comenzi!$H:$H,$X139),"")</f>
        <v/>
      </c>
      <c r="AB139" s="43" t="str">
        <f>IF(ISNUMBER($X139),INDEX(Comenzi!$I:$I,$X139),"")</f>
        <v/>
      </c>
      <c r="AC139" s="44" t="str">
        <f>IF(ISNUMBER($X139),IF(INDEX(Comenzi!$V:$V,$X139)="",Comenzi!$D$3,INDEX(Comenzi!$V:$V,$X139)),"")</f>
        <v/>
      </c>
      <c r="AD139" s="44" t="str">
        <f>IF(ISNUMBER($X139),IF(INDEX(Comenzi!$U:$U,$X139)="",Comenzi!$D$4,INDEX(Comenzi!$U:$U,$X139)),"")</f>
        <v/>
      </c>
      <c r="AE139" s="45" t="str">
        <f>IF($Y139&lt;&gt;1,"",IF(INDEX(Comenzi!$AM:$AM,$X139)="Greutate",INDEX('PI Furnizor'!$O:$O,ROW()-3),IF(INDEX(Comenzi!$AM:$AM,$X139)="Volum (CBM)",INDEX('PI Furnizor'!$Q:$Q,ROW()-3),IF(INDEX(Comenzi!$AM:$AM,$X139)="Valoare marfa",INDEX('PI Furnizor'!$N:$N,ROW()-3),$E139))))</f>
        <v/>
      </c>
    </row>
    <row r="140" spans="1:31" x14ac:dyDescent="0.3">
      <c r="A140" s="28" t="str">
        <f>IF(COUNTA(INDEX('PI Furnizor'!$A:$E,ROW()-3,0))=0,"",IF(INDEX('PI Furnizor'!$A:$A,ROW()-3)="","?",INDEX('PI Furnizor'!$A:$A,ROW()-3)))</f>
        <v/>
      </c>
      <c r="B140" s="29" t="str">
        <f>IF(ISNUMBER($X140),INDEX(Comenzi!$B:$B,$X140),"")</f>
        <v/>
      </c>
      <c r="C140" s="28" t="str">
        <f>IF($A140="","",INDEX('PI Furnizor'!$B:$B,ROW()-3)&amp;"")</f>
        <v/>
      </c>
      <c r="D140" s="28" t="str">
        <f>IF($A140="","",INDEX('PI Furnizor'!$C:$C,ROW()-3)&amp;"")</f>
        <v/>
      </c>
      <c r="E140" s="30" t="str">
        <f>IF($A140="","",N(INDEX('PI Furnizor'!$D:$D,ROW()-3)))</f>
        <v/>
      </c>
      <c r="F140" s="31" t="str">
        <f>IF(ISNUMBER($X140),INDEX(Comenzi!$G:$G,$X140),"")</f>
        <v/>
      </c>
      <c r="G140" s="32" t="str">
        <f>IF($A140="","",N(INDEX('PI Furnizor'!$E:$E,ROW()-3)))</f>
        <v/>
      </c>
      <c r="H140" s="33" t="str">
        <f t="shared" si="26"/>
        <v/>
      </c>
      <c r="I140" s="34" t="str">
        <f>IF($Y140&lt;&gt;1,"",IFERROR($AE140/INDEX(Comenzi!$AN:$AN,$X140),0))</f>
        <v/>
      </c>
      <c r="J140" s="33" t="str">
        <f>IF($Y140&lt;&gt;1,"",INDEX(Comenzi!$AG:$AG,$X140)*$I140/$E140)</f>
        <v/>
      </c>
      <c r="K140" s="33" t="str">
        <f t="shared" si="27"/>
        <v/>
      </c>
      <c r="L140" s="33" t="str">
        <f>IF($Y140&lt;&gt;1,"",$K140*$AD140+INDEX(Comenzi!$AJ:$AJ,$X140)*$I140/$E140)</f>
        <v/>
      </c>
      <c r="M140" s="33" t="str">
        <f t="shared" si="28"/>
        <v/>
      </c>
      <c r="N140" s="33" t="str">
        <f t="shared" si="29"/>
        <v/>
      </c>
      <c r="O140" s="33" t="str">
        <f>IF($Y140&lt;&gt;1,"",(INDEX(Comenzi!$AK:$AK,$X140)+N(INDEX(Comenzi!$T:$T,$X140)))*$I140/$E140)</f>
        <v/>
      </c>
      <c r="P140" s="35" t="str">
        <f t="shared" si="30"/>
        <v/>
      </c>
      <c r="Q140" s="36" t="str">
        <f t="shared" si="31"/>
        <v/>
      </c>
      <c r="R140" s="37" t="str">
        <f t="shared" si="32"/>
        <v/>
      </c>
      <c r="S140" s="38" t="str">
        <f t="shared" si="33"/>
        <v/>
      </c>
      <c r="T140" s="39" t="str">
        <f t="shared" si="34"/>
        <v/>
      </c>
      <c r="U140" s="40" t="str">
        <f t="shared" si="35"/>
        <v/>
      </c>
      <c r="V140" s="33" t="str">
        <f t="shared" si="36"/>
        <v/>
      </c>
      <c r="W140" s="33" t="str">
        <f t="shared" si="37"/>
        <v/>
      </c>
      <c r="X140" s="41" t="str">
        <f>IF($A140="","",IFERROR(MATCH($A140,Comenzi!$A$9:$A$108,0)+8,""))</f>
        <v/>
      </c>
      <c r="Y140" s="41" t="str">
        <f t="shared" si="38"/>
        <v/>
      </c>
      <c r="Z140" s="42" t="str">
        <f>IF($A140="","",IF($A140="?","Lipseste ID-ul comenzii (col. A din PI Furnizor)",IF(NOT(ISNUMBER($X140)),"ID comanda negasit in foaia Comenzi",IF(N($E140)&lt;=0,"Lipseste cantitatea",IF(N($G140)=0,"Pret unitar lipsa",IF($Y140&lt;&gt;1,"Curs sau moneda marfa lipsa (foaia Comenzi)",IF(INDEX(Comenzi!$AT:$AT,$X140)&lt;&gt;"OK","Avertisment comanda: "&amp;INDEX(Comenzi!$AT:$AT,$X140),"OK")))))))</f>
        <v/>
      </c>
      <c r="AA140" s="43" t="str">
        <f>IF(ISNUMBER($X140),INDEX(Comenzi!$H:$H,$X140),"")</f>
        <v/>
      </c>
      <c r="AB140" s="43" t="str">
        <f>IF(ISNUMBER($X140),INDEX(Comenzi!$I:$I,$X140),"")</f>
        <v/>
      </c>
      <c r="AC140" s="44" t="str">
        <f>IF(ISNUMBER($X140),IF(INDEX(Comenzi!$V:$V,$X140)="",Comenzi!$D$3,INDEX(Comenzi!$V:$V,$X140)),"")</f>
        <v/>
      </c>
      <c r="AD140" s="44" t="str">
        <f>IF(ISNUMBER($X140),IF(INDEX(Comenzi!$U:$U,$X140)="",Comenzi!$D$4,INDEX(Comenzi!$U:$U,$X140)),"")</f>
        <v/>
      </c>
      <c r="AE140" s="45" t="str">
        <f>IF($Y140&lt;&gt;1,"",IF(INDEX(Comenzi!$AM:$AM,$X140)="Greutate",INDEX('PI Furnizor'!$O:$O,ROW()-3),IF(INDEX(Comenzi!$AM:$AM,$X140)="Volum (CBM)",INDEX('PI Furnizor'!$Q:$Q,ROW()-3),IF(INDEX(Comenzi!$AM:$AM,$X140)="Valoare marfa",INDEX('PI Furnizor'!$N:$N,ROW()-3),$E140))))</f>
        <v/>
      </c>
    </row>
    <row r="141" spans="1:31" x14ac:dyDescent="0.3">
      <c r="A141" s="28" t="str">
        <f>IF(COUNTA(INDEX('PI Furnizor'!$A:$E,ROW()-3,0))=0,"",IF(INDEX('PI Furnizor'!$A:$A,ROW()-3)="","?",INDEX('PI Furnizor'!$A:$A,ROW()-3)))</f>
        <v/>
      </c>
      <c r="B141" s="29" t="str">
        <f>IF(ISNUMBER($X141),INDEX(Comenzi!$B:$B,$X141),"")</f>
        <v/>
      </c>
      <c r="C141" s="28" t="str">
        <f>IF($A141="","",INDEX('PI Furnizor'!$B:$B,ROW()-3)&amp;"")</f>
        <v/>
      </c>
      <c r="D141" s="28" t="str">
        <f>IF($A141="","",INDEX('PI Furnizor'!$C:$C,ROW()-3)&amp;"")</f>
        <v/>
      </c>
      <c r="E141" s="30" t="str">
        <f>IF($A141="","",N(INDEX('PI Furnizor'!$D:$D,ROW()-3)))</f>
        <v/>
      </c>
      <c r="F141" s="31" t="str">
        <f>IF(ISNUMBER($X141),INDEX(Comenzi!$G:$G,$X141),"")</f>
        <v/>
      </c>
      <c r="G141" s="32" t="str">
        <f>IF($A141="","",N(INDEX('PI Furnizor'!$E:$E,ROW()-3)))</f>
        <v/>
      </c>
      <c r="H141" s="33" t="str">
        <f t="shared" si="26"/>
        <v/>
      </c>
      <c r="I141" s="34" t="str">
        <f>IF($Y141&lt;&gt;1,"",IFERROR($AE141/INDEX(Comenzi!$AN:$AN,$X141),0))</f>
        <v/>
      </c>
      <c r="J141" s="33" t="str">
        <f>IF($Y141&lt;&gt;1,"",INDEX(Comenzi!$AG:$AG,$X141)*$I141/$E141)</f>
        <v/>
      </c>
      <c r="K141" s="33" t="str">
        <f t="shared" si="27"/>
        <v/>
      </c>
      <c r="L141" s="33" t="str">
        <f>IF($Y141&lt;&gt;1,"",$K141*$AD141+INDEX(Comenzi!$AJ:$AJ,$X141)*$I141/$E141)</f>
        <v/>
      </c>
      <c r="M141" s="33" t="str">
        <f t="shared" si="28"/>
        <v/>
      </c>
      <c r="N141" s="33" t="str">
        <f t="shared" si="29"/>
        <v/>
      </c>
      <c r="O141" s="33" t="str">
        <f>IF($Y141&lt;&gt;1,"",(INDEX(Comenzi!$AK:$AK,$X141)+N(INDEX(Comenzi!$T:$T,$X141)))*$I141/$E141)</f>
        <v/>
      </c>
      <c r="P141" s="35" t="str">
        <f t="shared" si="30"/>
        <v/>
      </c>
      <c r="Q141" s="36" t="str">
        <f t="shared" si="31"/>
        <v/>
      </c>
      <c r="R141" s="37" t="str">
        <f t="shared" si="32"/>
        <v/>
      </c>
      <c r="S141" s="38" t="str">
        <f t="shared" si="33"/>
        <v/>
      </c>
      <c r="T141" s="39" t="str">
        <f t="shared" si="34"/>
        <v/>
      </c>
      <c r="U141" s="40" t="str">
        <f t="shared" si="35"/>
        <v/>
      </c>
      <c r="V141" s="33" t="str">
        <f t="shared" si="36"/>
        <v/>
      </c>
      <c r="W141" s="33" t="str">
        <f t="shared" si="37"/>
        <v/>
      </c>
      <c r="X141" s="41" t="str">
        <f>IF($A141="","",IFERROR(MATCH($A141,Comenzi!$A$9:$A$108,0)+8,""))</f>
        <v/>
      </c>
      <c r="Y141" s="41" t="str">
        <f t="shared" si="38"/>
        <v/>
      </c>
      <c r="Z141" s="42" t="str">
        <f>IF($A141="","",IF($A141="?","Lipseste ID-ul comenzii (col. A din PI Furnizor)",IF(NOT(ISNUMBER($X141)),"ID comanda negasit in foaia Comenzi",IF(N($E141)&lt;=0,"Lipseste cantitatea",IF(N($G141)=0,"Pret unitar lipsa",IF($Y141&lt;&gt;1,"Curs sau moneda marfa lipsa (foaia Comenzi)",IF(INDEX(Comenzi!$AT:$AT,$X141)&lt;&gt;"OK","Avertisment comanda: "&amp;INDEX(Comenzi!$AT:$AT,$X141),"OK")))))))</f>
        <v/>
      </c>
      <c r="AA141" s="43" t="str">
        <f>IF(ISNUMBER($X141),INDEX(Comenzi!$H:$H,$X141),"")</f>
        <v/>
      </c>
      <c r="AB141" s="43" t="str">
        <f>IF(ISNUMBER($X141),INDEX(Comenzi!$I:$I,$X141),"")</f>
        <v/>
      </c>
      <c r="AC141" s="44" t="str">
        <f>IF(ISNUMBER($X141),IF(INDEX(Comenzi!$V:$V,$X141)="",Comenzi!$D$3,INDEX(Comenzi!$V:$V,$X141)),"")</f>
        <v/>
      </c>
      <c r="AD141" s="44" t="str">
        <f>IF(ISNUMBER($X141),IF(INDEX(Comenzi!$U:$U,$X141)="",Comenzi!$D$4,INDEX(Comenzi!$U:$U,$X141)),"")</f>
        <v/>
      </c>
      <c r="AE141" s="45" t="str">
        <f>IF($Y141&lt;&gt;1,"",IF(INDEX(Comenzi!$AM:$AM,$X141)="Greutate",INDEX('PI Furnizor'!$O:$O,ROW()-3),IF(INDEX(Comenzi!$AM:$AM,$X141)="Volum (CBM)",INDEX('PI Furnizor'!$Q:$Q,ROW()-3),IF(INDEX(Comenzi!$AM:$AM,$X141)="Valoare marfa",INDEX('PI Furnizor'!$N:$N,ROW()-3),$E141))))</f>
        <v/>
      </c>
    </row>
    <row r="142" spans="1:31" x14ac:dyDescent="0.3">
      <c r="A142" s="28" t="str">
        <f>IF(COUNTA(INDEX('PI Furnizor'!$A:$E,ROW()-3,0))=0,"",IF(INDEX('PI Furnizor'!$A:$A,ROW()-3)="","?",INDEX('PI Furnizor'!$A:$A,ROW()-3)))</f>
        <v/>
      </c>
      <c r="B142" s="29" t="str">
        <f>IF(ISNUMBER($X142),INDEX(Comenzi!$B:$B,$X142),"")</f>
        <v/>
      </c>
      <c r="C142" s="28" t="str">
        <f>IF($A142="","",INDEX('PI Furnizor'!$B:$B,ROW()-3)&amp;"")</f>
        <v/>
      </c>
      <c r="D142" s="28" t="str">
        <f>IF($A142="","",INDEX('PI Furnizor'!$C:$C,ROW()-3)&amp;"")</f>
        <v/>
      </c>
      <c r="E142" s="30" t="str">
        <f>IF($A142="","",N(INDEX('PI Furnizor'!$D:$D,ROW()-3)))</f>
        <v/>
      </c>
      <c r="F142" s="31" t="str">
        <f>IF(ISNUMBER($X142),INDEX(Comenzi!$G:$G,$X142),"")</f>
        <v/>
      </c>
      <c r="G142" s="32" t="str">
        <f>IF($A142="","",N(INDEX('PI Furnizor'!$E:$E,ROW()-3)))</f>
        <v/>
      </c>
      <c r="H142" s="33" t="str">
        <f t="shared" si="26"/>
        <v/>
      </c>
      <c r="I142" s="34" t="str">
        <f>IF($Y142&lt;&gt;1,"",IFERROR($AE142/INDEX(Comenzi!$AN:$AN,$X142),0))</f>
        <v/>
      </c>
      <c r="J142" s="33" t="str">
        <f>IF($Y142&lt;&gt;1,"",INDEX(Comenzi!$AG:$AG,$X142)*$I142/$E142)</f>
        <v/>
      </c>
      <c r="K142" s="33" t="str">
        <f t="shared" si="27"/>
        <v/>
      </c>
      <c r="L142" s="33" t="str">
        <f>IF($Y142&lt;&gt;1,"",$K142*$AD142+INDEX(Comenzi!$AJ:$AJ,$X142)*$I142/$E142)</f>
        <v/>
      </c>
      <c r="M142" s="33" t="str">
        <f t="shared" si="28"/>
        <v/>
      </c>
      <c r="N142" s="33" t="str">
        <f t="shared" si="29"/>
        <v/>
      </c>
      <c r="O142" s="33" t="str">
        <f>IF($Y142&lt;&gt;1,"",(INDEX(Comenzi!$AK:$AK,$X142)+N(INDEX(Comenzi!$T:$T,$X142)))*$I142/$E142)</f>
        <v/>
      </c>
      <c r="P142" s="35" t="str">
        <f t="shared" si="30"/>
        <v/>
      </c>
      <c r="Q142" s="36" t="str">
        <f t="shared" si="31"/>
        <v/>
      </c>
      <c r="R142" s="37" t="str">
        <f t="shared" si="32"/>
        <v/>
      </c>
      <c r="S142" s="38" t="str">
        <f t="shared" si="33"/>
        <v/>
      </c>
      <c r="T142" s="39" t="str">
        <f t="shared" si="34"/>
        <v/>
      </c>
      <c r="U142" s="40" t="str">
        <f t="shared" si="35"/>
        <v/>
      </c>
      <c r="V142" s="33" t="str">
        <f t="shared" si="36"/>
        <v/>
      </c>
      <c r="W142" s="33" t="str">
        <f t="shared" si="37"/>
        <v/>
      </c>
      <c r="X142" s="41" t="str">
        <f>IF($A142="","",IFERROR(MATCH($A142,Comenzi!$A$9:$A$108,0)+8,""))</f>
        <v/>
      </c>
      <c r="Y142" s="41" t="str">
        <f t="shared" si="38"/>
        <v/>
      </c>
      <c r="Z142" s="42" t="str">
        <f>IF($A142="","",IF($A142="?","Lipseste ID-ul comenzii (col. A din PI Furnizor)",IF(NOT(ISNUMBER($X142)),"ID comanda negasit in foaia Comenzi",IF(N($E142)&lt;=0,"Lipseste cantitatea",IF(N($G142)=0,"Pret unitar lipsa",IF($Y142&lt;&gt;1,"Curs sau moneda marfa lipsa (foaia Comenzi)",IF(INDEX(Comenzi!$AT:$AT,$X142)&lt;&gt;"OK","Avertisment comanda: "&amp;INDEX(Comenzi!$AT:$AT,$X142),"OK")))))))</f>
        <v/>
      </c>
      <c r="AA142" s="43" t="str">
        <f>IF(ISNUMBER($X142),INDEX(Comenzi!$H:$H,$X142),"")</f>
        <v/>
      </c>
      <c r="AB142" s="43" t="str">
        <f>IF(ISNUMBER($X142),INDEX(Comenzi!$I:$I,$X142),"")</f>
        <v/>
      </c>
      <c r="AC142" s="44" t="str">
        <f>IF(ISNUMBER($X142),IF(INDEX(Comenzi!$V:$V,$X142)="",Comenzi!$D$3,INDEX(Comenzi!$V:$V,$X142)),"")</f>
        <v/>
      </c>
      <c r="AD142" s="44" t="str">
        <f>IF(ISNUMBER($X142),IF(INDEX(Comenzi!$U:$U,$X142)="",Comenzi!$D$4,INDEX(Comenzi!$U:$U,$X142)),"")</f>
        <v/>
      </c>
      <c r="AE142" s="45" t="str">
        <f>IF($Y142&lt;&gt;1,"",IF(INDEX(Comenzi!$AM:$AM,$X142)="Greutate",INDEX('PI Furnizor'!$O:$O,ROW()-3),IF(INDEX(Comenzi!$AM:$AM,$X142)="Volum (CBM)",INDEX('PI Furnizor'!$Q:$Q,ROW()-3),IF(INDEX(Comenzi!$AM:$AM,$X142)="Valoare marfa",INDEX('PI Furnizor'!$N:$N,ROW()-3),$E142))))</f>
        <v/>
      </c>
    </row>
    <row r="143" spans="1:31" x14ac:dyDescent="0.3">
      <c r="A143" s="28" t="str">
        <f>IF(COUNTA(INDEX('PI Furnizor'!$A:$E,ROW()-3,0))=0,"",IF(INDEX('PI Furnizor'!$A:$A,ROW()-3)="","?",INDEX('PI Furnizor'!$A:$A,ROW()-3)))</f>
        <v/>
      </c>
      <c r="B143" s="29" t="str">
        <f>IF(ISNUMBER($X143),INDEX(Comenzi!$B:$B,$X143),"")</f>
        <v/>
      </c>
      <c r="C143" s="28" t="str">
        <f>IF($A143="","",INDEX('PI Furnizor'!$B:$B,ROW()-3)&amp;"")</f>
        <v/>
      </c>
      <c r="D143" s="28" t="str">
        <f>IF($A143="","",INDEX('PI Furnizor'!$C:$C,ROW()-3)&amp;"")</f>
        <v/>
      </c>
      <c r="E143" s="30" t="str">
        <f>IF($A143="","",N(INDEX('PI Furnizor'!$D:$D,ROW()-3)))</f>
        <v/>
      </c>
      <c r="F143" s="31" t="str">
        <f>IF(ISNUMBER($X143),INDEX(Comenzi!$G:$G,$X143),"")</f>
        <v/>
      </c>
      <c r="G143" s="32" t="str">
        <f>IF($A143="","",N(INDEX('PI Furnizor'!$E:$E,ROW()-3)))</f>
        <v/>
      </c>
      <c r="H143" s="33" t="str">
        <f t="shared" si="26"/>
        <v/>
      </c>
      <c r="I143" s="34" t="str">
        <f>IF($Y143&lt;&gt;1,"",IFERROR($AE143/INDEX(Comenzi!$AN:$AN,$X143),0))</f>
        <v/>
      </c>
      <c r="J143" s="33" t="str">
        <f>IF($Y143&lt;&gt;1,"",INDEX(Comenzi!$AG:$AG,$X143)*$I143/$E143)</f>
        <v/>
      </c>
      <c r="K143" s="33" t="str">
        <f t="shared" si="27"/>
        <v/>
      </c>
      <c r="L143" s="33" t="str">
        <f>IF($Y143&lt;&gt;1,"",$K143*$AD143+INDEX(Comenzi!$AJ:$AJ,$X143)*$I143/$E143)</f>
        <v/>
      </c>
      <c r="M143" s="33" t="str">
        <f t="shared" si="28"/>
        <v/>
      </c>
      <c r="N143" s="33" t="str">
        <f t="shared" si="29"/>
        <v/>
      </c>
      <c r="O143" s="33" t="str">
        <f>IF($Y143&lt;&gt;1,"",(INDEX(Comenzi!$AK:$AK,$X143)+N(INDEX(Comenzi!$T:$T,$X143)))*$I143/$E143)</f>
        <v/>
      </c>
      <c r="P143" s="35" t="str">
        <f t="shared" si="30"/>
        <v/>
      </c>
      <c r="Q143" s="36" t="str">
        <f t="shared" si="31"/>
        <v/>
      </c>
      <c r="R143" s="37" t="str">
        <f t="shared" si="32"/>
        <v/>
      </c>
      <c r="S143" s="38" t="str">
        <f t="shared" si="33"/>
        <v/>
      </c>
      <c r="T143" s="39" t="str">
        <f t="shared" si="34"/>
        <v/>
      </c>
      <c r="U143" s="40" t="str">
        <f t="shared" si="35"/>
        <v/>
      </c>
      <c r="V143" s="33" t="str">
        <f t="shared" si="36"/>
        <v/>
      </c>
      <c r="W143" s="33" t="str">
        <f t="shared" si="37"/>
        <v/>
      </c>
      <c r="X143" s="41" t="str">
        <f>IF($A143="","",IFERROR(MATCH($A143,Comenzi!$A$9:$A$108,0)+8,""))</f>
        <v/>
      </c>
      <c r="Y143" s="41" t="str">
        <f t="shared" si="38"/>
        <v/>
      </c>
      <c r="Z143" s="42" t="str">
        <f>IF($A143="","",IF($A143="?","Lipseste ID-ul comenzii (col. A din PI Furnizor)",IF(NOT(ISNUMBER($X143)),"ID comanda negasit in foaia Comenzi",IF(N($E143)&lt;=0,"Lipseste cantitatea",IF(N($G143)=0,"Pret unitar lipsa",IF($Y143&lt;&gt;1,"Curs sau moneda marfa lipsa (foaia Comenzi)",IF(INDEX(Comenzi!$AT:$AT,$X143)&lt;&gt;"OK","Avertisment comanda: "&amp;INDEX(Comenzi!$AT:$AT,$X143),"OK")))))))</f>
        <v/>
      </c>
      <c r="AA143" s="43" t="str">
        <f>IF(ISNUMBER($X143),INDEX(Comenzi!$H:$H,$X143),"")</f>
        <v/>
      </c>
      <c r="AB143" s="43" t="str">
        <f>IF(ISNUMBER($X143),INDEX(Comenzi!$I:$I,$X143),"")</f>
        <v/>
      </c>
      <c r="AC143" s="44" t="str">
        <f>IF(ISNUMBER($X143),IF(INDEX(Comenzi!$V:$V,$X143)="",Comenzi!$D$3,INDEX(Comenzi!$V:$V,$X143)),"")</f>
        <v/>
      </c>
      <c r="AD143" s="44" t="str">
        <f>IF(ISNUMBER($X143),IF(INDEX(Comenzi!$U:$U,$X143)="",Comenzi!$D$4,INDEX(Comenzi!$U:$U,$X143)),"")</f>
        <v/>
      </c>
      <c r="AE143" s="45" t="str">
        <f>IF($Y143&lt;&gt;1,"",IF(INDEX(Comenzi!$AM:$AM,$X143)="Greutate",INDEX('PI Furnizor'!$O:$O,ROW()-3),IF(INDEX(Comenzi!$AM:$AM,$X143)="Volum (CBM)",INDEX('PI Furnizor'!$Q:$Q,ROW()-3),IF(INDEX(Comenzi!$AM:$AM,$X143)="Valoare marfa",INDEX('PI Furnizor'!$N:$N,ROW()-3),$E143))))</f>
        <v/>
      </c>
    </row>
    <row r="144" spans="1:31" x14ac:dyDescent="0.3">
      <c r="A144" s="28" t="str">
        <f>IF(COUNTA(INDEX('PI Furnizor'!$A:$E,ROW()-3,0))=0,"",IF(INDEX('PI Furnizor'!$A:$A,ROW()-3)="","?",INDEX('PI Furnizor'!$A:$A,ROW()-3)))</f>
        <v/>
      </c>
      <c r="B144" s="29" t="str">
        <f>IF(ISNUMBER($X144),INDEX(Comenzi!$B:$B,$X144),"")</f>
        <v/>
      </c>
      <c r="C144" s="28" t="str">
        <f>IF($A144="","",INDEX('PI Furnizor'!$B:$B,ROW()-3)&amp;"")</f>
        <v/>
      </c>
      <c r="D144" s="28" t="str">
        <f>IF($A144="","",INDEX('PI Furnizor'!$C:$C,ROW()-3)&amp;"")</f>
        <v/>
      </c>
      <c r="E144" s="30" t="str">
        <f>IF($A144="","",N(INDEX('PI Furnizor'!$D:$D,ROW()-3)))</f>
        <v/>
      </c>
      <c r="F144" s="31" t="str">
        <f>IF(ISNUMBER($X144),INDEX(Comenzi!$G:$G,$X144),"")</f>
        <v/>
      </c>
      <c r="G144" s="32" t="str">
        <f>IF($A144="","",N(INDEX('PI Furnizor'!$E:$E,ROW()-3)))</f>
        <v/>
      </c>
      <c r="H144" s="33" t="str">
        <f t="shared" si="26"/>
        <v/>
      </c>
      <c r="I144" s="34" t="str">
        <f>IF($Y144&lt;&gt;1,"",IFERROR($AE144/INDEX(Comenzi!$AN:$AN,$X144),0))</f>
        <v/>
      </c>
      <c r="J144" s="33" t="str">
        <f>IF($Y144&lt;&gt;1,"",INDEX(Comenzi!$AG:$AG,$X144)*$I144/$E144)</f>
        <v/>
      </c>
      <c r="K144" s="33" t="str">
        <f t="shared" si="27"/>
        <v/>
      </c>
      <c r="L144" s="33" t="str">
        <f>IF($Y144&lt;&gt;1,"",$K144*$AD144+INDEX(Comenzi!$AJ:$AJ,$X144)*$I144/$E144)</f>
        <v/>
      </c>
      <c r="M144" s="33" t="str">
        <f t="shared" si="28"/>
        <v/>
      </c>
      <c r="N144" s="33" t="str">
        <f t="shared" si="29"/>
        <v/>
      </c>
      <c r="O144" s="33" t="str">
        <f>IF($Y144&lt;&gt;1,"",(INDEX(Comenzi!$AK:$AK,$X144)+N(INDEX(Comenzi!$T:$T,$X144)))*$I144/$E144)</f>
        <v/>
      </c>
      <c r="P144" s="35" t="str">
        <f t="shared" si="30"/>
        <v/>
      </c>
      <c r="Q144" s="36" t="str">
        <f t="shared" si="31"/>
        <v/>
      </c>
      <c r="R144" s="37" t="str">
        <f t="shared" si="32"/>
        <v/>
      </c>
      <c r="S144" s="38" t="str">
        <f t="shared" si="33"/>
        <v/>
      </c>
      <c r="T144" s="39" t="str">
        <f t="shared" si="34"/>
        <v/>
      </c>
      <c r="U144" s="40" t="str">
        <f t="shared" si="35"/>
        <v/>
      </c>
      <c r="V144" s="33" t="str">
        <f t="shared" si="36"/>
        <v/>
      </c>
      <c r="W144" s="33" t="str">
        <f t="shared" si="37"/>
        <v/>
      </c>
      <c r="X144" s="41" t="str">
        <f>IF($A144="","",IFERROR(MATCH($A144,Comenzi!$A$9:$A$108,0)+8,""))</f>
        <v/>
      </c>
      <c r="Y144" s="41" t="str">
        <f t="shared" si="38"/>
        <v/>
      </c>
      <c r="Z144" s="42" t="str">
        <f>IF($A144="","",IF($A144="?","Lipseste ID-ul comenzii (col. A din PI Furnizor)",IF(NOT(ISNUMBER($X144)),"ID comanda negasit in foaia Comenzi",IF(N($E144)&lt;=0,"Lipseste cantitatea",IF(N($G144)=0,"Pret unitar lipsa",IF($Y144&lt;&gt;1,"Curs sau moneda marfa lipsa (foaia Comenzi)",IF(INDEX(Comenzi!$AT:$AT,$X144)&lt;&gt;"OK","Avertisment comanda: "&amp;INDEX(Comenzi!$AT:$AT,$X144),"OK")))))))</f>
        <v/>
      </c>
      <c r="AA144" s="43" t="str">
        <f>IF(ISNUMBER($X144),INDEX(Comenzi!$H:$H,$X144),"")</f>
        <v/>
      </c>
      <c r="AB144" s="43" t="str">
        <f>IF(ISNUMBER($X144),INDEX(Comenzi!$I:$I,$X144),"")</f>
        <v/>
      </c>
      <c r="AC144" s="44" t="str">
        <f>IF(ISNUMBER($X144),IF(INDEX(Comenzi!$V:$V,$X144)="",Comenzi!$D$3,INDEX(Comenzi!$V:$V,$X144)),"")</f>
        <v/>
      </c>
      <c r="AD144" s="44" t="str">
        <f>IF(ISNUMBER($X144),IF(INDEX(Comenzi!$U:$U,$X144)="",Comenzi!$D$4,INDEX(Comenzi!$U:$U,$X144)),"")</f>
        <v/>
      </c>
      <c r="AE144" s="45" t="str">
        <f>IF($Y144&lt;&gt;1,"",IF(INDEX(Comenzi!$AM:$AM,$X144)="Greutate",INDEX('PI Furnizor'!$O:$O,ROW()-3),IF(INDEX(Comenzi!$AM:$AM,$X144)="Volum (CBM)",INDEX('PI Furnizor'!$Q:$Q,ROW()-3),IF(INDEX(Comenzi!$AM:$AM,$X144)="Valoare marfa",INDEX('PI Furnizor'!$N:$N,ROW()-3),$E144))))</f>
        <v/>
      </c>
    </row>
    <row r="145" spans="1:31" x14ac:dyDescent="0.3">
      <c r="A145" s="28" t="str">
        <f>IF(COUNTA(INDEX('PI Furnizor'!$A:$E,ROW()-3,0))=0,"",IF(INDEX('PI Furnizor'!$A:$A,ROW()-3)="","?",INDEX('PI Furnizor'!$A:$A,ROW()-3)))</f>
        <v/>
      </c>
      <c r="B145" s="29" t="str">
        <f>IF(ISNUMBER($X145),INDEX(Comenzi!$B:$B,$X145),"")</f>
        <v/>
      </c>
      <c r="C145" s="28" t="str">
        <f>IF($A145="","",INDEX('PI Furnizor'!$B:$B,ROW()-3)&amp;"")</f>
        <v/>
      </c>
      <c r="D145" s="28" t="str">
        <f>IF($A145="","",INDEX('PI Furnizor'!$C:$C,ROW()-3)&amp;"")</f>
        <v/>
      </c>
      <c r="E145" s="30" t="str">
        <f>IF($A145="","",N(INDEX('PI Furnizor'!$D:$D,ROW()-3)))</f>
        <v/>
      </c>
      <c r="F145" s="31" t="str">
        <f>IF(ISNUMBER($X145),INDEX(Comenzi!$G:$G,$X145),"")</f>
        <v/>
      </c>
      <c r="G145" s="32" t="str">
        <f>IF($A145="","",N(INDEX('PI Furnizor'!$E:$E,ROW()-3)))</f>
        <v/>
      </c>
      <c r="H145" s="33" t="str">
        <f t="shared" si="26"/>
        <v/>
      </c>
      <c r="I145" s="34" t="str">
        <f>IF($Y145&lt;&gt;1,"",IFERROR($AE145/INDEX(Comenzi!$AN:$AN,$X145),0))</f>
        <v/>
      </c>
      <c r="J145" s="33" t="str">
        <f>IF($Y145&lt;&gt;1,"",INDEX(Comenzi!$AG:$AG,$X145)*$I145/$E145)</f>
        <v/>
      </c>
      <c r="K145" s="33" t="str">
        <f t="shared" si="27"/>
        <v/>
      </c>
      <c r="L145" s="33" t="str">
        <f>IF($Y145&lt;&gt;1,"",$K145*$AD145+INDEX(Comenzi!$AJ:$AJ,$X145)*$I145/$E145)</f>
        <v/>
      </c>
      <c r="M145" s="33" t="str">
        <f t="shared" si="28"/>
        <v/>
      </c>
      <c r="N145" s="33" t="str">
        <f t="shared" si="29"/>
        <v/>
      </c>
      <c r="O145" s="33" t="str">
        <f>IF($Y145&lt;&gt;1,"",(INDEX(Comenzi!$AK:$AK,$X145)+N(INDEX(Comenzi!$T:$T,$X145)))*$I145/$E145)</f>
        <v/>
      </c>
      <c r="P145" s="35" t="str">
        <f t="shared" si="30"/>
        <v/>
      </c>
      <c r="Q145" s="36" t="str">
        <f t="shared" si="31"/>
        <v/>
      </c>
      <c r="R145" s="37" t="str">
        <f t="shared" si="32"/>
        <v/>
      </c>
      <c r="S145" s="38" t="str">
        <f t="shared" si="33"/>
        <v/>
      </c>
      <c r="T145" s="39" t="str">
        <f t="shared" si="34"/>
        <v/>
      </c>
      <c r="U145" s="40" t="str">
        <f t="shared" si="35"/>
        <v/>
      </c>
      <c r="V145" s="33" t="str">
        <f t="shared" si="36"/>
        <v/>
      </c>
      <c r="W145" s="33" t="str">
        <f t="shared" si="37"/>
        <v/>
      </c>
      <c r="X145" s="41" t="str">
        <f>IF($A145="","",IFERROR(MATCH($A145,Comenzi!$A$9:$A$108,0)+8,""))</f>
        <v/>
      </c>
      <c r="Y145" s="41" t="str">
        <f t="shared" si="38"/>
        <v/>
      </c>
      <c r="Z145" s="42" t="str">
        <f>IF($A145="","",IF($A145="?","Lipseste ID-ul comenzii (col. A din PI Furnizor)",IF(NOT(ISNUMBER($X145)),"ID comanda negasit in foaia Comenzi",IF(N($E145)&lt;=0,"Lipseste cantitatea",IF(N($G145)=0,"Pret unitar lipsa",IF($Y145&lt;&gt;1,"Curs sau moneda marfa lipsa (foaia Comenzi)",IF(INDEX(Comenzi!$AT:$AT,$X145)&lt;&gt;"OK","Avertisment comanda: "&amp;INDEX(Comenzi!$AT:$AT,$X145),"OK")))))))</f>
        <v/>
      </c>
      <c r="AA145" s="43" t="str">
        <f>IF(ISNUMBER($X145),INDEX(Comenzi!$H:$H,$X145),"")</f>
        <v/>
      </c>
      <c r="AB145" s="43" t="str">
        <f>IF(ISNUMBER($X145),INDEX(Comenzi!$I:$I,$X145),"")</f>
        <v/>
      </c>
      <c r="AC145" s="44" t="str">
        <f>IF(ISNUMBER($X145),IF(INDEX(Comenzi!$V:$V,$X145)="",Comenzi!$D$3,INDEX(Comenzi!$V:$V,$X145)),"")</f>
        <v/>
      </c>
      <c r="AD145" s="44" t="str">
        <f>IF(ISNUMBER($X145),IF(INDEX(Comenzi!$U:$U,$X145)="",Comenzi!$D$4,INDEX(Comenzi!$U:$U,$X145)),"")</f>
        <v/>
      </c>
      <c r="AE145" s="45" t="str">
        <f>IF($Y145&lt;&gt;1,"",IF(INDEX(Comenzi!$AM:$AM,$X145)="Greutate",INDEX('PI Furnizor'!$O:$O,ROW()-3),IF(INDEX(Comenzi!$AM:$AM,$X145)="Volum (CBM)",INDEX('PI Furnizor'!$Q:$Q,ROW()-3),IF(INDEX(Comenzi!$AM:$AM,$X145)="Valoare marfa",INDEX('PI Furnizor'!$N:$N,ROW()-3),$E145))))</f>
        <v/>
      </c>
    </row>
    <row r="146" spans="1:31" x14ac:dyDescent="0.3">
      <c r="A146" s="28" t="str">
        <f>IF(COUNTA(INDEX('PI Furnizor'!$A:$E,ROW()-3,0))=0,"",IF(INDEX('PI Furnizor'!$A:$A,ROW()-3)="","?",INDEX('PI Furnizor'!$A:$A,ROW()-3)))</f>
        <v/>
      </c>
      <c r="B146" s="29" t="str">
        <f>IF(ISNUMBER($X146),INDEX(Comenzi!$B:$B,$X146),"")</f>
        <v/>
      </c>
      <c r="C146" s="28" t="str">
        <f>IF($A146="","",INDEX('PI Furnizor'!$B:$B,ROW()-3)&amp;"")</f>
        <v/>
      </c>
      <c r="D146" s="28" t="str">
        <f>IF($A146="","",INDEX('PI Furnizor'!$C:$C,ROW()-3)&amp;"")</f>
        <v/>
      </c>
      <c r="E146" s="30" t="str">
        <f>IF($A146="","",N(INDEX('PI Furnizor'!$D:$D,ROW()-3)))</f>
        <v/>
      </c>
      <c r="F146" s="31" t="str">
        <f>IF(ISNUMBER($X146),INDEX(Comenzi!$G:$G,$X146),"")</f>
        <v/>
      </c>
      <c r="G146" s="32" t="str">
        <f>IF($A146="","",N(INDEX('PI Furnizor'!$E:$E,ROW()-3)))</f>
        <v/>
      </c>
      <c r="H146" s="33" t="str">
        <f t="shared" si="26"/>
        <v/>
      </c>
      <c r="I146" s="34" t="str">
        <f>IF($Y146&lt;&gt;1,"",IFERROR($AE146/INDEX(Comenzi!$AN:$AN,$X146),0))</f>
        <v/>
      </c>
      <c r="J146" s="33" t="str">
        <f>IF($Y146&lt;&gt;1,"",INDEX(Comenzi!$AG:$AG,$X146)*$I146/$E146)</f>
        <v/>
      </c>
      <c r="K146" s="33" t="str">
        <f t="shared" si="27"/>
        <v/>
      </c>
      <c r="L146" s="33" t="str">
        <f>IF($Y146&lt;&gt;1,"",$K146*$AD146+INDEX(Comenzi!$AJ:$AJ,$X146)*$I146/$E146)</f>
        <v/>
      </c>
      <c r="M146" s="33" t="str">
        <f t="shared" si="28"/>
        <v/>
      </c>
      <c r="N146" s="33" t="str">
        <f t="shared" si="29"/>
        <v/>
      </c>
      <c r="O146" s="33" t="str">
        <f>IF($Y146&lt;&gt;1,"",(INDEX(Comenzi!$AK:$AK,$X146)+N(INDEX(Comenzi!$T:$T,$X146)))*$I146/$E146)</f>
        <v/>
      </c>
      <c r="P146" s="35" t="str">
        <f t="shared" si="30"/>
        <v/>
      </c>
      <c r="Q146" s="36" t="str">
        <f t="shared" si="31"/>
        <v/>
      </c>
      <c r="R146" s="37" t="str">
        <f t="shared" si="32"/>
        <v/>
      </c>
      <c r="S146" s="38" t="str">
        <f t="shared" si="33"/>
        <v/>
      </c>
      <c r="T146" s="39" t="str">
        <f t="shared" si="34"/>
        <v/>
      </c>
      <c r="U146" s="40" t="str">
        <f t="shared" si="35"/>
        <v/>
      </c>
      <c r="V146" s="33" t="str">
        <f t="shared" si="36"/>
        <v/>
      </c>
      <c r="W146" s="33" t="str">
        <f t="shared" si="37"/>
        <v/>
      </c>
      <c r="X146" s="41" t="str">
        <f>IF($A146="","",IFERROR(MATCH($A146,Comenzi!$A$9:$A$108,0)+8,""))</f>
        <v/>
      </c>
      <c r="Y146" s="41" t="str">
        <f t="shared" si="38"/>
        <v/>
      </c>
      <c r="Z146" s="42" t="str">
        <f>IF($A146="","",IF($A146="?","Lipseste ID-ul comenzii (col. A din PI Furnizor)",IF(NOT(ISNUMBER($X146)),"ID comanda negasit in foaia Comenzi",IF(N($E146)&lt;=0,"Lipseste cantitatea",IF(N($G146)=0,"Pret unitar lipsa",IF($Y146&lt;&gt;1,"Curs sau moneda marfa lipsa (foaia Comenzi)",IF(INDEX(Comenzi!$AT:$AT,$X146)&lt;&gt;"OK","Avertisment comanda: "&amp;INDEX(Comenzi!$AT:$AT,$X146),"OK")))))))</f>
        <v/>
      </c>
      <c r="AA146" s="43" t="str">
        <f>IF(ISNUMBER($X146),INDEX(Comenzi!$H:$H,$X146),"")</f>
        <v/>
      </c>
      <c r="AB146" s="43" t="str">
        <f>IF(ISNUMBER($X146),INDEX(Comenzi!$I:$I,$X146),"")</f>
        <v/>
      </c>
      <c r="AC146" s="44" t="str">
        <f>IF(ISNUMBER($X146),IF(INDEX(Comenzi!$V:$V,$X146)="",Comenzi!$D$3,INDEX(Comenzi!$V:$V,$X146)),"")</f>
        <v/>
      </c>
      <c r="AD146" s="44" t="str">
        <f>IF(ISNUMBER($X146),IF(INDEX(Comenzi!$U:$U,$X146)="",Comenzi!$D$4,INDEX(Comenzi!$U:$U,$X146)),"")</f>
        <v/>
      </c>
      <c r="AE146" s="45" t="str">
        <f>IF($Y146&lt;&gt;1,"",IF(INDEX(Comenzi!$AM:$AM,$X146)="Greutate",INDEX('PI Furnizor'!$O:$O,ROW()-3),IF(INDEX(Comenzi!$AM:$AM,$X146)="Volum (CBM)",INDEX('PI Furnizor'!$Q:$Q,ROW()-3),IF(INDEX(Comenzi!$AM:$AM,$X146)="Valoare marfa",INDEX('PI Furnizor'!$N:$N,ROW()-3),$E146))))</f>
        <v/>
      </c>
    </row>
    <row r="147" spans="1:31" x14ac:dyDescent="0.3">
      <c r="A147" s="28" t="str">
        <f>IF(COUNTA(INDEX('PI Furnizor'!$A:$E,ROW()-3,0))=0,"",IF(INDEX('PI Furnizor'!$A:$A,ROW()-3)="","?",INDEX('PI Furnizor'!$A:$A,ROW()-3)))</f>
        <v/>
      </c>
      <c r="B147" s="29" t="str">
        <f>IF(ISNUMBER($X147),INDEX(Comenzi!$B:$B,$X147),"")</f>
        <v/>
      </c>
      <c r="C147" s="28" t="str">
        <f>IF($A147="","",INDEX('PI Furnizor'!$B:$B,ROW()-3)&amp;"")</f>
        <v/>
      </c>
      <c r="D147" s="28" t="str">
        <f>IF($A147="","",INDEX('PI Furnizor'!$C:$C,ROW()-3)&amp;"")</f>
        <v/>
      </c>
      <c r="E147" s="30" t="str">
        <f>IF($A147="","",N(INDEX('PI Furnizor'!$D:$D,ROW()-3)))</f>
        <v/>
      </c>
      <c r="F147" s="31" t="str">
        <f>IF(ISNUMBER($X147),INDEX(Comenzi!$G:$G,$X147),"")</f>
        <v/>
      </c>
      <c r="G147" s="32" t="str">
        <f>IF($A147="","",N(INDEX('PI Furnizor'!$E:$E,ROW()-3)))</f>
        <v/>
      </c>
      <c r="H147" s="33" t="str">
        <f t="shared" si="26"/>
        <v/>
      </c>
      <c r="I147" s="34" t="str">
        <f>IF($Y147&lt;&gt;1,"",IFERROR($AE147/INDEX(Comenzi!$AN:$AN,$X147),0))</f>
        <v/>
      </c>
      <c r="J147" s="33" t="str">
        <f>IF($Y147&lt;&gt;1,"",INDEX(Comenzi!$AG:$AG,$X147)*$I147/$E147)</f>
        <v/>
      </c>
      <c r="K147" s="33" t="str">
        <f t="shared" si="27"/>
        <v/>
      </c>
      <c r="L147" s="33" t="str">
        <f>IF($Y147&lt;&gt;1,"",$K147*$AD147+INDEX(Comenzi!$AJ:$AJ,$X147)*$I147/$E147)</f>
        <v/>
      </c>
      <c r="M147" s="33" t="str">
        <f t="shared" si="28"/>
        <v/>
      </c>
      <c r="N147" s="33" t="str">
        <f t="shared" si="29"/>
        <v/>
      </c>
      <c r="O147" s="33" t="str">
        <f>IF($Y147&lt;&gt;1,"",(INDEX(Comenzi!$AK:$AK,$X147)+N(INDEX(Comenzi!$T:$T,$X147)))*$I147/$E147)</f>
        <v/>
      </c>
      <c r="P147" s="35" t="str">
        <f t="shared" si="30"/>
        <v/>
      </c>
      <c r="Q147" s="36" t="str">
        <f t="shared" si="31"/>
        <v/>
      </c>
      <c r="R147" s="37" t="str">
        <f t="shared" si="32"/>
        <v/>
      </c>
      <c r="S147" s="38" t="str">
        <f t="shared" si="33"/>
        <v/>
      </c>
      <c r="T147" s="39" t="str">
        <f t="shared" si="34"/>
        <v/>
      </c>
      <c r="U147" s="40" t="str">
        <f t="shared" si="35"/>
        <v/>
      </c>
      <c r="V147" s="33" t="str">
        <f t="shared" si="36"/>
        <v/>
      </c>
      <c r="W147" s="33" t="str">
        <f t="shared" si="37"/>
        <v/>
      </c>
      <c r="X147" s="41" t="str">
        <f>IF($A147="","",IFERROR(MATCH($A147,Comenzi!$A$9:$A$108,0)+8,""))</f>
        <v/>
      </c>
      <c r="Y147" s="41" t="str">
        <f t="shared" si="38"/>
        <v/>
      </c>
      <c r="Z147" s="42" t="str">
        <f>IF($A147="","",IF($A147="?","Lipseste ID-ul comenzii (col. A din PI Furnizor)",IF(NOT(ISNUMBER($X147)),"ID comanda negasit in foaia Comenzi",IF(N($E147)&lt;=0,"Lipseste cantitatea",IF(N($G147)=0,"Pret unitar lipsa",IF($Y147&lt;&gt;1,"Curs sau moneda marfa lipsa (foaia Comenzi)",IF(INDEX(Comenzi!$AT:$AT,$X147)&lt;&gt;"OK","Avertisment comanda: "&amp;INDEX(Comenzi!$AT:$AT,$X147),"OK")))))))</f>
        <v/>
      </c>
      <c r="AA147" s="43" t="str">
        <f>IF(ISNUMBER($X147),INDEX(Comenzi!$H:$H,$X147),"")</f>
        <v/>
      </c>
      <c r="AB147" s="43" t="str">
        <f>IF(ISNUMBER($X147),INDEX(Comenzi!$I:$I,$X147),"")</f>
        <v/>
      </c>
      <c r="AC147" s="44" t="str">
        <f>IF(ISNUMBER($X147),IF(INDEX(Comenzi!$V:$V,$X147)="",Comenzi!$D$3,INDEX(Comenzi!$V:$V,$X147)),"")</f>
        <v/>
      </c>
      <c r="AD147" s="44" t="str">
        <f>IF(ISNUMBER($X147),IF(INDEX(Comenzi!$U:$U,$X147)="",Comenzi!$D$4,INDEX(Comenzi!$U:$U,$X147)),"")</f>
        <v/>
      </c>
      <c r="AE147" s="45" t="str">
        <f>IF($Y147&lt;&gt;1,"",IF(INDEX(Comenzi!$AM:$AM,$X147)="Greutate",INDEX('PI Furnizor'!$O:$O,ROW()-3),IF(INDEX(Comenzi!$AM:$AM,$X147)="Volum (CBM)",INDEX('PI Furnizor'!$Q:$Q,ROW()-3),IF(INDEX(Comenzi!$AM:$AM,$X147)="Valoare marfa",INDEX('PI Furnizor'!$N:$N,ROW()-3),$E147))))</f>
        <v/>
      </c>
    </row>
    <row r="148" spans="1:31" x14ac:dyDescent="0.3">
      <c r="A148" s="28" t="str">
        <f>IF(COUNTA(INDEX('PI Furnizor'!$A:$E,ROW()-3,0))=0,"",IF(INDEX('PI Furnizor'!$A:$A,ROW()-3)="","?",INDEX('PI Furnizor'!$A:$A,ROW()-3)))</f>
        <v/>
      </c>
      <c r="B148" s="29" t="str">
        <f>IF(ISNUMBER($X148),INDEX(Comenzi!$B:$B,$X148),"")</f>
        <v/>
      </c>
      <c r="C148" s="28" t="str">
        <f>IF($A148="","",INDEX('PI Furnizor'!$B:$B,ROW()-3)&amp;"")</f>
        <v/>
      </c>
      <c r="D148" s="28" t="str">
        <f>IF($A148="","",INDEX('PI Furnizor'!$C:$C,ROW()-3)&amp;"")</f>
        <v/>
      </c>
      <c r="E148" s="30" t="str">
        <f>IF($A148="","",N(INDEX('PI Furnizor'!$D:$D,ROW()-3)))</f>
        <v/>
      </c>
      <c r="F148" s="31" t="str">
        <f>IF(ISNUMBER($X148),INDEX(Comenzi!$G:$G,$X148),"")</f>
        <v/>
      </c>
      <c r="G148" s="32" t="str">
        <f>IF($A148="","",N(INDEX('PI Furnizor'!$E:$E,ROW()-3)))</f>
        <v/>
      </c>
      <c r="H148" s="33" t="str">
        <f t="shared" si="26"/>
        <v/>
      </c>
      <c r="I148" s="34" t="str">
        <f>IF($Y148&lt;&gt;1,"",IFERROR($AE148/INDEX(Comenzi!$AN:$AN,$X148),0))</f>
        <v/>
      </c>
      <c r="J148" s="33" t="str">
        <f>IF($Y148&lt;&gt;1,"",INDEX(Comenzi!$AG:$AG,$X148)*$I148/$E148)</f>
        <v/>
      </c>
      <c r="K148" s="33" t="str">
        <f t="shared" si="27"/>
        <v/>
      </c>
      <c r="L148" s="33" t="str">
        <f>IF($Y148&lt;&gt;1,"",$K148*$AD148+INDEX(Comenzi!$AJ:$AJ,$X148)*$I148/$E148)</f>
        <v/>
      </c>
      <c r="M148" s="33" t="str">
        <f t="shared" si="28"/>
        <v/>
      </c>
      <c r="N148" s="33" t="str">
        <f t="shared" si="29"/>
        <v/>
      </c>
      <c r="O148" s="33" t="str">
        <f>IF($Y148&lt;&gt;1,"",(INDEX(Comenzi!$AK:$AK,$X148)+N(INDEX(Comenzi!$T:$T,$X148)))*$I148/$E148)</f>
        <v/>
      </c>
      <c r="P148" s="35" t="str">
        <f t="shared" si="30"/>
        <v/>
      </c>
      <c r="Q148" s="36" t="str">
        <f t="shared" si="31"/>
        <v/>
      </c>
      <c r="R148" s="37" t="str">
        <f t="shared" si="32"/>
        <v/>
      </c>
      <c r="S148" s="38" t="str">
        <f t="shared" si="33"/>
        <v/>
      </c>
      <c r="T148" s="39" t="str">
        <f t="shared" si="34"/>
        <v/>
      </c>
      <c r="U148" s="40" t="str">
        <f t="shared" si="35"/>
        <v/>
      </c>
      <c r="V148" s="33" t="str">
        <f t="shared" si="36"/>
        <v/>
      </c>
      <c r="W148" s="33" t="str">
        <f t="shared" si="37"/>
        <v/>
      </c>
      <c r="X148" s="41" t="str">
        <f>IF($A148="","",IFERROR(MATCH($A148,Comenzi!$A$9:$A$108,0)+8,""))</f>
        <v/>
      </c>
      <c r="Y148" s="41" t="str">
        <f t="shared" si="38"/>
        <v/>
      </c>
      <c r="Z148" s="42" t="str">
        <f>IF($A148="","",IF($A148="?","Lipseste ID-ul comenzii (col. A din PI Furnizor)",IF(NOT(ISNUMBER($X148)),"ID comanda negasit in foaia Comenzi",IF(N($E148)&lt;=0,"Lipseste cantitatea",IF(N($G148)=0,"Pret unitar lipsa",IF($Y148&lt;&gt;1,"Curs sau moneda marfa lipsa (foaia Comenzi)",IF(INDEX(Comenzi!$AT:$AT,$X148)&lt;&gt;"OK","Avertisment comanda: "&amp;INDEX(Comenzi!$AT:$AT,$X148),"OK")))))))</f>
        <v/>
      </c>
      <c r="AA148" s="43" t="str">
        <f>IF(ISNUMBER($X148),INDEX(Comenzi!$H:$H,$X148),"")</f>
        <v/>
      </c>
      <c r="AB148" s="43" t="str">
        <f>IF(ISNUMBER($X148),INDEX(Comenzi!$I:$I,$X148),"")</f>
        <v/>
      </c>
      <c r="AC148" s="44" t="str">
        <f>IF(ISNUMBER($X148),IF(INDEX(Comenzi!$V:$V,$X148)="",Comenzi!$D$3,INDEX(Comenzi!$V:$V,$X148)),"")</f>
        <v/>
      </c>
      <c r="AD148" s="44" t="str">
        <f>IF(ISNUMBER($X148),IF(INDEX(Comenzi!$U:$U,$X148)="",Comenzi!$D$4,INDEX(Comenzi!$U:$U,$X148)),"")</f>
        <v/>
      </c>
      <c r="AE148" s="45" t="str">
        <f>IF($Y148&lt;&gt;1,"",IF(INDEX(Comenzi!$AM:$AM,$X148)="Greutate",INDEX('PI Furnizor'!$O:$O,ROW()-3),IF(INDEX(Comenzi!$AM:$AM,$X148)="Volum (CBM)",INDEX('PI Furnizor'!$Q:$Q,ROW()-3),IF(INDEX(Comenzi!$AM:$AM,$X148)="Valoare marfa",INDEX('PI Furnizor'!$N:$N,ROW()-3),$E148))))</f>
        <v/>
      </c>
    </row>
    <row r="149" spans="1:31" x14ac:dyDescent="0.3">
      <c r="A149" s="28" t="str">
        <f>IF(COUNTA(INDEX('PI Furnizor'!$A:$E,ROW()-3,0))=0,"",IF(INDEX('PI Furnizor'!$A:$A,ROW()-3)="","?",INDEX('PI Furnizor'!$A:$A,ROW()-3)))</f>
        <v/>
      </c>
      <c r="B149" s="29" t="str">
        <f>IF(ISNUMBER($X149),INDEX(Comenzi!$B:$B,$X149),"")</f>
        <v/>
      </c>
      <c r="C149" s="28" t="str">
        <f>IF($A149="","",INDEX('PI Furnizor'!$B:$B,ROW()-3)&amp;"")</f>
        <v/>
      </c>
      <c r="D149" s="28" t="str">
        <f>IF($A149="","",INDEX('PI Furnizor'!$C:$C,ROW()-3)&amp;"")</f>
        <v/>
      </c>
      <c r="E149" s="30" t="str">
        <f>IF($A149="","",N(INDEX('PI Furnizor'!$D:$D,ROW()-3)))</f>
        <v/>
      </c>
      <c r="F149" s="31" t="str">
        <f>IF(ISNUMBER($X149),INDEX(Comenzi!$G:$G,$X149),"")</f>
        <v/>
      </c>
      <c r="G149" s="32" t="str">
        <f>IF($A149="","",N(INDEX('PI Furnizor'!$E:$E,ROW()-3)))</f>
        <v/>
      </c>
      <c r="H149" s="33" t="str">
        <f t="shared" si="26"/>
        <v/>
      </c>
      <c r="I149" s="34" t="str">
        <f>IF($Y149&lt;&gt;1,"",IFERROR($AE149/INDEX(Comenzi!$AN:$AN,$X149),0))</f>
        <v/>
      </c>
      <c r="J149" s="33" t="str">
        <f>IF($Y149&lt;&gt;1,"",INDEX(Comenzi!$AG:$AG,$X149)*$I149/$E149)</f>
        <v/>
      </c>
      <c r="K149" s="33" t="str">
        <f t="shared" si="27"/>
        <v/>
      </c>
      <c r="L149" s="33" t="str">
        <f>IF($Y149&lt;&gt;1,"",$K149*$AD149+INDEX(Comenzi!$AJ:$AJ,$X149)*$I149/$E149)</f>
        <v/>
      </c>
      <c r="M149" s="33" t="str">
        <f t="shared" si="28"/>
        <v/>
      </c>
      <c r="N149" s="33" t="str">
        <f t="shared" si="29"/>
        <v/>
      </c>
      <c r="O149" s="33" t="str">
        <f>IF($Y149&lt;&gt;1,"",(INDEX(Comenzi!$AK:$AK,$X149)+N(INDEX(Comenzi!$T:$T,$X149)))*$I149/$E149)</f>
        <v/>
      </c>
      <c r="P149" s="35" t="str">
        <f t="shared" si="30"/>
        <v/>
      </c>
      <c r="Q149" s="36" t="str">
        <f t="shared" si="31"/>
        <v/>
      </c>
      <c r="R149" s="37" t="str">
        <f t="shared" si="32"/>
        <v/>
      </c>
      <c r="S149" s="38" t="str">
        <f t="shared" si="33"/>
        <v/>
      </c>
      <c r="T149" s="39" t="str">
        <f t="shared" si="34"/>
        <v/>
      </c>
      <c r="U149" s="40" t="str">
        <f t="shared" si="35"/>
        <v/>
      </c>
      <c r="V149" s="33" t="str">
        <f t="shared" si="36"/>
        <v/>
      </c>
      <c r="W149" s="33" t="str">
        <f t="shared" si="37"/>
        <v/>
      </c>
      <c r="X149" s="41" t="str">
        <f>IF($A149="","",IFERROR(MATCH($A149,Comenzi!$A$9:$A$108,0)+8,""))</f>
        <v/>
      </c>
      <c r="Y149" s="41" t="str">
        <f t="shared" si="38"/>
        <v/>
      </c>
      <c r="Z149" s="42" t="str">
        <f>IF($A149="","",IF($A149="?","Lipseste ID-ul comenzii (col. A din PI Furnizor)",IF(NOT(ISNUMBER($X149)),"ID comanda negasit in foaia Comenzi",IF(N($E149)&lt;=0,"Lipseste cantitatea",IF(N($G149)=0,"Pret unitar lipsa",IF($Y149&lt;&gt;1,"Curs sau moneda marfa lipsa (foaia Comenzi)",IF(INDEX(Comenzi!$AT:$AT,$X149)&lt;&gt;"OK","Avertisment comanda: "&amp;INDEX(Comenzi!$AT:$AT,$X149),"OK")))))))</f>
        <v/>
      </c>
      <c r="AA149" s="43" t="str">
        <f>IF(ISNUMBER($X149),INDEX(Comenzi!$H:$H,$X149),"")</f>
        <v/>
      </c>
      <c r="AB149" s="43" t="str">
        <f>IF(ISNUMBER($X149),INDEX(Comenzi!$I:$I,$X149),"")</f>
        <v/>
      </c>
      <c r="AC149" s="44" t="str">
        <f>IF(ISNUMBER($X149),IF(INDEX(Comenzi!$V:$V,$X149)="",Comenzi!$D$3,INDEX(Comenzi!$V:$V,$X149)),"")</f>
        <v/>
      </c>
      <c r="AD149" s="44" t="str">
        <f>IF(ISNUMBER($X149),IF(INDEX(Comenzi!$U:$U,$X149)="",Comenzi!$D$4,INDEX(Comenzi!$U:$U,$X149)),"")</f>
        <v/>
      </c>
      <c r="AE149" s="45" t="str">
        <f>IF($Y149&lt;&gt;1,"",IF(INDEX(Comenzi!$AM:$AM,$X149)="Greutate",INDEX('PI Furnizor'!$O:$O,ROW()-3),IF(INDEX(Comenzi!$AM:$AM,$X149)="Volum (CBM)",INDEX('PI Furnizor'!$Q:$Q,ROW()-3),IF(INDEX(Comenzi!$AM:$AM,$X149)="Valoare marfa",INDEX('PI Furnizor'!$N:$N,ROW()-3),$E149))))</f>
        <v/>
      </c>
    </row>
    <row r="150" spans="1:31" x14ac:dyDescent="0.3">
      <c r="A150" s="28" t="str">
        <f>IF(COUNTA(INDEX('PI Furnizor'!$A:$E,ROW()-3,0))=0,"",IF(INDEX('PI Furnizor'!$A:$A,ROW()-3)="","?",INDEX('PI Furnizor'!$A:$A,ROW()-3)))</f>
        <v/>
      </c>
      <c r="B150" s="29" t="str">
        <f>IF(ISNUMBER($X150),INDEX(Comenzi!$B:$B,$X150),"")</f>
        <v/>
      </c>
      <c r="C150" s="28" t="str">
        <f>IF($A150="","",INDEX('PI Furnizor'!$B:$B,ROW()-3)&amp;"")</f>
        <v/>
      </c>
      <c r="D150" s="28" t="str">
        <f>IF($A150="","",INDEX('PI Furnizor'!$C:$C,ROW()-3)&amp;"")</f>
        <v/>
      </c>
      <c r="E150" s="30" t="str">
        <f>IF($A150="","",N(INDEX('PI Furnizor'!$D:$D,ROW()-3)))</f>
        <v/>
      </c>
      <c r="F150" s="31" t="str">
        <f>IF(ISNUMBER($X150),INDEX(Comenzi!$G:$G,$X150),"")</f>
        <v/>
      </c>
      <c r="G150" s="32" t="str">
        <f>IF($A150="","",N(INDEX('PI Furnizor'!$E:$E,ROW()-3)))</f>
        <v/>
      </c>
      <c r="H150" s="33" t="str">
        <f t="shared" si="26"/>
        <v/>
      </c>
      <c r="I150" s="34" t="str">
        <f>IF($Y150&lt;&gt;1,"",IFERROR($AE150/INDEX(Comenzi!$AN:$AN,$X150),0))</f>
        <v/>
      </c>
      <c r="J150" s="33" t="str">
        <f>IF($Y150&lt;&gt;1,"",INDEX(Comenzi!$AG:$AG,$X150)*$I150/$E150)</f>
        <v/>
      </c>
      <c r="K150" s="33" t="str">
        <f t="shared" si="27"/>
        <v/>
      </c>
      <c r="L150" s="33" t="str">
        <f>IF($Y150&lt;&gt;1,"",$K150*$AD150+INDEX(Comenzi!$AJ:$AJ,$X150)*$I150/$E150)</f>
        <v/>
      </c>
      <c r="M150" s="33" t="str">
        <f t="shared" si="28"/>
        <v/>
      </c>
      <c r="N150" s="33" t="str">
        <f t="shared" si="29"/>
        <v/>
      </c>
      <c r="O150" s="33" t="str">
        <f>IF($Y150&lt;&gt;1,"",(INDEX(Comenzi!$AK:$AK,$X150)+N(INDEX(Comenzi!$T:$T,$X150)))*$I150/$E150)</f>
        <v/>
      </c>
      <c r="P150" s="35" t="str">
        <f t="shared" si="30"/>
        <v/>
      </c>
      <c r="Q150" s="36" t="str">
        <f t="shared" si="31"/>
        <v/>
      </c>
      <c r="R150" s="37" t="str">
        <f t="shared" si="32"/>
        <v/>
      </c>
      <c r="S150" s="38" t="str">
        <f t="shared" si="33"/>
        <v/>
      </c>
      <c r="T150" s="39" t="str">
        <f t="shared" si="34"/>
        <v/>
      </c>
      <c r="U150" s="40" t="str">
        <f t="shared" si="35"/>
        <v/>
      </c>
      <c r="V150" s="33" t="str">
        <f t="shared" si="36"/>
        <v/>
      </c>
      <c r="W150" s="33" t="str">
        <f t="shared" si="37"/>
        <v/>
      </c>
      <c r="X150" s="41" t="str">
        <f>IF($A150="","",IFERROR(MATCH($A150,Comenzi!$A$9:$A$108,0)+8,""))</f>
        <v/>
      </c>
      <c r="Y150" s="41" t="str">
        <f t="shared" si="38"/>
        <v/>
      </c>
      <c r="Z150" s="42" t="str">
        <f>IF($A150="","",IF($A150="?","Lipseste ID-ul comenzii (col. A din PI Furnizor)",IF(NOT(ISNUMBER($X150)),"ID comanda negasit in foaia Comenzi",IF(N($E150)&lt;=0,"Lipseste cantitatea",IF(N($G150)=0,"Pret unitar lipsa",IF($Y150&lt;&gt;1,"Curs sau moneda marfa lipsa (foaia Comenzi)",IF(INDEX(Comenzi!$AT:$AT,$X150)&lt;&gt;"OK","Avertisment comanda: "&amp;INDEX(Comenzi!$AT:$AT,$X150),"OK")))))))</f>
        <v/>
      </c>
      <c r="AA150" s="43" t="str">
        <f>IF(ISNUMBER($X150),INDEX(Comenzi!$H:$H,$X150),"")</f>
        <v/>
      </c>
      <c r="AB150" s="43" t="str">
        <f>IF(ISNUMBER($X150),INDEX(Comenzi!$I:$I,$X150),"")</f>
        <v/>
      </c>
      <c r="AC150" s="44" t="str">
        <f>IF(ISNUMBER($X150),IF(INDEX(Comenzi!$V:$V,$X150)="",Comenzi!$D$3,INDEX(Comenzi!$V:$V,$X150)),"")</f>
        <v/>
      </c>
      <c r="AD150" s="44" t="str">
        <f>IF(ISNUMBER($X150),IF(INDEX(Comenzi!$U:$U,$X150)="",Comenzi!$D$4,INDEX(Comenzi!$U:$U,$X150)),"")</f>
        <v/>
      </c>
      <c r="AE150" s="45" t="str">
        <f>IF($Y150&lt;&gt;1,"",IF(INDEX(Comenzi!$AM:$AM,$X150)="Greutate",INDEX('PI Furnizor'!$O:$O,ROW()-3),IF(INDEX(Comenzi!$AM:$AM,$X150)="Volum (CBM)",INDEX('PI Furnizor'!$Q:$Q,ROW()-3),IF(INDEX(Comenzi!$AM:$AM,$X150)="Valoare marfa",INDEX('PI Furnizor'!$N:$N,ROW()-3),$E150))))</f>
        <v/>
      </c>
    </row>
    <row r="151" spans="1:31" x14ac:dyDescent="0.3">
      <c r="A151" s="28" t="str">
        <f>IF(COUNTA(INDEX('PI Furnizor'!$A:$E,ROW()-3,0))=0,"",IF(INDEX('PI Furnizor'!$A:$A,ROW()-3)="","?",INDEX('PI Furnizor'!$A:$A,ROW()-3)))</f>
        <v/>
      </c>
      <c r="B151" s="29" t="str">
        <f>IF(ISNUMBER($X151),INDEX(Comenzi!$B:$B,$X151),"")</f>
        <v/>
      </c>
      <c r="C151" s="28" t="str">
        <f>IF($A151="","",INDEX('PI Furnizor'!$B:$B,ROW()-3)&amp;"")</f>
        <v/>
      </c>
      <c r="D151" s="28" t="str">
        <f>IF($A151="","",INDEX('PI Furnizor'!$C:$C,ROW()-3)&amp;"")</f>
        <v/>
      </c>
      <c r="E151" s="30" t="str">
        <f>IF($A151="","",N(INDEX('PI Furnizor'!$D:$D,ROW()-3)))</f>
        <v/>
      </c>
      <c r="F151" s="31" t="str">
        <f>IF(ISNUMBER($X151),INDEX(Comenzi!$G:$G,$X151),"")</f>
        <v/>
      </c>
      <c r="G151" s="32" t="str">
        <f>IF($A151="","",N(INDEX('PI Furnizor'!$E:$E,ROW()-3)))</f>
        <v/>
      </c>
      <c r="H151" s="33" t="str">
        <f t="shared" si="26"/>
        <v/>
      </c>
      <c r="I151" s="34" t="str">
        <f>IF($Y151&lt;&gt;1,"",IFERROR($AE151/INDEX(Comenzi!$AN:$AN,$X151),0))</f>
        <v/>
      </c>
      <c r="J151" s="33" t="str">
        <f>IF($Y151&lt;&gt;1,"",INDEX(Comenzi!$AG:$AG,$X151)*$I151/$E151)</f>
        <v/>
      </c>
      <c r="K151" s="33" t="str">
        <f t="shared" si="27"/>
        <v/>
      </c>
      <c r="L151" s="33" t="str">
        <f>IF($Y151&lt;&gt;1,"",$K151*$AD151+INDEX(Comenzi!$AJ:$AJ,$X151)*$I151/$E151)</f>
        <v/>
      </c>
      <c r="M151" s="33" t="str">
        <f t="shared" si="28"/>
        <v/>
      </c>
      <c r="N151" s="33" t="str">
        <f t="shared" si="29"/>
        <v/>
      </c>
      <c r="O151" s="33" t="str">
        <f>IF($Y151&lt;&gt;1,"",(INDEX(Comenzi!$AK:$AK,$X151)+N(INDEX(Comenzi!$T:$T,$X151)))*$I151/$E151)</f>
        <v/>
      </c>
      <c r="P151" s="35" t="str">
        <f t="shared" si="30"/>
        <v/>
      </c>
      <c r="Q151" s="36" t="str">
        <f t="shared" si="31"/>
        <v/>
      </c>
      <c r="R151" s="37" t="str">
        <f t="shared" si="32"/>
        <v/>
      </c>
      <c r="S151" s="38" t="str">
        <f t="shared" si="33"/>
        <v/>
      </c>
      <c r="T151" s="39" t="str">
        <f t="shared" si="34"/>
        <v/>
      </c>
      <c r="U151" s="40" t="str">
        <f t="shared" si="35"/>
        <v/>
      </c>
      <c r="V151" s="33" t="str">
        <f t="shared" si="36"/>
        <v/>
      </c>
      <c r="W151" s="33" t="str">
        <f t="shared" si="37"/>
        <v/>
      </c>
      <c r="X151" s="41" t="str">
        <f>IF($A151="","",IFERROR(MATCH($A151,Comenzi!$A$9:$A$108,0)+8,""))</f>
        <v/>
      </c>
      <c r="Y151" s="41" t="str">
        <f t="shared" si="38"/>
        <v/>
      </c>
      <c r="Z151" s="42" t="str">
        <f>IF($A151="","",IF($A151="?","Lipseste ID-ul comenzii (col. A din PI Furnizor)",IF(NOT(ISNUMBER($X151)),"ID comanda negasit in foaia Comenzi",IF(N($E151)&lt;=0,"Lipseste cantitatea",IF(N($G151)=0,"Pret unitar lipsa",IF($Y151&lt;&gt;1,"Curs sau moneda marfa lipsa (foaia Comenzi)",IF(INDEX(Comenzi!$AT:$AT,$X151)&lt;&gt;"OK","Avertisment comanda: "&amp;INDEX(Comenzi!$AT:$AT,$X151),"OK")))))))</f>
        <v/>
      </c>
      <c r="AA151" s="43" t="str">
        <f>IF(ISNUMBER($X151),INDEX(Comenzi!$H:$H,$X151),"")</f>
        <v/>
      </c>
      <c r="AB151" s="43" t="str">
        <f>IF(ISNUMBER($X151),INDEX(Comenzi!$I:$I,$X151),"")</f>
        <v/>
      </c>
      <c r="AC151" s="44" t="str">
        <f>IF(ISNUMBER($X151),IF(INDEX(Comenzi!$V:$V,$X151)="",Comenzi!$D$3,INDEX(Comenzi!$V:$V,$X151)),"")</f>
        <v/>
      </c>
      <c r="AD151" s="44" t="str">
        <f>IF(ISNUMBER($X151),IF(INDEX(Comenzi!$U:$U,$X151)="",Comenzi!$D$4,INDEX(Comenzi!$U:$U,$X151)),"")</f>
        <v/>
      </c>
      <c r="AE151" s="45" t="str">
        <f>IF($Y151&lt;&gt;1,"",IF(INDEX(Comenzi!$AM:$AM,$X151)="Greutate",INDEX('PI Furnizor'!$O:$O,ROW()-3),IF(INDEX(Comenzi!$AM:$AM,$X151)="Volum (CBM)",INDEX('PI Furnizor'!$Q:$Q,ROW()-3),IF(INDEX(Comenzi!$AM:$AM,$X151)="Valoare marfa",INDEX('PI Furnizor'!$N:$N,ROW()-3),$E151))))</f>
        <v/>
      </c>
    </row>
    <row r="152" spans="1:31" x14ac:dyDescent="0.3">
      <c r="A152" s="28" t="str">
        <f>IF(COUNTA(INDEX('PI Furnizor'!$A:$E,ROW()-3,0))=0,"",IF(INDEX('PI Furnizor'!$A:$A,ROW()-3)="","?",INDEX('PI Furnizor'!$A:$A,ROW()-3)))</f>
        <v/>
      </c>
      <c r="B152" s="29" t="str">
        <f>IF(ISNUMBER($X152),INDEX(Comenzi!$B:$B,$X152),"")</f>
        <v/>
      </c>
      <c r="C152" s="28" t="str">
        <f>IF($A152="","",INDEX('PI Furnizor'!$B:$B,ROW()-3)&amp;"")</f>
        <v/>
      </c>
      <c r="D152" s="28" t="str">
        <f>IF($A152="","",INDEX('PI Furnizor'!$C:$C,ROW()-3)&amp;"")</f>
        <v/>
      </c>
      <c r="E152" s="30" t="str">
        <f>IF($A152="","",N(INDEX('PI Furnizor'!$D:$D,ROW()-3)))</f>
        <v/>
      </c>
      <c r="F152" s="31" t="str">
        <f>IF(ISNUMBER($X152),INDEX(Comenzi!$G:$G,$X152),"")</f>
        <v/>
      </c>
      <c r="G152" s="32" t="str">
        <f>IF($A152="","",N(INDEX('PI Furnizor'!$E:$E,ROW()-3)))</f>
        <v/>
      </c>
      <c r="H152" s="33" t="str">
        <f t="shared" si="26"/>
        <v/>
      </c>
      <c r="I152" s="34" t="str">
        <f>IF($Y152&lt;&gt;1,"",IFERROR($AE152/INDEX(Comenzi!$AN:$AN,$X152),0))</f>
        <v/>
      </c>
      <c r="J152" s="33" t="str">
        <f>IF($Y152&lt;&gt;1,"",INDEX(Comenzi!$AG:$AG,$X152)*$I152/$E152)</f>
        <v/>
      </c>
      <c r="K152" s="33" t="str">
        <f t="shared" si="27"/>
        <v/>
      </c>
      <c r="L152" s="33" t="str">
        <f>IF($Y152&lt;&gt;1,"",$K152*$AD152+INDEX(Comenzi!$AJ:$AJ,$X152)*$I152/$E152)</f>
        <v/>
      </c>
      <c r="M152" s="33" t="str">
        <f t="shared" si="28"/>
        <v/>
      </c>
      <c r="N152" s="33" t="str">
        <f t="shared" si="29"/>
        <v/>
      </c>
      <c r="O152" s="33" t="str">
        <f>IF($Y152&lt;&gt;1,"",(INDEX(Comenzi!$AK:$AK,$X152)+N(INDEX(Comenzi!$T:$T,$X152)))*$I152/$E152)</f>
        <v/>
      </c>
      <c r="P152" s="35" t="str">
        <f t="shared" si="30"/>
        <v/>
      </c>
      <c r="Q152" s="36" t="str">
        <f t="shared" si="31"/>
        <v/>
      </c>
      <c r="R152" s="37" t="str">
        <f t="shared" si="32"/>
        <v/>
      </c>
      <c r="S152" s="38" t="str">
        <f t="shared" si="33"/>
        <v/>
      </c>
      <c r="T152" s="39" t="str">
        <f t="shared" si="34"/>
        <v/>
      </c>
      <c r="U152" s="40" t="str">
        <f t="shared" si="35"/>
        <v/>
      </c>
      <c r="V152" s="33" t="str">
        <f t="shared" si="36"/>
        <v/>
      </c>
      <c r="W152" s="33" t="str">
        <f t="shared" si="37"/>
        <v/>
      </c>
      <c r="X152" s="41" t="str">
        <f>IF($A152="","",IFERROR(MATCH($A152,Comenzi!$A$9:$A$108,0)+8,""))</f>
        <v/>
      </c>
      <c r="Y152" s="41" t="str">
        <f t="shared" si="38"/>
        <v/>
      </c>
      <c r="Z152" s="42" t="str">
        <f>IF($A152="","",IF($A152="?","Lipseste ID-ul comenzii (col. A din PI Furnizor)",IF(NOT(ISNUMBER($X152)),"ID comanda negasit in foaia Comenzi",IF(N($E152)&lt;=0,"Lipseste cantitatea",IF(N($G152)=0,"Pret unitar lipsa",IF($Y152&lt;&gt;1,"Curs sau moneda marfa lipsa (foaia Comenzi)",IF(INDEX(Comenzi!$AT:$AT,$X152)&lt;&gt;"OK","Avertisment comanda: "&amp;INDEX(Comenzi!$AT:$AT,$X152),"OK")))))))</f>
        <v/>
      </c>
      <c r="AA152" s="43" t="str">
        <f>IF(ISNUMBER($X152),INDEX(Comenzi!$H:$H,$X152),"")</f>
        <v/>
      </c>
      <c r="AB152" s="43" t="str">
        <f>IF(ISNUMBER($X152),INDEX(Comenzi!$I:$I,$X152),"")</f>
        <v/>
      </c>
      <c r="AC152" s="44" t="str">
        <f>IF(ISNUMBER($X152),IF(INDEX(Comenzi!$V:$V,$X152)="",Comenzi!$D$3,INDEX(Comenzi!$V:$V,$X152)),"")</f>
        <v/>
      </c>
      <c r="AD152" s="44" t="str">
        <f>IF(ISNUMBER($X152),IF(INDEX(Comenzi!$U:$U,$X152)="",Comenzi!$D$4,INDEX(Comenzi!$U:$U,$X152)),"")</f>
        <v/>
      </c>
      <c r="AE152" s="45" t="str">
        <f>IF($Y152&lt;&gt;1,"",IF(INDEX(Comenzi!$AM:$AM,$X152)="Greutate",INDEX('PI Furnizor'!$O:$O,ROW()-3),IF(INDEX(Comenzi!$AM:$AM,$X152)="Volum (CBM)",INDEX('PI Furnizor'!$Q:$Q,ROW()-3),IF(INDEX(Comenzi!$AM:$AM,$X152)="Valoare marfa",INDEX('PI Furnizor'!$N:$N,ROW()-3),$E152))))</f>
        <v/>
      </c>
    </row>
    <row r="153" spans="1:31" x14ac:dyDescent="0.3">
      <c r="A153" s="28" t="str">
        <f>IF(COUNTA(INDEX('PI Furnizor'!$A:$E,ROW()-3,0))=0,"",IF(INDEX('PI Furnizor'!$A:$A,ROW()-3)="","?",INDEX('PI Furnizor'!$A:$A,ROW()-3)))</f>
        <v/>
      </c>
      <c r="B153" s="29" t="str">
        <f>IF(ISNUMBER($X153),INDEX(Comenzi!$B:$B,$X153),"")</f>
        <v/>
      </c>
      <c r="C153" s="28" t="str">
        <f>IF($A153="","",INDEX('PI Furnizor'!$B:$B,ROW()-3)&amp;"")</f>
        <v/>
      </c>
      <c r="D153" s="28" t="str">
        <f>IF($A153="","",INDEX('PI Furnizor'!$C:$C,ROW()-3)&amp;"")</f>
        <v/>
      </c>
      <c r="E153" s="30" t="str">
        <f>IF($A153="","",N(INDEX('PI Furnizor'!$D:$D,ROW()-3)))</f>
        <v/>
      </c>
      <c r="F153" s="31" t="str">
        <f>IF(ISNUMBER($X153),INDEX(Comenzi!$G:$G,$X153),"")</f>
        <v/>
      </c>
      <c r="G153" s="32" t="str">
        <f>IF($A153="","",N(INDEX('PI Furnizor'!$E:$E,ROW()-3)))</f>
        <v/>
      </c>
      <c r="H153" s="33" t="str">
        <f t="shared" si="26"/>
        <v/>
      </c>
      <c r="I153" s="34" t="str">
        <f>IF($Y153&lt;&gt;1,"",IFERROR($AE153/INDEX(Comenzi!$AN:$AN,$X153),0))</f>
        <v/>
      </c>
      <c r="J153" s="33" t="str">
        <f>IF($Y153&lt;&gt;1,"",INDEX(Comenzi!$AG:$AG,$X153)*$I153/$E153)</f>
        <v/>
      </c>
      <c r="K153" s="33" t="str">
        <f t="shared" si="27"/>
        <v/>
      </c>
      <c r="L153" s="33" t="str">
        <f>IF($Y153&lt;&gt;1,"",$K153*$AD153+INDEX(Comenzi!$AJ:$AJ,$X153)*$I153/$E153)</f>
        <v/>
      </c>
      <c r="M153" s="33" t="str">
        <f t="shared" si="28"/>
        <v/>
      </c>
      <c r="N153" s="33" t="str">
        <f t="shared" si="29"/>
        <v/>
      </c>
      <c r="O153" s="33" t="str">
        <f>IF($Y153&lt;&gt;1,"",(INDEX(Comenzi!$AK:$AK,$X153)+N(INDEX(Comenzi!$T:$T,$X153)))*$I153/$E153)</f>
        <v/>
      </c>
      <c r="P153" s="35" t="str">
        <f t="shared" si="30"/>
        <v/>
      </c>
      <c r="Q153" s="36" t="str">
        <f t="shared" si="31"/>
        <v/>
      </c>
      <c r="R153" s="37" t="str">
        <f t="shared" si="32"/>
        <v/>
      </c>
      <c r="S153" s="38" t="str">
        <f t="shared" si="33"/>
        <v/>
      </c>
      <c r="T153" s="39" t="str">
        <f t="shared" si="34"/>
        <v/>
      </c>
      <c r="U153" s="40" t="str">
        <f t="shared" si="35"/>
        <v/>
      </c>
      <c r="V153" s="33" t="str">
        <f t="shared" si="36"/>
        <v/>
      </c>
      <c r="W153" s="33" t="str">
        <f t="shared" si="37"/>
        <v/>
      </c>
      <c r="X153" s="41" t="str">
        <f>IF($A153="","",IFERROR(MATCH($A153,Comenzi!$A$9:$A$108,0)+8,""))</f>
        <v/>
      </c>
      <c r="Y153" s="41" t="str">
        <f t="shared" si="38"/>
        <v/>
      </c>
      <c r="Z153" s="42" t="str">
        <f>IF($A153="","",IF($A153="?","Lipseste ID-ul comenzii (col. A din PI Furnizor)",IF(NOT(ISNUMBER($X153)),"ID comanda negasit in foaia Comenzi",IF(N($E153)&lt;=0,"Lipseste cantitatea",IF(N($G153)=0,"Pret unitar lipsa",IF($Y153&lt;&gt;1,"Curs sau moneda marfa lipsa (foaia Comenzi)",IF(INDEX(Comenzi!$AT:$AT,$X153)&lt;&gt;"OK","Avertisment comanda: "&amp;INDEX(Comenzi!$AT:$AT,$X153),"OK")))))))</f>
        <v/>
      </c>
      <c r="AA153" s="43" t="str">
        <f>IF(ISNUMBER($X153),INDEX(Comenzi!$H:$H,$X153),"")</f>
        <v/>
      </c>
      <c r="AB153" s="43" t="str">
        <f>IF(ISNUMBER($X153),INDEX(Comenzi!$I:$I,$X153),"")</f>
        <v/>
      </c>
      <c r="AC153" s="44" t="str">
        <f>IF(ISNUMBER($X153),IF(INDEX(Comenzi!$V:$V,$X153)="",Comenzi!$D$3,INDEX(Comenzi!$V:$V,$X153)),"")</f>
        <v/>
      </c>
      <c r="AD153" s="44" t="str">
        <f>IF(ISNUMBER($X153),IF(INDEX(Comenzi!$U:$U,$X153)="",Comenzi!$D$4,INDEX(Comenzi!$U:$U,$X153)),"")</f>
        <v/>
      </c>
      <c r="AE153" s="45" t="str">
        <f>IF($Y153&lt;&gt;1,"",IF(INDEX(Comenzi!$AM:$AM,$X153)="Greutate",INDEX('PI Furnizor'!$O:$O,ROW()-3),IF(INDEX(Comenzi!$AM:$AM,$X153)="Volum (CBM)",INDEX('PI Furnizor'!$Q:$Q,ROW()-3),IF(INDEX(Comenzi!$AM:$AM,$X153)="Valoare marfa",INDEX('PI Furnizor'!$N:$N,ROW()-3),$E153))))</f>
        <v/>
      </c>
    </row>
    <row r="154" spans="1:31" x14ac:dyDescent="0.3">
      <c r="A154" s="28" t="str">
        <f>IF(COUNTA(INDEX('PI Furnizor'!$A:$E,ROW()-3,0))=0,"",IF(INDEX('PI Furnizor'!$A:$A,ROW()-3)="","?",INDEX('PI Furnizor'!$A:$A,ROW()-3)))</f>
        <v/>
      </c>
      <c r="B154" s="29" t="str">
        <f>IF(ISNUMBER($X154),INDEX(Comenzi!$B:$B,$X154),"")</f>
        <v/>
      </c>
      <c r="C154" s="28" t="str">
        <f>IF($A154="","",INDEX('PI Furnizor'!$B:$B,ROW()-3)&amp;"")</f>
        <v/>
      </c>
      <c r="D154" s="28" t="str">
        <f>IF($A154="","",INDEX('PI Furnizor'!$C:$C,ROW()-3)&amp;"")</f>
        <v/>
      </c>
      <c r="E154" s="30" t="str">
        <f>IF($A154="","",N(INDEX('PI Furnizor'!$D:$D,ROW()-3)))</f>
        <v/>
      </c>
      <c r="F154" s="31" t="str">
        <f>IF(ISNUMBER($X154),INDEX(Comenzi!$G:$G,$X154),"")</f>
        <v/>
      </c>
      <c r="G154" s="32" t="str">
        <f>IF($A154="","",N(INDEX('PI Furnizor'!$E:$E,ROW()-3)))</f>
        <v/>
      </c>
      <c r="H154" s="33" t="str">
        <f t="shared" si="26"/>
        <v/>
      </c>
      <c r="I154" s="34" t="str">
        <f>IF($Y154&lt;&gt;1,"",IFERROR($AE154/INDEX(Comenzi!$AN:$AN,$X154),0))</f>
        <v/>
      </c>
      <c r="J154" s="33" t="str">
        <f>IF($Y154&lt;&gt;1,"",INDEX(Comenzi!$AG:$AG,$X154)*$I154/$E154)</f>
        <v/>
      </c>
      <c r="K154" s="33" t="str">
        <f t="shared" si="27"/>
        <v/>
      </c>
      <c r="L154" s="33" t="str">
        <f>IF($Y154&lt;&gt;1,"",$K154*$AD154+INDEX(Comenzi!$AJ:$AJ,$X154)*$I154/$E154)</f>
        <v/>
      </c>
      <c r="M154" s="33" t="str">
        <f t="shared" si="28"/>
        <v/>
      </c>
      <c r="N154" s="33" t="str">
        <f t="shared" si="29"/>
        <v/>
      </c>
      <c r="O154" s="33" t="str">
        <f>IF($Y154&lt;&gt;1,"",(INDEX(Comenzi!$AK:$AK,$X154)+N(INDEX(Comenzi!$T:$T,$X154)))*$I154/$E154)</f>
        <v/>
      </c>
      <c r="P154" s="35" t="str">
        <f t="shared" si="30"/>
        <v/>
      </c>
      <c r="Q154" s="36" t="str">
        <f t="shared" si="31"/>
        <v/>
      </c>
      <c r="R154" s="37" t="str">
        <f t="shared" si="32"/>
        <v/>
      </c>
      <c r="S154" s="38" t="str">
        <f t="shared" si="33"/>
        <v/>
      </c>
      <c r="T154" s="39" t="str">
        <f t="shared" si="34"/>
        <v/>
      </c>
      <c r="U154" s="40" t="str">
        <f t="shared" si="35"/>
        <v/>
      </c>
      <c r="V154" s="33" t="str">
        <f t="shared" si="36"/>
        <v/>
      </c>
      <c r="W154" s="33" t="str">
        <f t="shared" si="37"/>
        <v/>
      </c>
      <c r="X154" s="41" t="str">
        <f>IF($A154="","",IFERROR(MATCH($A154,Comenzi!$A$9:$A$108,0)+8,""))</f>
        <v/>
      </c>
      <c r="Y154" s="41" t="str">
        <f t="shared" si="38"/>
        <v/>
      </c>
      <c r="Z154" s="42" t="str">
        <f>IF($A154="","",IF($A154="?","Lipseste ID-ul comenzii (col. A din PI Furnizor)",IF(NOT(ISNUMBER($X154)),"ID comanda negasit in foaia Comenzi",IF(N($E154)&lt;=0,"Lipseste cantitatea",IF(N($G154)=0,"Pret unitar lipsa",IF($Y154&lt;&gt;1,"Curs sau moneda marfa lipsa (foaia Comenzi)",IF(INDEX(Comenzi!$AT:$AT,$X154)&lt;&gt;"OK","Avertisment comanda: "&amp;INDEX(Comenzi!$AT:$AT,$X154),"OK")))))))</f>
        <v/>
      </c>
      <c r="AA154" s="43" t="str">
        <f>IF(ISNUMBER($X154),INDEX(Comenzi!$H:$H,$X154),"")</f>
        <v/>
      </c>
      <c r="AB154" s="43" t="str">
        <f>IF(ISNUMBER($X154),INDEX(Comenzi!$I:$I,$X154),"")</f>
        <v/>
      </c>
      <c r="AC154" s="44" t="str">
        <f>IF(ISNUMBER($X154),IF(INDEX(Comenzi!$V:$V,$X154)="",Comenzi!$D$3,INDEX(Comenzi!$V:$V,$X154)),"")</f>
        <v/>
      </c>
      <c r="AD154" s="44" t="str">
        <f>IF(ISNUMBER($X154),IF(INDEX(Comenzi!$U:$U,$X154)="",Comenzi!$D$4,INDEX(Comenzi!$U:$U,$X154)),"")</f>
        <v/>
      </c>
      <c r="AE154" s="45" t="str">
        <f>IF($Y154&lt;&gt;1,"",IF(INDEX(Comenzi!$AM:$AM,$X154)="Greutate",INDEX('PI Furnizor'!$O:$O,ROW()-3),IF(INDEX(Comenzi!$AM:$AM,$X154)="Volum (CBM)",INDEX('PI Furnizor'!$Q:$Q,ROW()-3),IF(INDEX(Comenzi!$AM:$AM,$X154)="Valoare marfa",INDEX('PI Furnizor'!$N:$N,ROW()-3),$E154))))</f>
        <v/>
      </c>
    </row>
    <row r="155" spans="1:31" x14ac:dyDescent="0.3">
      <c r="A155" s="28" t="str">
        <f>IF(COUNTA(INDEX('PI Furnizor'!$A:$E,ROW()-3,0))=0,"",IF(INDEX('PI Furnizor'!$A:$A,ROW()-3)="","?",INDEX('PI Furnizor'!$A:$A,ROW()-3)))</f>
        <v/>
      </c>
      <c r="B155" s="29" t="str">
        <f>IF(ISNUMBER($X155),INDEX(Comenzi!$B:$B,$X155),"")</f>
        <v/>
      </c>
      <c r="C155" s="28" t="str">
        <f>IF($A155="","",INDEX('PI Furnizor'!$B:$B,ROW()-3)&amp;"")</f>
        <v/>
      </c>
      <c r="D155" s="28" t="str">
        <f>IF($A155="","",INDEX('PI Furnizor'!$C:$C,ROW()-3)&amp;"")</f>
        <v/>
      </c>
      <c r="E155" s="30" t="str">
        <f>IF($A155="","",N(INDEX('PI Furnizor'!$D:$D,ROW()-3)))</f>
        <v/>
      </c>
      <c r="F155" s="31" t="str">
        <f>IF(ISNUMBER($X155),INDEX(Comenzi!$G:$G,$X155),"")</f>
        <v/>
      </c>
      <c r="G155" s="32" t="str">
        <f>IF($A155="","",N(INDEX('PI Furnizor'!$E:$E,ROW()-3)))</f>
        <v/>
      </c>
      <c r="H155" s="33" t="str">
        <f t="shared" si="26"/>
        <v/>
      </c>
      <c r="I155" s="34" t="str">
        <f>IF($Y155&lt;&gt;1,"",IFERROR($AE155/INDEX(Comenzi!$AN:$AN,$X155),0))</f>
        <v/>
      </c>
      <c r="J155" s="33" t="str">
        <f>IF($Y155&lt;&gt;1,"",INDEX(Comenzi!$AG:$AG,$X155)*$I155/$E155)</f>
        <v/>
      </c>
      <c r="K155" s="33" t="str">
        <f t="shared" si="27"/>
        <v/>
      </c>
      <c r="L155" s="33" t="str">
        <f>IF($Y155&lt;&gt;1,"",$K155*$AD155+INDEX(Comenzi!$AJ:$AJ,$X155)*$I155/$E155)</f>
        <v/>
      </c>
      <c r="M155" s="33" t="str">
        <f t="shared" si="28"/>
        <v/>
      </c>
      <c r="N155" s="33" t="str">
        <f t="shared" si="29"/>
        <v/>
      </c>
      <c r="O155" s="33" t="str">
        <f>IF($Y155&lt;&gt;1,"",(INDEX(Comenzi!$AK:$AK,$X155)+N(INDEX(Comenzi!$T:$T,$X155)))*$I155/$E155)</f>
        <v/>
      </c>
      <c r="P155" s="35" t="str">
        <f t="shared" si="30"/>
        <v/>
      </c>
      <c r="Q155" s="36" t="str">
        <f t="shared" si="31"/>
        <v/>
      </c>
      <c r="R155" s="37" t="str">
        <f t="shared" si="32"/>
        <v/>
      </c>
      <c r="S155" s="38" t="str">
        <f t="shared" si="33"/>
        <v/>
      </c>
      <c r="T155" s="39" t="str">
        <f t="shared" si="34"/>
        <v/>
      </c>
      <c r="U155" s="40" t="str">
        <f t="shared" si="35"/>
        <v/>
      </c>
      <c r="V155" s="33" t="str">
        <f t="shared" si="36"/>
        <v/>
      </c>
      <c r="W155" s="33" t="str">
        <f t="shared" si="37"/>
        <v/>
      </c>
      <c r="X155" s="41" t="str">
        <f>IF($A155="","",IFERROR(MATCH($A155,Comenzi!$A$9:$A$108,0)+8,""))</f>
        <v/>
      </c>
      <c r="Y155" s="41" t="str">
        <f t="shared" si="38"/>
        <v/>
      </c>
      <c r="Z155" s="42" t="str">
        <f>IF($A155="","",IF($A155="?","Lipseste ID-ul comenzii (col. A din PI Furnizor)",IF(NOT(ISNUMBER($X155)),"ID comanda negasit in foaia Comenzi",IF(N($E155)&lt;=0,"Lipseste cantitatea",IF(N($G155)=0,"Pret unitar lipsa",IF($Y155&lt;&gt;1,"Curs sau moneda marfa lipsa (foaia Comenzi)",IF(INDEX(Comenzi!$AT:$AT,$X155)&lt;&gt;"OK","Avertisment comanda: "&amp;INDEX(Comenzi!$AT:$AT,$X155),"OK")))))))</f>
        <v/>
      </c>
      <c r="AA155" s="43" t="str">
        <f>IF(ISNUMBER($X155),INDEX(Comenzi!$H:$H,$X155),"")</f>
        <v/>
      </c>
      <c r="AB155" s="43" t="str">
        <f>IF(ISNUMBER($X155),INDEX(Comenzi!$I:$I,$X155),"")</f>
        <v/>
      </c>
      <c r="AC155" s="44" t="str">
        <f>IF(ISNUMBER($X155),IF(INDEX(Comenzi!$V:$V,$X155)="",Comenzi!$D$3,INDEX(Comenzi!$V:$V,$X155)),"")</f>
        <v/>
      </c>
      <c r="AD155" s="44" t="str">
        <f>IF(ISNUMBER($X155),IF(INDEX(Comenzi!$U:$U,$X155)="",Comenzi!$D$4,INDEX(Comenzi!$U:$U,$X155)),"")</f>
        <v/>
      </c>
      <c r="AE155" s="45" t="str">
        <f>IF($Y155&lt;&gt;1,"",IF(INDEX(Comenzi!$AM:$AM,$X155)="Greutate",INDEX('PI Furnizor'!$O:$O,ROW()-3),IF(INDEX(Comenzi!$AM:$AM,$X155)="Volum (CBM)",INDEX('PI Furnizor'!$Q:$Q,ROW()-3),IF(INDEX(Comenzi!$AM:$AM,$X155)="Valoare marfa",INDEX('PI Furnizor'!$N:$N,ROW()-3),$E155))))</f>
        <v/>
      </c>
    </row>
    <row r="156" spans="1:31" x14ac:dyDescent="0.3">
      <c r="A156" s="28" t="str">
        <f>IF(COUNTA(INDEX('PI Furnizor'!$A:$E,ROW()-3,0))=0,"",IF(INDEX('PI Furnizor'!$A:$A,ROW()-3)="","?",INDEX('PI Furnizor'!$A:$A,ROW()-3)))</f>
        <v/>
      </c>
      <c r="B156" s="29" t="str">
        <f>IF(ISNUMBER($X156),INDEX(Comenzi!$B:$B,$X156),"")</f>
        <v/>
      </c>
      <c r="C156" s="28" t="str">
        <f>IF($A156="","",INDEX('PI Furnizor'!$B:$B,ROW()-3)&amp;"")</f>
        <v/>
      </c>
      <c r="D156" s="28" t="str">
        <f>IF($A156="","",INDEX('PI Furnizor'!$C:$C,ROW()-3)&amp;"")</f>
        <v/>
      </c>
      <c r="E156" s="30" t="str">
        <f>IF($A156="","",N(INDEX('PI Furnizor'!$D:$D,ROW()-3)))</f>
        <v/>
      </c>
      <c r="F156" s="31" t="str">
        <f>IF(ISNUMBER($X156),INDEX(Comenzi!$G:$G,$X156),"")</f>
        <v/>
      </c>
      <c r="G156" s="32" t="str">
        <f>IF($A156="","",N(INDEX('PI Furnizor'!$E:$E,ROW()-3)))</f>
        <v/>
      </c>
      <c r="H156" s="33" t="str">
        <f t="shared" si="26"/>
        <v/>
      </c>
      <c r="I156" s="34" t="str">
        <f>IF($Y156&lt;&gt;1,"",IFERROR($AE156/INDEX(Comenzi!$AN:$AN,$X156),0))</f>
        <v/>
      </c>
      <c r="J156" s="33" t="str">
        <f>IF($Y156&lt;&gt;1,"",INDEX(Comenzi!$AG:$AG,$X156)*$I156/$E156)</f>
        <v/>
      </c>
      <c r="K156" s="33" t="str">
        <f t="shared" si="27"/>
        <v/>
      </c>
      <c r="L156" s="33" t="str">
        <f>IF($Y156&lt;&gt;1,"",$K156*$AD156+INDEX(Comenzi!$AJ:$AJ,$X156)*$I156/$E156)</f>
        <v/>
      </c>
      <c r="M156" s="33" t="str">
        <f t="shared" si="28"/>
        <v/>
      </c>
      <c r="N156" s="33" t="str">
        <f t="shared" si="29"/>
        <v/>
      </c>
      <c r="O156" s="33" t="str">
        <f>IF($Y156&lt;&gt;1,"",(INDEX(Comenzi!$AK:$AK,$X156)+N(INDEX(Comenzi!$T:$T,$X156)))*$I156/$E156)</f>
        <v/>
      </c>
      <c r="P156" s="35" t="str">
        <f t="shared" si="30"/>
        <v/>
      </c>
      <c r="Q156" s="36" t="str">
        <f t="shared" si="31"/>
        <v/>
      </c>
      <c r="R156" s="37" t="str">
        <f t="shared" si="32"/>
        <v/>
      </c>
      <c r="S156" s="38" t="str">
        <f t="shared" si="33"/>
        <v/>
      </c>
      <c r="T156" s="39" t="str">
        <f t="shared" si="34"/>
        <v/>
      </c>
      <c r="U156" s="40" t="str">
        <f t="shared" si="35"/>
        <v/>
      </c>
      <c r="V156" s="33" t="str">
        <f t="shared" si="36"/>
        <v/>
      </c>
      <c r="W156" s="33" t="str">
        <f t="shared" si="37"/>
        <v/>
      </c>
      <c r="X156" s="41" t="str">
        <f>IF($A156="","",IFERROR(MATCH($A156,Comenzi!$A$9:$A$108,0)+8,""))</f>
        <v/>
      </c>
      <c r="Y156" s="41" t="str">
        <f t="shared" si="38"/>
        <v/>
      </c>
      <c r="Z156" s="42" t="str">
        <f>IF($A156="","",IF($A156="?","Lipseste ID-ul comenzii (col. A din PI Furnizor)",IF(NOT(ISNUMBER($X156)),"ID comanda negasit in foaia Comenzi",IF(N($E156)&lt;=0,"Lipseste cantitatea",IF(N($G156)=0,"Pret unitar lipsa",IF($Y156&lt;&gt;1,"Curs sau moneda marfa lipsa (foaia Comenzi)",IF(INDEX(Comenzi!$AT:$AT,$X156)&lt;&gt;"OK","Avertisment comanda: "&amp;INDEX(Comenzi!$AT:$AT,$X156),"OK")))))))</f>
        <v/>
      </c>
      <c r="AA156" s="43" t="str">
        <f>IF(ISNUMBER($X156),INDEX(Comenzi!$H:$H,$X156),"")</f>
        <v/>
      </c>
      <c r="AB156" s="43" t="str">
        <f>IF(ISNUMBER($X156),INDEX(Comenzi!$I:$I,$X156),"")</f>
        <v/>
      </c>
      <c r="AC156" s="44" t="str">
        <f>IF(ISNUMBER($X156),IF(INDEX(Comenzi!$V:$V,$X156)="",Comenzi!$D$3,INDEX(Comenzi!$V:$V,$X156)),"")</f>
        <v/>
      </c>
      <c r="AD156" s="44" t="str">
        <f>IF(ISNUMBER($X156),IF(INDEX(Comenzi!$U:$U,$X156)="",Comenzi!$D$4,INDEX(Comenzi!$U:$U,$X156)),"")</f>
        <v/>
      </c>
      <c r="AE156" s="45" t="str">
        <f>IF($Y156&lt;&gt;1,"",IF(INDEX(Comenzi!$AM:$AM,$X156)="Greutate",INDEX('PI Furnizor'!$O:$O,ROW()-3),IF(INDEX(Comenzi!$AM:$AM,$X156)="Volum (CBM)",INDEX('PI Furnizor'!$Q:$Q,ROW()-3),IF(INDEX(Comenzi!$AM:$AM,$X156)="Valoare marfa",INDEX('PI Furnizor'!$N:$N,ROW()-3),$E156))))</f>
        <v/>
      </c>
    </row>
    <row r="157" spans="1:31" x14ac:dyDescent="0.3">
      <c r="A157" s="28" t="str">
        <f>IF(COUNTA(INDEX('PI Furnizor'!$A:$E,ROW()-3,0))=0,"",IF(INDEX('PI Furnizor'!$A:$A,ROW()-3)="","?",INDEX('PI Furnizor'!$A:$A,ROW()-3)))</f>
        <v/>
      </c>
      <c r="B157" s="29" t="str">
        <f>IF(ISNUMBER($X157),INDEX(Comenzi!$B:$B,$X157),"")</f>
        <v/>
      </c>
      <c r="C157" s="28" t="str">
        <f>IF($A157="","",INDEX('PI Furnizor'!$B:$B,ROW()-3)&amp;"")</f>
        <v/>
      </c>
      <c r="D157" s="28" t="str">
        <f>IF($A157="","",INDEX('PI Furnizor'!$C:$C,ROW()-3)&amp;"")</f>
        <v/>
      </c>
      <c r="E157" s="30" t="str">
        <f>IF($A157="","",N(INDEX('PI Furnizor'!$D:$D,ROW()-3)))</f>
        <v/>
      </c>
      <c r="F157" s="31" t="str">
        <f>IF(ISNUMBER($X157),INDEX(Comenzi!$G:$G,$X157),"")</f>
        <v/>
      </c>
      <c r="G157" s="32" t="str">
        <f>IF($A157="","",N(INDEX('PI Furnizor'!$E:$E,ROW()-3)))</f>
        <v/>
      </c>
      <c r="H157" s="33" t="str">
        <f t="shared" si="26"/>
        <v/>
      </c>
      <c r="I157" s="34" t="str">
        <f>IF($Y157&lt;&gt;1,"",IFERROR($AE157/INDEX(Comenzi!$AN:$AN,$X157),0))</f>
        <v/>
      </c>
      <c r="J157" s="33" t="str">
        <f>IF($Y157&lt;&gt;1,"",INDEX(Comenzi!$AG:$AG,$X157)*$I157/$E157)</f>
        <v/>
      </c>
      <c r="K157" s="33" t="str">
        <f t="shared" si="27"/>
        <v/>
      </c>
      <c r="L157" s="33" t="str">
        <f>IF($Y157&lt;&gt;1,"",$K157*$AD157+INDEX(Comenzi!$AJ:$AJ,$X157)*$I157/$E157)</f>
        <v/>
      </c>
      <c r="M157" s="33" t="str">
        <f t="shared" si="28"/>
        <v/>
      </c>
      <c r="N157" s="33" t="str">
        <f t="shared" si="29"/>
        <v/>
      </c>
      <c r="O157" s="33" t="str">
        <f>IF($Y157&lt;&gt;1,"",(INDEX(Comenzi!$AK:$AK,$X157)+N(INDEX(Comenzi!$T:$T,$X157)))*$I157/$E157)</f>
        <v/>
      </c>
      <c r="P157" s="35" t="str">
        <f t="shared" si="30"/>
        <v/>
      </c>
      <c r="Q157" s="36" t="str">
        <f t="shared" si="31"/>
        <v/>
      </c>
      <c r="R157" s="37" t="str">
        <f t="shared" si="32"/>
        <v/>
      </c>
      <c r="S157" s="38" t="str">
        <f t="shared" si="33"/>
        <v/>
      </c>
      <c r="T157" s="39" t="str">
        <f t="shared" si="34"/>
        <v/>
      </c>
      <c r="U157" s="40" t="str">
        <f t="shared" si="35"/>
        <v/>
      </c>
      <c r="V157" s="33" t="str">
        <f t="shared" si="36"/>
        <v/>
      </c>
      <c r="W157" s="33" t="str">
        <f t="shared" si="37"/>
        <v/>
      </c>
      <c r="X157" s="41" t="str">
        <f>IF($A157="","",IFERROR(MATCH($A157,Comenzi!$A$9:$A$108,0)+8,""))</f>
        <v/>
      </c>
      <c r="Y157" s="41" t="str">
        <f t="shared" si="38"/>
        <v/>
      </c>
      <c r="Z157" s="42" t="str">
        <f>IF($A157="","",IF($A157="?","Lipseste ID-ul comenzii (col. A din PI Furnizor)",IF(NOT(ISNUMBER($X157)),"ID comanda negasit in foaia Comenzi",IF(N($E157)&lt;=0,"Lipseste cantitatea",IF(N($G157)=0,"Pret unitar lipsa",IF($Y157&lt;&gt;1,"Curs sau moneda marfa lipsa (foaia Comenzi)",IF(INDEX(Comenzi!$AT:$AT,$X157)&lt;&gt;"OK","Avertisment comanda: "&amp;INDEX(Comenzi!$AT:$AT,$X157),"OK")))))))</f>
        <v/>
      </c>
      <c r="AA157" s="43" t="str">
        <f>IF(ISNUMBER($X157),INDEX(Comenzi!$H:$H,$X157),"")</f>
        <v/>
      </c>
      <c r="AB157" s="43" t="str">
        <f>IF(ISNUMBER($X157),INDEX(Comenzi!$I:$I,$X157),"")</f>
        <v/>
      </c>
      <c r="AC157" s="44" t="str">
        <f>IF(ISNUMBER($X157),IF(INDEX(Comenzi!$V:$V,$X157)="",Comenzi!$D$3,INDEX(Comenzi!$V:$V,$X157)),"")</f>
        <v/>
      </c>
      <c r="AD157" s="44" t="str">
        <f>IF(ISNUMBER($X157),IF(INDEX(Comenzi!$U:$U,$X157)="",Comenzi!$D$4,INDEX(Comenzi!$U:$U,$X157)),"")</f>
        <v/>
      </c>
      <c r="AE157" s="45" t="str">
        <f>IF($Y157&lt;&gt;1,"",IF(INDEX(Comenzi!$AM:$AM,$X157)="Greutate",INDEX('PI Furnizor'!$O:$O,ROW()-3),IF(INDEX(Comenzi!$AM:$AM,$X157)="Volum (CBM)",INDEX('PI Furnizor'!$Q:$Q,ROW()-3),IF(INDEX(Comenzi!$AM:$AM,$X157)="Valoare marfa",INDEX('PI Furnizor'!$N:$N,ROW()-3),$E157))))</f>
        <v/>
      </c>
    </row>
    <row r="158" spans="1:31" x14ac:dyDescent="0.3">
      <c r="A158" s="28" t="str">
        <f>IF(COUNTA(INDEX('PI Furnizor'!$A:$E,ROW()-3,0))=0,"",IF(INDEX('PI Furnizor'!$A:$A,ROW()-3)="","?",INDEX('PI Furnizor'!$A:$A,ROW()-3)))</f>
        <v/>
      </c>
      <c r="B158" s="29" t="str">
        <f>IF(ISNUMBER($X158),INDEX(Comenzi!$B:$B,$X158),"")</f>
        <v/>
      </c>
      <c r="C158" s="28" t="str">
        <f>IF($A158="","",INDEX('PI Furnizor'!$B:$B,ROW()-3)&amp;"")</f>
        <v/>
      </c>
      <c r="D158" s="28" t="str">
        <f>IF($A158="","",INDEX('PI Furnizor'!$C:$C,ROW()-3)&amp;"")</f>
        <v/>
      </c>
      <c r="E158" s="30" t="str">
        <f>IF($A158="","",N(INDEX('PI Furnizor'!$D:$D,ROW()-3)))</f>
        <v/>
      </c>
      <c r="F158" s="31" t="str">
        <f>IF(ISNUMBER($X158),INDEX(Comenzi!$G:$G,$X158),"")</f>
        <v/>
      </c>
      <c r="G158" s="32" t="str">
        <f>IF($A158="","",N(INDEX('PI Furnizor'!$E:$E,ROW()-3)))</f>
        <v/>
      </c>
      <c r="H158" s="33" t="str">
        <f t="shared" si="26"/>
        <v/>
      </c>
      <c r="I158" s="34" t="str">
        <f>IF($Y158&lt;&gt;1,"",IFERROR($AE158/INDEX(Comenzi!$AN:$AN,$X158),0))</f>
        <v/>
      </c>
      <c r="J158" s="33" t="str">
        <f>IF($Y158&lt;&gt;1,"",INDEX(Comenzi!$AG:$AG,$X158)*$I158/$E158)</f>
        <v/>
      </c>
      <c r="K158" s="33" t="str">
        <f t="shared" si="27"/>
        <v/>
      </c>
      <c r="L158" s="33" t="str">
        <f>IF($Y158&lt;&gt;1,"",$K158*$AD158+INDEX(Comenzi!$AJ:$AJ,$X158)*$I158/$E158)</f>
        <v/>
      </c>
      <c r="M158" s="33" t="str">
        <f t="shared" si="28"/>
        <v/>
      </c>
      <c r="N158" s="33" t="str">
        <f t="shared" si="29"/>
        <v/>
      </c>
      <c r="O158" s="33" t="str">
        <f>IF($Y158&lt;&gt;1,"",(INDEX(Comenzi!$AK:$AK,$X158)+N(INDEX(Comenzi!$T:$T,$X158)))*$I158/$E158)</f>
        <v/>
      </c>
      <c r="P158" s="35" t="str">
        <f t="shared" si="30"/>
        <v/>
      </c>
      <c r="Q158" s="36" t="str">
        <f t="shared" si="31"/>
        <v/>
      </c>
      <c r="R158" s="37" t="str">
        <f t="shared" si="32"/>
        <v/>
      </c>
      <c r="S158" s="38" t="str">
        <f t="shared" si="33"/>
        <v/>
      </c>
      <c r="T158" s="39" t="str">
        <f t="shared" si="34"/>
        <v/>
      </c>
      <c r="U158" s="40" t="str">
        <f t="shared" si="35"/>
        <v/>
      </c>
      <c r="V158" s="33" t="str">
        <f t="shared" si="36"/>
        <v/>
      </c>
      <c r="W158" s="33" t="str">
        <f t="shared" si="37"/>
        <v/>
      </c>
      <c r="X158" s="41" t="str">
        <f>IF($A158="","",IFERROR(MATCH($A158,Comenzi!$A$9:$A$108,0)+8,""))</f>
        <v/>
      </c>
      <c r="Y158" s="41" t="str">
        <f t="shared" si="38"/>
        <v/>
      </c>
      <c r="Z158" s="42" t="str">
        <f>IF($A158="","",IF($A158="?","Lipseste ID-ul comenzii (col. A din PI Furnizor)",IF(NOT(ISNUMBER($X158)),"ID comanda negasit in foaia Comenzi",IF(N($E158)&lt;=0,"Lipseste cantitatea",IF(N($G158)=0,"Pret unitar lipsa",IF($Y158&lt;&gt;1,"Curs sau moneda marfa lipsa (foaia Comenzi)",IF(INDEX(Comenzi!$AT:$AT,$X158)&lt;&gt;"OK","Avertisment comanda: "&amp;INDEX(Comenzi!$AT:$AT,$X158),"OK")))))))</f>
        <v/>
      </c>
      <c r="AA158" s="43" t="str">
        <f>IF(ISNUMBER($X158),INDEX(Comenzi!$H:$H,$X158),"")</f>
        <v/>
      </c>
      <c r="AB158" s="43" t="str">
        <f>IF(ISNUMBER($X158),INDEX(Comenzi!$I:$I,$X158),"")</f>
        <v/>
      </c>
      <c r="AC158" s="44" t="str">
        <f>IF(ISNUMBER($X158),IF(INDEX(Comenzi!$V:$V,$X158)="",Comenzi!$D$3,INDEX(Comenzi!$V:$V,$X158)),"")</f>
        <v/>
      </c>
      <c r="AD158" s="44" t="str">
        <f>IF(ISNUMBER($X158),IF(INDEX(Comenzi!$U:$U,$X158)="",Comenzi!$D$4,INDEX(Comenzi!$U:$U,$X158)),"")</f>
        <v/>
      </c>
      <c r="AE158" s="45" t="str">
        <f>IF($Y158&lt;&gt;1,"",IF(INDEX(Comenzi!$AM:$AM,$X158)="Greutate",INDEX('PI Furnizor'!$O:$O,ROW()-3),IF(INDEX(Comenzi!$AM:$AM,$X158)="Volum (CBM)",INDEX('PI Furnizor'!$Q:$Q,ROW()-3),IF(INDEX(Comenzi!$AM:$AM,$X158)="Valoare marfa",INDEX('PI Furnizor'!$N:$N,ROW()-3),$E158))))</f>
        <v/>
      </c>
    </row>
    <row r="159" spans="1:31" x14ac:dyDescent="0.3">
      <c r="A159" s="28" t="str">
        <f>IF(COUNTA(INDEX('PI Furnizor'!$A:$E,ROW()-3,0))=0,"",IF(INDEX('PI Furnizor'!$A:$A,ROW()-3)="","?",INDEX('PI Furnizor'!$A:$A,ROW()-3)))</f>
        <v/>
      </c>
      <c r="B159" s="29" t="str">
        <f>IF(ISNUMBER($X159),INDEX(Comenzi!$B:$B,$X159),"")</f>
        <v/>
      </c>
      <c r="C159" s="28" t="str">
        <f>IF($A159="","",INDEX('PI Furnizor'!$B:$B,ROW()-3)&amp;"")</f>
        <v/>
      </c>
      <c r="D159" s="28" t="str">
        <f>IF($A159="","",INDEX('PI Furnizor'!$C:$C,ROW()-3)&amp;"")</f>
        <v/>
      </c>
      <c r="E159" s="30" t="str">
        <f>IF($A159="","",N(INDEX('PI Furnizor'!$D:$D,ROW()-3)))</f>
        <v/>
      </c>
      <c r="F159" s="31" t="str">
        <f>IF(ISNUMBER($X159),INDEX(Comenzi!$G:$G,$X159),"")</f>
        <v/>
      </c>
      <c r="G159" s="32" t="str">
        <f>IF($A159="","",N(INDEX('PI Furnizor'!$E:$E,ROW()-3)))</f>
        <v/>
      </c>
      <c r="H159" s="33" t="str">
        <f t="shared" si="26"/>
        <v/>
      </c>
      <c r="I159" s="34" t="str">
        <f>IF($Y159&lt;&gt;1,"",IFERROR($AE159/INDEX(Comenzi!$AN:$AN,$X159),0))</f>
        <v/>
      </c>
      <c r="J159" s="33" t="str">
        <f>IF($Y159&lt;&gt;1,"",INDEX(Comenzi!$AG:$AG,$X159)*$I159/$E159)</f>
        <v/>
      </c>
      <c r="K159" s="33" t="str">
        <f t="shared" si="27"/>
        <v/>
      </c>
      <c r="L159" s="33" t="str">
        <f>IF($Y159&lt;&gt;1,"",$K159*$AD159+INDEX(Comenzi!$AJ:$AJ,$X159)*$I159/$E159)</f>
        <v/>
      </c>
      <c r="M159" s="33" t="str">
        <f t="shared" si="28"/>
        <v/>
      </c>
      <c r="N159" s="33" t="str">
        <f t="shared" si="29"/>
        <v/>
      </c>
      <c r="O159" s="33" t="str">
        <f>IF($Y159&lt;&gt;1,"",(INDEX(Comenzi!$AK:$AK,$X159)+N(INDEX(Comenzi!$T:$T,$X159)))*$I159/$E159)</f>
        <v/>
      </c>
      <c r="P159" s="35" t="str">
        <f t="shared" si="30"/>
        <v/>
      </c>
      <c r="Q159" s="36" t="str">
        <f t="shared" si="31"/>
        <v/>
      </c>
      <c r="R159" s="37" t="str">
        <f t="shared" si="32"/>
        <v/>
      </c>
      <c r="S159" s="38" t="str">
        <f t="shared" si="33"/>
        <v/>
      </c>
      <c r="T159" s="39" t="str">
        <f t="shared" si="34"/>
        <v/>
      </c>
      <c r="U159" s="40" t="str">
        <f t="shared" si="35"/>
        <v/>
      </c>
      <c r="V159" s="33" t="str">
        <f t="shared" si="36"/>
        <v/>
      </c>
      <c r="W159" s="33" t="str">
        <f t="shared" si="37"/>
        <v/>
      </c>
      <c r="X159" s="41" t="str">
        <f>IF($A159="","",IFERROR(MATCH($A159,Comenzi!$A$9:$A$108,0)+8,""))</f>
        <v/>
      </c>
      <c r="Y159" s="41" t="str">
        <f t="shared" si="38"/>
        <v/>
      </c>
      <c r="Z159" s="42" t="str">
        <f>IF($A159="","",IF($A159="?","Lipseste ID-ul comenzii (col. A din PI Furnizor)",IF(NOT(ISNUMBER($X159)),"ID comanda negasit in foaia Comenzi",IF(N($E159)&lt;=0,"Lipseste cantitatea",IF(N($G159)=0,"Pret unitar lipsa",IF($Y159&lt;&gt;1,"Curs sau moneda marfa lipsa (foaia Comenzi)",IF(INDEX(Comenzi!$AT:$AT,$X159)&lt;&gt;"OK","Avertisment comanda: "&amp;INDEX(Comenzi!$AT:$AT,$X159),"OK")))))))</f>
        <v/>
      </c>
      <c r="AA159" s="43" t="str">
        <f>IF(ISNUMBER($X159),INDEX(Comenzi!$H:$H,$X159),"")</f>
        <v/>
      </c>
      <c r="AB159" s="43" t="str">
        <f>IF(ISNUMBER($X159),INDEX(Comenzi!$I:$I,$X159),"")</f>
        <v/>
      </c>
      <c r="AC159" s="44" t="str">
        <f>IF(ISNUMBER($X159),IF(INDEX(Comenzi!$V:$V,$X159)="",Comenzi!$D$3,INDEX(Comenzi!$V:$V,$X159)),"")</f>
        <v/>
      </c>
      <c r="AD159" s="44" t="str">
        <f>IF(ISNUMBER($X159),IF(INDEX(Comenzi!$U:$U,$X159)="",Comenzi!$D$4,INDEX(Comenzi!$U:$U,$X159)),"")</f>
        <v/>
      </c>
      <c r="AE159" s="45" t="str">
        <f>IF($Y159&lt;&gt;1,"",IF(INDEX(Comenzi!$AM:$AM,$X159)="Greutate",INDEX('PI Furnizor'!$O:$O,ROW()-3),IF(INDEX(Comenzi!$AM:$AM,$X159)="Volum (CBM)",INDEX('PI Furnizor'!$Q:$Q,ROW()-3),IF(INDEX(Comenzi!$AM:$AM,$X159)="Valoare marfa",INDEX('PI Furnizor'!$N:$N,ROW()-3),$E159))))</f>
        <v/>
      </c>
    </row>
    <row r="160" spans="1:31" x14ac:dyDescent="0.3">
      <c r="A160" s="28" t="str">
        <f>IF(COUNTA(INDEX('PI Furnizor'!$A:$E,ROW()-3,0))=0,"",IF(INDEX('PI Furnizor'!$A:$A,ROW()-3)="","?",INDEX('PI Furnizor'!$A:$A,ROW()-3)))</f>
        <v/>
      </c>
      <c r="B160" s="29" t="str">
        <f>IF(ISNUMBER($X160),INDEX(Comenzi!$B:$B,$X160),"")</f>
        <v/>
      </c>
      <c r="C160" s="28" t="str">
        <f>IF($A160="","",INDEX('PI Furnizor'!$B:$B,ROW()-3)&amp;"")</f>
        <v/>
      </c>
      <c r="D160" s="28" t="str">
        <f>IF($A160="","",INDEX('PI Furnizor'!$C:$C,ROW()-3)&amp;"")</f>
        <v/>
      </c>
      <c r="E160" s="30" t="str">
        <f>IF($A160="","",N(INDEX('PI Furnizor'!$D:$D,ROW()-3)))</f>
        <v/>
      </c>
      <c r="F160" s="31" t="str">
        <f>IF(ISNUMBER($X160),INDEX(Comenzi!$G:$G,$X160),"")</f>
        <v/>
      </c>
      <c r="G160" s="32" t="str">
        <f>IF($A160="","",N(INDEX('PI Furnizor'!$E:$E,ROW()-3)))</f>
        <v/>
      </c>
      <c r="H160" s="33" t="str">
        <f t="shared" si="26"/>
        <v/>
      </c>
      <c r="I160" s="34" t="str">
        <f>IF($Y160&lt;&gt;1,"",IFERROR($AE160/INDEX(Comenzi!$AN:$AN,$X160),0))</f>
        <v/>
      </c>
      <c r="J160" s="33" t="str">
        <f>IF($Y160&lt;&gt;1,"",INDEX(Comenzi!$AG:$AG,$X160)*$I160/$E160)</f>
        <v/>
      </c>
      <c r="K160" s="33" t="str">
        <f t="shared" si="27"/>
        <v/>
      </c>
      <c r="L160" s="33" t="str">
        <f>IF($Y160&lt;&gt;1,"",$K160*$AD160+INDEX(Comenzi!$AJ:$AJ,$X160)*$I160/$E160)</f>
        <v/>
      </c>
      <c r="M160" s="33" t="str">
        <f t="shared" si="28"/>
        <v/>
      </c>
      <c r="N160" s="33" t="str">
        <f t="shared" si="29"/>
        <v/>
      </c>
      <c r="O160" s="33" t="str">
        <f>IF($Y160&lt;&gt;1,"",(INDEX(Comenzi!$AK:$AK,$X160)+N(INDEX(Comenzi!$T:$T,$X160)))*$I160/$E160)</f>
        <v/>
      </c>
      <c r="P160" s="35" t="str">
        <f t="shared" si="30"/>
        <v/>
      </c>
      <c r="Q160" s="36" t="str">
        <f t="shared" si="31"/>
        <v/>
      </c>
      <c r="R160" s="37" t="str">
        <f t="shared" si="32"/>
        <v/>
      </c>
      <c r="S160" s="38" t="str">
        <f t="shared" si="33"/>
        <v/>
      </c>
      <c r="T160" s="39" t="str">
        <f t="shared" si="34"/>
        <v/>
      </c>
      <c r="U160" s="40" t="str">
        <f t="shared" si="35"/>
        <v/>
      </c>
      <c r="V160" s="33" t="str">
        <f t="shared" si="36"/>
        <v/>
      </c>
      <c r="W160" s="33" t="str">
        <f t="shared" si="37"/>
        <v/>
      </c>
      <c r="X160" s="41" t="str">
        <f>IF($A160="","",IFERROR(MATCH($A160,Comenzi!$A$9:$A$108,0)+8,""))</f>
        <v/>
      </c>
      <c r="Y160" s="41" t="str">
        <f t="shared" si="38"/>
        <v/>
      </c>
      <c r="Z160" s="42" t="str">
        <f>IF($A160="","",IF($A160="?","Lipseste ID-ul comenzii (col. A din PI Furnizor)",IF(NOT(ISNUMBER($X160)),"ID comanda negasit in foaia Comenzi",IF(N($E160)&lt;=0,"Lipseste cantitatea",IF(N($G160)=0,"Pret unitar lipsa",IF($Y160&lt;&gt;1,"Curs sau moneda marfa lipsa (foaia Comenzi)",IF(INDEX(Comenzi!$AT:$AT,$X160)&lt;&gt;"OK","Avertisment comanda: "&amp;INDEX(Comenzi!$AT:$AT,$X160),"OK")))))))</f>
        <v/>
      </c>
      <c r="AA160" s="43" t="str">
        <f>IF(ISNUMBER($X160),INDEX(Comenzi!$H:$H,$X160),"")</f>
        <v/>
      </c>
      <c r="AB160" s="43" t="str">
        <f>IF(ISNUMBER($X160),INDEX(Comenzi!$I:$I,$X160),"")</f>
        <v/>
      </c>
      <c r="AC160" s="44" t="str">
        <f>IF(ISNUMBER($X160),IF(INDEX(Comenzi!$V:$V,$X160)="",Comenzi!$D$3,INDEX(Comenzi!$V:$V,$X160)),"")</f>
        <v/>
      </c>
      <c r="AD160" s="44" t="str">
        <f>IF(ISNUMBER($X160),IF(INDEX(Comenzi!$U:$U,$X160)="",Comenzi!$D$4,INDEX(Comenzi!$U:$U,$X160)),"")</f>
        <v/>
      </c>
      <c r="AE160" s="45" t="str">
        <f>IF($Y160&lt;&gt;1,"",IF(INDEX(Comenzi!$AM:$AM,$X160)="Greutate",INDEX('PI Furnizor'!$O:$O,ROW()-3),IF(INDEX(Comenzi!$AM:$AM,$X160)="Volum (CBM)",INDEX('PI Furnizor'!$Q:$Q,ROW()-3),IF(INDEX(Comenzi!$AM:$AM,$X160)="Valoare marfa",INDEX('PI Furnizor'!$N:$N,ROW()-3),$E160))))</f>
        <v/>
      </c>
    </row>
    <row r="161" spans="1:31" x14ac:dyDescent="0.3">
      <c r="A161" s="28" t="str">
        <f>IF(COUNTA(INDEX('PI Furnizor'!$A:$E,ROW()-3,0))=0,"",IF(INDEX('PI Furnizor'!$A:$A,ROW()-3)="","?",INDEX('PI Furnizor'!$A:$A,ROW()-3)))</f>
        <v/>
      </c>
      <c r="B161" s="29" t="str">
        <f>IF(ISNUMBER($X161),INDEX(Comenzi!$B:$B,$X161),"")</f>
        <v/>
      </c>
      <c r="C161" s="28" t="str">
        <f>IF($A161="","",INDEX('PI Furnizor'!$B:$B,ROW()-3)&amp;"")</f>
        <v/>
      </c>
      <c r="D161" s="28" t="str">
        <f>IF($A161="","",INDEX('PI Furnizor'!$C:$C,ROW()-3)&amp;"")</f>
        <v/>
      </c>
      <c r="E161" s="30" t="str">
        <f>IF($A161="","",N(INDEX('PI Furnizor'!$D:$D,ROW()-3)))</f>
        <v/>
      </c>
      <c r="F161" s="31" t="str">
        <f>IF(ISNUMBER($X161),INDEX(Comenzi!$G:$G,$X161),"")</f>
        <v/>
      </c>
      <c r="G161" s="32" t="str">
        <f>IF($A161="","",N(INDEX('PI Furnizor'!$E:$E,ROW()-3)))</f>
        <v/>
      </c>
      <c r="H161" s="33" t="str">
        <f t="shared" si="26"/>
        <v/>
      </c>
      <c r="I161" s="34" t="str">
        <f>IF($Y161&lt;&gt;1,"",IFERROR($AE161/INDEX(Comenzi!$AN:$AN,$X161),0))</f>
        <v/>
      </c>
      <c r="J161" s="33" t="str">
        <f>IF($Y161&lt;&gt;1,"",INDEX(Comenzi!$AG:$AG,$X161)*$I161/$E161)</f>
        <v/>
      </c>
      <c r="K161" s="33" t="str">
        <f t="shared" si="27"/>
        <v/>
      </c>
      <c r="L161" s="33" t="str">
        <f>IF($Y161&lt;&gt;1,"",$K161*$AD161+INDEX(Comenzi!$AJ:$AJ,$X161)*$I161/$E161)</f>
        <v/>
      </c>
      <c r="M161" s="33" t="str">
        <f t="shared" si="28"/>
        <v/>
      </c>
      <c r="N161" s="33" t="str">
        <f t="shared" si="29"/>
        <v/>
      </c>
      <c r="O161" s="33" t="str">
        <f>IF($Y161&lt;&gt;1,"",(INDEX(Comenzi!$AK:$AK,$X161)+N(INDEX(Comenzi!$T:$T,$X161)))*$I161/$E161)</f>
        <v/>
      </c>
      <c r="P161" s="35" t="str">
        <f t="shared" si="30"/>
        <v/>
      </c>
      <c r="Q161" s="36" t="str">
        <f t="shared" si="31"/>
        <v/>
      </c>
      <c r="R161" s="37" t="str">
        <f t="shared" si="32"/>
        <v/>
      </c>
      <c r="S161" s="38" t="str">
        <f t="shared" si="33"/>
        <v/>
      </c>
      <c r="T161" s="39" t="str">
        <f t="shared" si="34"/>
        <v/>
      </c>
      <c r="U161" s="40" t="str">
        <f t="shared" si="35"/>
        <v/>
      </c>
      <c r="V161" s="33" t="str">
        <f t="shared" si="36"/>
        <v/>
      </c>
      <c r="W161" s="33" t="str">
        <f t="shared" si="37"/>
        <v/>
      </c>
      <c r="X161" s="41" t="str">
        <f>IF($A161="","",IFERROR(MATCH($A161,Comenzi!$A$9:$A$108,0)+8,""))</f>
        <v/>
      </c>
      <c r="Y161" s="41" t="str">
        <f t="shared" si="38"/>
        <v/>
      </c>
      <c r="Z161" s="42" t="str">
        <f>IF($A161="","",IF($A161="?","Lipseste ID-ul comenzii (col. A din PI Furnizor)",IF(NOT(ISNUMBER($X161)),"ID comanda negasit in foaia Comenzi",IF(N($E161)&lt;=0,"Lipseste cantitatea",IF(N($G161)=0,"Pret unitar lipsa",IF($Y161&lt;&gt;1,"Curs sau moneda marfa lipsa (foaia Comenzi)",IF(INDEX(Comenzi!$AT:$AT,$X161)&lt;&gt;"OK","Avertisment comanda: "&amp;INDEX(Comenzi!$AT:$AT,$X161),"OK")))))))</f>
        <v/>
      </c>
      <c r="AA161" s="43" t="str">
        <f>IF(ISNUMBER($X161),INDEX(Comenzi!$H:$H,$X161),"")</f>
        <v/>
      </c>
      <c r="AB161" s="43" t="str">
        <f>IF(ISNUMBER($X161),INDEX(Comenzi!$I:$I,$X161),"")</f>
        <v/>
      </c>
      <c r="AC161" s="44" t="str">
        <f>IF(ISNUMBER($X161),IF(INDEX(Comenzi!$V:$V,$X161)="",Comenzi!$D$3,INDEX(Comenzi!$V:$V,$X161)),"")</f>
        <v/>
      </c>
      <c r="AD161" s="44" t="str">
        <f>IF(ISNUMBER($X161),IF(INDEX(Comenzi!$U:$U,$X161)="",Comenzi!$D$4,INDEX(Comenzi!$U:$U,$X161)),"")</f>
        <v/>
      </c>
      <c r="AE161" s="45" t="str">
        <f>IF($Y161&lt;&gt;1,"",IF(INDEX(Comenzi!$AM:$AM,$X161)="Greutate",INDEX('PI Furnizor'!$O:$O,ROW()-3),IF(INDEX(Comenzi!$AM:$AM,$X161)="Volum (CBM)",INDEX('PI Furnizor'!$Q:$Q,ROW()-3),IF(INDEX(Comenzi!$AM:$AM,$X161)="Valoare marfa",INDEX('PI Furnizor'!$N:$N,ROW()-3),$E161))))</f>
        <v/>
      </c>
    </row>
    <row r="162" spans="1:31" x14ac:dyDescent="0.3">
      <c r="A162" s="28" t="str">
        <f>IF(COUNTA(INDEX('PI Furnizor'!$A:$E,ROW()-3,0))=0,"",IF(INDEX('PI Furnizor'!$A:$A,ROW()-3)="","?",INDEX('PI Furnizor'!$A:$A,ROW()-3)))</f>
        <v/>
      </c>
      <c r="B162" s="29" t="str">
        <f>IF(ISNUMBER($X162),INDEX(Comenzi!$B:$B,$X162),"")</f>
        <v/>
      </c>
      <c r="C162" s="28" t="str">
        <f>IF($A162="","",INDEX('PI Furnizor'!$B:$B,ROW()-3)&amp;"")</f>
        <v/>
      </c>
      <c r="D162" s="28" t="str">
        <f>IF($A162="","",INDEX('PI Furnizor'!$C:$C,ROW()-3)&amp;"")</f>
        <v/>
      </c>
      <c r="E162" s="30" t="str">
        <f>IF($A162="","",N(INDEX('PI Furnizor'!$D:$D,ROW()-3)))</f>
        <v/>
      </c>
      <c r="F162" s="31" t="str">
        <f>IF(ISNUMBER($X162),INDEX(Comenzi!$G:$G,$X162),"")</f>
        <v/>
      </c>
      <c r="G162" s="32" t="str">
        <f>IF($A162="","",N(INDEX('PI Furnizor'!$E:$E,ROW()-3)))</f>
        <v/>
      </c>
      <c r="H162" s="33" t="str">
        <f t="shared" si="26"/>
        <v/>
      </c>
      <c r="I162" s="34" t="str">
        <f>IF($Y162&lt;&gt;1,"",IFERROR($AE162/INDEX(Comenzi!$AN:$AN,$X162),0))</f>
        <v/>
      </c>
      <c r="J162" s="33" t="str">
        <f>IF($Y162&lt;&gt;1,"",INDEX(Comenzi!$AG:$AG,$X162)*$I162/$E162)</f>
        <v/>
      </c>
      <c r="K162" s="33" t="str">
        <f t="shared" si="27"/>
        <v/>
      </c>
      <c r="L162" s="33" t="str">
        <f>IF($Y162&lt;&gt;1,"",$K162*$AD162+INDEX(Comenzi!$AJ:$AJ,$X162)*$I162/$E162)</f>
        <v/>
      </c>
      <c r="M162" s="33" t="str">
        <f t="shared" si="28"/>
        <v/>
      </c>
      <c r="N162" s="33" t="str">
        <f t="shared" si="29"/>
        <v/>
      </c>
      <c r="O162" s="33" t="str">
        <f>IF($Y162&lt;&gt;1,"",(INDEX(Comenzi!$AK:$AK,$X162)+N(INDEX(Comenzi!$T:$T,$X162)))*$I162/$E162)</f>
        <v/>
      </c>
      <c r="P162" s="35" t="str">
        <f t="shared" si="30"/>
        <v/>
      </c>
      <c r="Q162" s="36" t="str">
        <f t="shared" si="31"/>
        <v/>
      </c>
      <c r="R162" s="37" t="str">
        <f t="shared" si="32"/>
        <v/>
      </c>
      <c r="S162" s="38" t="str">
        <f t="shared" si="33"/>
        <v/>
      </c>
      <c r="T162" s="39" t="str">
        <f t="shared" si="34"/>
        <v/>
      </c>
      <c r="U162" s="40" t="str">
        <f t="shared" si="35"/>
        <v/>
      </c>
      <c r="V162" s="33" t="str">
        <f t="shared" si="36"/>
        <v/>
      </c>
      <c r="W162" s="33" t="str">
        <f t="shared" si="37"/>
        <v/>
      </c>
      <c r="X162" s="41" t="str">
        <f>IF($A162="","",IFERROR(MATCH($A162,Comenzi!$A$9:$A$108,0)+8,""))</f>
        <v/>
      </c>
      <c r="Y162" s="41" t="str">
        <f t="shared" si="38"/>
        <v/>
      </c>
      <c r="Z162" s="42" t="str">
        <f>IF($A162="","",IF($A162="?","Lipseste ID-ul comenzii (col. A din PI Furnizor)",IF(NOT(ISNUMBER($X162)),"ID comanda negasit in foaia Comenzi",IF(N($E162)&lt;=0,"Lipseste cantitatea",IF(N($G162)=0,"Pret unitar lipsa",IF($Y162&lt;&gt;1,"Curs sau moneda marfa lipsa (foaia Comenzi)",IF(INDEX(Comenzi!$AT:$AT,$X162)&lt;&gt;"OK","Avertisment comanda: "&amp;INDEX(Comenzi!$AT:$AT,$X162),"OK")))))))</f>
        <v/>
      </c>
      <c r="AA162" s="43" t="str">
        <f>IF(ISNUMBER($X162),INDEX(Comenzi!$H:$H,$X162),"")</f>
        <v/>
      </c>
      <c r="AB162" s="43" t="str">
        <f>IF(ISNUMBER($X162),INDEX(Comenzi!$I:$I,$X162),"")</f>
        <v/>
      </c>
      <c r="AC162" s="44" t="str">
        <f>IF(ISNUMBER($X162),IF(INDEX(Comenzi!$V:$V,$X162)="",Comenzi!$D$3,INDEX(Comenzi!$V:$V,$X162)),"")</f>
        <v/>
      </c>
      <c r="AD162" s="44" t="str">
        <f>IF(ISNUMBER($X162),IF(INDEX(Comenzi!$U:$U,$X162)="",Comenzi!$D$4,INDEX(Comenzi!$U:$U,$X162)),"")</f>
        <v/>
      </c>
      <c r="AE162" s="45" t="str">
        <f>IF($Y162&lt;&gt;1,"",IF(INDEX(Comenzi!$AM:$AM,$X162)="Greutate",INDEX('PI Furnizor'!$O:$O,ROW()-3),IF(INDEX(Comenzi!$AM:$AM,$X162)="Volum (CBM)",INDEX('PI Furnizor'!$Q:$Q,ROW()-3),IF(INDEX(Comenzi!$AM:$AM,$X162)="Valoare marfa",INDEX('PI Furnizor'!$N:$N,ROW()-3),$E162))))</f>
        <v/>
      </c>
    </row>
    <row r="163" spans="1:31" x14ac:dyDescent="0.3">
      <c r="A163" s="28" t="str">
        <f>IF(COUNTA(INDEX('PI Furnizor'!$A:$E,ROW()-3,0))=0,"",IF(INDEX('PI Furnizor'!$A:$A,ROW()-3)="","?",INDEX('PI Furnizor'!$A:$A,ROW()-3)))</f>
        <v/>
      </c>
      <c r="B163" s="29" t="str">
        <f>IF(ISNUMBER($X163),INDEX(Comenzi!$B:$B,$X163),"")</f>
        <v/>
      </c>
      <c r="C163" s="28" t="str">
        <f>IF($A163="","",INDEX('PI Furnizor'!$B:$B,ROW()-3)&amp;"")</f>
        <v/>
      </c>
      <c r="D163" s="28" t="str">
        <f>IF($A163="","",INDEX('PI Furnizor'!$C:$C,ROW()-3)&amp;"")</f>
        <v/>
      </c>
      <c r="E163" s="30" t="str">
        <f>IF($A163="","",N(INDEX('PI Furnizor'!$D:$D,ROW()-3)))</f>
        <v/>
      </c>
      <c r="F163" s="31" t="str">
        <f>IF(ISNUMBER($X163),INDEX(Comenzi!$G:$G,$X163),"")</f>
        <v/>
      </c>
      <c r="G163" s="32" t="str">
        <f>IF($A163="","",N(INDEX('PI Furnizor'!$E:$E,ROW()-3)))</f>
        <v/>
      </c>
      <c r="H163" s="33" t="str">
        <f t="shared" si="26"/>
        <v/>
      </c>
      <c r="I163" s="34" t="str">
        <f>IF($Y163&lt;&gt;1,"",IFERROR($AE163/INDEX(Comenzi!$AN:$AN,$X163),0))</f>
        <v/>
      </c>
      <c r="J163" s="33" t="str">
        <f>IF($Y163&lt;&gt;1,"",INDEX(Comenzi!$AG:$AG,$X163)*$I163/$E163)</f>
        <v/>
      </c>
      <c r="K163" s="33" t="str">
        <f t="shared" si="27"/>
        <v/>
      </c>
      <c r="L163" s="33" t="str">
        <f>IF($Y163&lt;&gt;1,"",$K163*$AD163+INDEX(Comenzi!$AJ:$AJ,$X163)*$I163/$E163)</f>
        <v/>
      </c>
      <c r="M163" s="33" t="str">
        <f t="shared" si="28"/>
        <v/>
      </c>
      <c r="N163" s="33" t="str">
        <f t="shared" si="29"/>
        <v/>
      </c>
      <c r="O163" s="33" t="str">
        <f>IF($Y163&lt;&gt;1,"",(INDEX(Comenzi!$AK:$AK,$X163)+N(INDEX(Comenzi!$T:$T,$X163)))*$I163/$E163)</f>
        <v/>
      </c>
      <c r="P163" s="35" t="str">
        <f t="shared" si="30"/>
        <v/>
      </c>
      <c r="Q163" s="36" t="str">
        <f t="shared" si="31"/>
        <v/>
      </c>
      <c r="R163" s="37" t="str">
        <f t="shared" si="32"/>
        <v/>
      </c>
      <c r="S163" s="38" t="str">
        <f t="shared" si="33"/>
        <v/>
      </c>
      <c r="T163" s="39" t="str">
        <f t="shared" si="34"/>
        <v/>
      </c>
      <c r="U163" s="40" t="str">
        <f t="shared" si="35"/>
        <v/>
      </c>
      <c r="V163" s="33" t="str">
        <f t="shared" si="36"/>
        <v/>
      </c>
      <c r="W163" s="33" t="str">
        <f t="shared" si="37"/>
        <v/>
      </c>
      <c r="X163" s="41" t="str">
        <f>IF($A163="","",IFERROR(MATCH($A163,Comenzi!$A$9:$A$108,0)+8,""))</f>
        <v/>
      </c>
      <c r="Y163" s="41" t="str">
        <f t="shared" si="38"/>
        <v/>
      </c>
      <c r="Z163" s="42" t="str">
        <f>IF($A163="","",IF($A163="?","Lipseste ID-ul comenzii (col. A din PI Furnizor)",IF(NOT(ISNUMBER($X163)),"ID comanda negasit in foaia Comenzi",IF(N($E163)&lt;=0,"Lipseste cantitatea",IF(N($G163)=0,"Pret unitar lipsa",IF($Y163&lt;&gt;1,"Curs sau moneda marfa lipsa (foaia Comenzi)",IF(INDEX(Comenzi!$AT:$AT,$X163)&lt;&gt;"OK","Avertisment comanda: "&amp;INDEX(Comenzi!$AT:$AT,$X163),"OK")))))))</f>
        <v/>
      </c>
      <c r="AA163" s="43" t="str">
        <f>IF(ISNUMBER($X163),INDEX(Comenzi!$H:$H,$X163),"")</f>
        <v/>
      </c>
      <c r="AB163" s="43" t="str">
        <f>IF(ISNUMBER($X163),INDEX(Comenzi!$I:$I,$X163),"")</f>
        <v/>
      </c>
      <c r="AC163" s="44" t="str">
        <f>IF(ISNUMBER($X163),IF(INDEX(Comenzi!$V:$V,$X163)="",Comenzi!$D$3,INDEX(Comenzi!$V:$V,$X163)),"")</f>
        <v/>
      </c>
      <c r="AD163" s="44" t="str">
        <f>IF(ISNUMBER($X163),IF(INDEX(Comenzi!$U:$U,$X163)="",Comenzi!$D$4,INDEX(Comenzi!$U:$U,$X163)),"")</f>
        <v/>
      </c>
      <c r="AE163" s="45" t="str">
        <f>IF($Y163&lt;&gt;1,"",IF(INDEX(Comenzi!$AM:$AM,$X163)="Greutate",INDEX('PI Furnizor'!$O:$O,ROW()-3),IF(INDEX(Comenzi!$AM:$AM,$X163)="Volum (CBM)",INDEX('PI Furnizor'!$Q:$Q,ROW()-3),IF(INDEX(Comenzi!$AM:$AM,$X163)="Valoare marfa",INDEX('PI Furnizor'!$N:$N,ROW()-3),$E163))))</f>
        <v/>
      </c>
    </row>
    <row r="164" spans="1:31" x14ac:dyDescent="0.3">
      <c r="A164" s="28" t="str">
        <f>IF(COUNTA(INDEX('PI Furnizor'!$A:$E,ROW()-3,0))=0,"",IF(INDEX('PI Furnizor'!$A:$A,ROW()-3)="","?",INDEX('PI Furnizor'!$A:$A,ROW()-3)))</f>
        <v/>
      </c>
      <c r="B164" s="29" t="str">
        <f>IF(ISNUMBER($X164),INDEX(Comenzi!$B:$B,$X164),"")</f>
        <v/>
      </c>
      <c r="C164" s="28" t="str">
        <f>IF($A164="","",INDEX('PI Furnizor'!$B:$B,ROW()-3)&amp;"")</f>
        <v/>
      </c>
      <c r="D164" s="28" t="str">
        <f>IF($A164="","",INDEX('PI Furnizor'!$C:$C,ROW()-3)&amp;"")</f>
        <v/>
      </c>
      <c r="E164" s="30" t="str">
        <f>IF($A164="","",N(INDEX('PI Furnizor'!$D:$D,ROW()-3)))</f>
        <v/>
      </c>
      <c r="F164" s="31" t="str">
        <f>IF(ISNUMBER($X164),INDEX(Comenzi!$G:$G,$X164),"")</f>
        <v/>
      </c>
      <c r="G164" s="32" t="str">
        <f>IF($A164="","",N(INDEX('PI Furnizor'!$E:$E,ROW()-3)))</f>
        <v/>
      </c>
      <c r="H164" s="33" t="str">
        <f t="shared" si="26"/>
        <v/>
      </c>
      <c r="I164" s="34" t="str">
        <f>IF($Y164&lt;&gt;1,"",IFERROR($AE164/INDEX(Comenzi!$AN:$AN,$X164),0))</f>
        <v/>
      </c>
      <c r="J164" s="33" t="str">
        <f>IF($Y164&lt;&gt;1,"",INDEX(Comenzi!$AG:$AG,$X164)*$I164/$E164)</f>
        <v/>
      </c>
      <c r="K164" s="33" t="str">
        <f t="shared" si="27"/>
        <v/>
      </c>
      <c r="L164" s="33" t="str">
        <f>IF($Y164&lt;&gt;1,"",$K164*$AD164+INDEX(Comenzi!$AJ:$AJ,$X164)*$I164/$E164)</f>
        <v/>
      </c>
      <c r="M164" s="33" t="str">
        <f t="shared" si="28"/>
        <v/>
      </c>
      <c r="N164" s="33" t="str">
        <f t="shared" si="29"/>
        <v/>
      </c>
      <c r="O164" s="33" t="str">
        <f>IF($Y164&lt;&gt;1,"",(INDEX(Comenzi!$AK:$AK,$X164)+N(INDEX(Comenzi!$T:$T,$X164)))*$I164/$E164)</f>
        <v/>
      </c>
      <c r="P164" s="35" t="str">
        <f t="shared" si="30"/>
        <v/>
      </c>
      <c r="Q164" s="36" t="str">
        <f t="shared" si="31"/>
        <v/>
      </c>
      <c r="R164" s="37" t="str">
        <f t="shared" si="32"/>
        <v/>
      </c>
      <c r="S164" s="38" t="str">
        <f t="shared" si="33"/>
        <v/>
      </c>
      <c r="T164" s="39" t="str">
        <f t="shared" si="34"/>
        <v/>
      </c>
      <c r="U164" s="40" t="str">
        <f t="shared" si="35"/>
        <v/>
      </c>
      <c r="V164" s="33" t="str">
        <f t="shared" si="36"/>
        <v/>
      </c>
      <c r="W164" s="33" t="str">
        <f t="shared" si="37"/>
        <v/>
      </c>
      <c r="X164" s="41" t="str">
        <f>IF($A164="","",IFERROR(MATCH($A164,Comenzi!$A$9:$A$108,0)+8,""))</f>
        <v/>
      </c>
      <c r="Y164" s="41" t="str">
        <f t="shared" si="38"/>
        <v/>
      </c>
      <c r="Z164" s="42" t="str">
        <f>IF($A164="","",IF($A164="?","Lipseste ID-ul comenzii (col. A din PI Furnizor)",IF(NOT(ISNUMBER($X164)),"ID comanda negasit in foaia Comenzi",IF(N($E164)&lt;=0,"Lipseste cantitatea",IF(N($G164)=0,"Pret unitar lipsa",IF($Y164&lt;&gt;1,"Curs sau moneda marfa lipsa (foaia Comenzi)",IF(INDEX(Comenzi!$AT:$AT,$X164)&lt;&gt;"OK","Avertisment comanda: "&amp;INDEX(Comenzi!$AT:$AT,$X164),"OK")))))))</f>
        <v/>
      </c>
      <c r="AA164" s="43" t="str">
        <f>IF(ISNUMBER($X164),INDEX(Comenzi!$H:$H,$X164),"")</f>
        <v/>
      </c>
      <c r="AB164" s="43" t="str">
        <f>IF(ISNUMBER($X164),INDEX(Comenzi!$I:$I,$X164),"")</f>
        <v/>
      </c>
      <c r="AC164" s="44" t="str">
        <f>IF(ISNUMBER($X164),IF(INDEX(Comenzi!$V:$V,$X164)="",Comenzi!$D$3,INDEX(Comenzi!$V:$V,$X164)),"")</f>
        <v/>
      </c>
      <c r="AD164" s="44" t="str">
        <f>IF(ISNUMBER($X164),IF(INDEX(Comenzi!$U:$U,$X164)="",Comenzi!$D$4,INDEX(Comenzi!$U:$U,$X164)),"")</f>
        <v/>
      </c>
      <c r="AE164" s="45" t="str">
        <f>IF($Y164&lt;&gt;1,"",IF(INDEX(Comenzi!$AM:$AM,$X164)="Greutate",INDEX('PI Furnizor'!$O:$O,ROW()-3),IF(INDEX(Comenzi!$AM:$AM,$X164)="Volum (CBM)",INDEX('PI Furnizor'!$Q:$Q,ROW()-3),IF(INDEX(Comenzi!$AM:$AM,$X164)="Valoare marfa",INDEX('PI Furnizor'!$N:$N,ROW()-3),$E164))))</f>
        <v/>
      </c>
    </row>
    <row r="165" spans="1:31" x14ac:dyDescent="0.3">
      <c r="A165" s="28" t="str">
        <f>IF(COUNTA(INDEX('PI Furnizor'!$A:$E,ROW()-3,0))=0,"",IF(INDEX('PI Furnizor'!$A:$A,ROW()-3)="","?",INDEX('PI Furnizor'!$A:$A,ROW()-3)))</f>
        <v/>
      </c>
      <c r="B165" s="29" t="str">
        <f>IF(ISNUMBER($X165),INDEX(Comenzi!$B:$B,$X165),"")</f>
        <v/>
      </c>
      <c r="C165" s="28" t="str">
        <f>IF($A165="","",INDEX('PI Furnizor'!$B:$B,ROW()-3)&amp;"")</f>
        <v/>
      </c>
      <c r="D165" s="28" t="str">
        <f>IF($A165="","",INDEX('PI Furnizor'!$C:$C,ROW()-3)&amp;"")</f>
        <v/>
      </c>
      <c r="E165" s="30" t="str">
        <f>IF($A165="","",N(INDEX('PI Furnizor'!$D:$D,ROW()-3)))</f>
        <v/>
      </c>
      <c r="F165" s="31" t="str">
        <f>IF(ISNUMBER($X165),INDEX(Comenzi!$G:$G,$X165),"")</f>
        <v/>
      </c>
      <c r="G165" s="32" t="str">
        <f>IF($A165="","",N(INDEX('PI Furnizor'!$E:$E,ROW()-3)))</f>
        <v/>
      </c>
      <c r="H165" s="33" t="str">
        <f t="shared" si="26"/>
        <v/>
      </c>
      <c r="I165" s="34" t="str">
        <f>IF($Y165&lt;&gt;1,"",IFERROR($AE165/INDEX(Comenzi!$AN:$AN,$X165),0))</f>
        <v/>
      </c>
      <c r="J165" s="33" t="str">
        <f>IF($Y165&lt;&gt;1,"",INDEX(Comenzi!$AG:$AG,$X165)*$I165/$E165)</f>
        <v/>
      </c>
      <c r="K165" s="33" t="str">
        <f t="shared" si="27"/>
        <v/>
      </c>
      <c r="L165" s="33" t="str">
        <f>IF($Y165&lt;&gt;1,"",$K165*$AD165+INDEX(Comenzi!$AJ:$AJ,$X165)*$I165/$E165)</f>
        <v/>
      </c>
      <c r="M165" s="33" t="str">
        <f t="shared" si="28"/>
        <v/>
      </c>
      <c r="N165" s="33" t="str">
        <f t="shared" si="29"/>
        <v/>
      </c>
      <c r="O165" s="33" t="str">
        <f>IF($Y165&lt;&gt;1,"",(INDEX(Comenzi!$AK:$AK,$X165)+N(INDEX(Comenzi!$T:$T,$X165)))*$I165/$E165)</f>
        <v/>
      </c>
      <c r="P165" s="35" t="str">
        <f t="shared" si="30"/>
        <v/>
      </c>
      <c r="Q165" s="36" t="str">
        <f t="shared" si="31"/>
        <v/>
      </c>
      <c r="R165" s="37" t="str">
        <f t="shared" si="32"/>
        <v/>
      </c>
      <c r="S165" s="38" t="str">
        <f t="shared" si="33"/>
        <v/>
      </c>
      <c r="T165" s="39" t="str">
        <f t="shared" si="34"/>
        <v/>
      </c>
      <c r="U165" s="40" t="str">
        <f t="shared" si="35"/>
        <v/>
      </c>
      <c r="V165" s="33" t="str">
        <f t="shared" si="36"/>
        <v/>
      </c>
      <c r="W165" s="33" t="str">
        <f t="shared" si="37"/>
        <v/>
      </c>
      <c r="X165" s="41" t="str">
        <f>IF($A165="","",IFERROR(MATCH($A165,Comenzi!$A$9:$A$108,0)+8,""))</f>
        <v/>
      </c>
      <c r="Y165" s="41" t="str">
        <f t="shared" si="38"/>
        <v/>
      </c>
      <c r="Z165" s="42" t="str">
        <f>IF($A165="","",IF($A165="?","Lipseste ID-ul comenzii (col. A din PI Furnizor)",IF(NOT(ISNUMBER($X165)),"ID comanda negasit in foaia Comenzi",IF(N($E165)&lt;=0,"Lipseste cantitatea",IF(N($G165)=0,"Pret unitar lipsa",IF($Y165&lt;&gt;1,"Curs sau moneda marfa lipsa (foaia Comenzi)",IF(INDEX(Comenzi!$AT:$AT,$X165)&lt;&gt;"OK","Avertisment comanda: "&amp;INDEX(Comenzi!$AT:$AT,$X165),"OK")))))))</f>
        <v/>
      </c>
      <c r="AA165" s="43" t="str">
        <f>IF(ISNUMBER($X165),INDEX(Comenzi!$H:$H,$X165),"")</f>
        <v/>
      </c>
      <c r="AB165" s="43" t="str">
        <f>IF(ISNUMBER($X165),INDEX(Comenzi!$I:$I,$X165),"")</f>
        <v/>
      </c>
      <c r="AC165" s="44" t="str">
        <f>IF(ISNUMBER($X165),IF(INDEX(Comenzi!$V:$V,$X165)="",Comenzi!$D$3,INDEX(Comenzi!$V:$V,$X165)),"")</f>
        <v/>
      </c>
      <c r="AD165" s="44" t="str">
        <f>IF(ISNUMBER($X165),IF(INDEX(Comenzi!$U:$U,$X165)="",Comenzi!$D$4,INDEX(Comenzi!$U:$U,$X165)),"")</f>
        <v/>
      </c>
      <c r="AE165" s="45" t="str">
        <f>IF($Y165&lt;&gt;1,"",IF(INDEX(Comenzi!$AM:$AM,$X165)="Greutate",INDEX('PI Furnizor'!$O:$O,ROW()-3),IF(INDEX(Comenzi!$AM:$AM,$X165)="Volum (CBM)",INDEX('PI Furnizor'!$Q:$Q,ROW()-3),IF(INDEX(Comenzi!$AM:$AM,$X165)="Valoare marfa",INDEX('PI Furnizor'!$N:$N,ROW()-3),$E165))))</f>
        <v/>
      </c>
    </row>
    <row r="166" spans="1:31" x14ac:dyDescent="0.3">
      <c r="A166" s="28" t="str">
        <f>IF(COUNTA(INDEX('PI Furnizor'!$A:$E,ROW()-3,0))=0,"",IF(INDEX('PI Furnizor'!$A:$A,ROW()-3)="","?",INDEX('PI Furnizor'!$A:$A,ROW()-3)))</f>
        <v/>
      </c>
      <c r="B166" s="29" t="str">
        <f>IF(ISNUMBER($X166),INDEX(Comenzi!$B:$B,$X166),"")</f>
        <v/>
      </c>
      <c r="C166" s="28" t="str">
        <f>IF($A166="","",INDEX('PI Furnizor'!$B:$B,ROW()-3)&amp;"")</f>
        <v/>
      </c>
      <c r="D166" s="28" t="str">
        <f>IF($A166="","",INDEX('PI Furnizor'!$C:$C,ROW()-3)&amp;"")</f>
        <v/>
      </c>
      <c r="E166" s="30" t="str">
        <f>IF($A166="","",N(INDEX('PI Furnizor'!$D:$D,ROW()-3)))</f>
        <v/>
      </c>
      <c r="F166" s="31" t="str">
        <f>IF(ISNUMBER($X166),INDEX(Comenzi!$G:$G,$X166),"")</f>
        <v/>
      </c>
      <c r="G166" s="32" t="str">
        <f>IF($A166="","",N(INDEX('PI Furnizor'!$E:$E,ROW()-3)))</f>
        <v/>
      </c>
      <c r="H166" s="33" t="str">
        <f t="shared" si="26"/>
        <v/>
      </c>
      <c r="I166" s="34" t="str">
        <f>IF($Y166&lt;&gt;1,"",IFERROR($AE166/INDEX(Comenzi!$AN:$AN,$X166),0))</f>
        <v/>
      </c>
      <c r="J166" s="33" t="str">
        <f>IF($Y166&lt;&gt;1,"",INDEX(Comenzi!$AG:$AG,$X166)*$I166/$E166)</f>
        <v/>
      </c>
      <c r="K166" s="33" t="str">
        <f t="shared" si="27"/>
        <v/>
      </c>
      <c r="L166" s="33" t="str">
        <f>IF($Y166&lt;&gt;1,"",$K166*$AD166+INDEX(Comenzi!$AJ:$AJ,$X166)*$I166/$E166)</f>
        <v/>
      </c>
      <c r="M166" s="33" t="str">
        <f t="shared" si="28"/>
        <v/>
      </c>
      <c r="N166" s="33" t="str">
        <f t="shared" si="29"/>
        <v/>
      </c>
      <c r="O166" s="33" t="str">
        <f>IF($Y166&lt;&gt;1,"",(INDEX(Comenzi!$AK:$AK,$X166)+N(INDEX(Comenzi!$T:$T,$X166)))*$I166/$E166)</f>
        <v/>
      </c>
      <c r="P166" s="35" t="str">
        <f t="shared" si="30"/>
        <v/>
      </c>
      <c r="Q166" s="36" t="str">
        <f t="shared" si="31"/>
        <v/>
      </c>
      <c r="R166" s="37" t="str">
        <f t="shared" si="32"/>
        <v/>
      </c>
      <c r="S166" s="38" t="str">
        <f t="shared" si="33"/>
        <v/>
      </c>
      <c r="T166" s="39" t="str">
        <f t="shared" si="34"/>
        <v/>
      </c>
      <c r="U166" s="40" t="str">
        <f t="shared" si="35"/>
        <v/>
      </c>
      <c r="V166" s="33" t="str">
        <f t="shared" si="36"/>
        <v/>
      </c>
      <c r="W166" s="33" t="str">
        <f t="shared" si="37"/>
        <v/>
      </c>
      <c r="X166" s="41" t="str">
        <f>IF($A166="","",IFERROR(MATCH($A166,Comenzi!$A$9:$A$108,0)+8,""))</f>
        <v/>
      </c>
      <c r="Y166" s="41" t="str">
        <f t="shared" si="38"/>
        <v/>
      </c>
      <c r="Z166" s="42" t="str">
        <f>IF($A166="","",IF($A166="?","Lipseste ID-ul comenzii (col. A din PI Furnizor)",IF(NOT(ISNUMBER($X166)),"ID comanda negasit in foaia Comenzi",IF(N($E166)&lt;=0,"Lipseste cantitatea",IF(N($G166)=0,"Pret unitar lipsa",IF($Y166&lt;&gt;1,"Curs sau moneda marfa lipsa (foaia Comenzi)",IF(INDEX(Comenzi!$AT:$AT,$X166)&lt;&gt;"OK","Avertisment comanda: "&amp;INDEX(Comenzi!$AT:$AT,$X166),"OK")))))))</f>
        <v/>
      </c>
      <c r="AA166" s="43" t="str">
        <f>IF(ISNUMBER($X166),INDEX(Comenzi!$H:$H,$X166),"")</f>
        <v/>
      </c>
      <c r="AB166" s="43" t="str">
        <f>IF(ISNUMBER($X166),INDEX(Comenzi!$I:$I,$X166),"")</f>
        <v/>
      </c>
      <c r="AC166" s="44" t="str">
        <f>IF(ISNUMBER($X166),IF(INDEX(Comenzi!$V:$V,$X166)="",Comenzi!$D$3,INDEX(Comenzi!$V:$V,$X166)),"")</f>
        <v/>
      </c>
      <c r="AD166" s="44" t="str">
        <f>IF(ISNUMBER($X166),IF(INDEX(Comenzi!$U:$U,$X166)="",Comenzi!$D$4,INDEX(Comenzi!$U:$U,$X166)),"")</f>
        <v/>
      </c>
      <c r="AE166" s="45" t="str">
        <f>IF($Y166&lt;&gt;1,"",IF(INDEX(Comenzi!$AM:$AM,$X166)="Greutate",INDEX('PI Furnizor'!$O:$O,ROW()-3),IF(INDEX(Comenzi!$AM:$AM,$X166)="Volum (CBM)",INDEX('PI Furnizor'!$Q:$Q,ROW()-3),IF(INDEX(Comenzi!$AM:$AM,$X166)="Valoare marfa",INDEX('PI Furnizor'!$N:$N,ROW()-3),$E166))))</f>
        <v/>
      </c>
    </row>
    <row r="167" spans="1:31" x14ac:dyDescent="0.3">
      <c r="A167" s="28" t="str">
        <f>IF(COUNTA(INDEX('PI Furnizor'!$A:$E,ROW()-3,0))=0,"",IF(INDEX('PI Furnizor'!$A:$A,ROW()-3)="","?",INDEX('PI Furnizor'!$A:$A,ROW()-3)))</f>
        <v/>
      </c>
      <c r="B167" s="29" t="str">
        <f>IF(ISNUMBER($X167),INDEX(Comenzi!$B:$B,$X167),"")</f>
        <v/>
      </c>
      <c r="C167" s="28" t="str">
        <f>IF($A167="","",INDEX('PI Furnizor'!$B:$B,ROW()-3)&amp;"")</f>
        <v/>
      </c>
      <c r="D167" s="28" t="str">
        <f>IF($A167="","",INDEX('PI Furnizor'!$C:$C,ROW()-3)&amp;"")</f>
        <v/>
      </c>
      <c r="E167" s="30" t="str">
        <f>IF($A167="","",N(INDEX('PI Furnizor'!$D:$D,ROW()-3)))</f>
        <v/>
      </c>
      <c r="F167" s="31" t="str">
        <f>IF(ISNUMBER($X167),INDEX(Comenzi!$G:$G,$X167),"")</f>
        <v/>
      </c>
      <c r="G167" s="32" t="str">
        <f>IF($A167="","",N(INDEX('PI Furnizor'!$E:$E,ROW()-3)))</f>
        <v/>
      </c>
      <c r="H167" s="33" t="str">
        <f t="shared" si="26"/>
        <v/>
      </c>
      <c r="I167" s="34" t="str">
        <f>IF($Y167&lt;&gt;1,"",IFERROR($AE167/INDEX(Comenzi!$AN:$AN,$X167),0))</f>
        <v/>
      </c>
      <c r="J167" s="33" t="str">
        <f>IF($Y167&lt;&gt;1,"",INDEX(Comenzi!$AG:$AG,$X167)*$I167/$E167)</f>
        <v/>
      </c>
      <c r="K167" s="33" t="str">
        <f t="shared" si="27"/>
        <v/>
      </c>
      <c r="L167" s="33" t="str">
        <f>IF($Y167&lt;&gt;1,"",$K167*$AD167+INDEX(Comenzi!$AJ:$AJ,$X167)*$I167/$E167)</f>
        <v/>
      </c>
      <c r="M167" s="33" t="str">
        <f t="shared" si="28"/>
        <v/>
      </c>
      <c r="N167" s="33" t="str">
        <f t="shared" si="29"/>
        <v/>
      </c>
      <c r="O167" s="33" t="str">
        <f>IF($Y167&lt;&gt;1,"",(INDEX(Comenzi!$AK:$AK,$X167)+N(INDEX(Comenzi!$T:$T,$X167)))*$I167/$E167)</f>
        <v/>
      </c>
      <c r="P167" s="35" t="str">
        <f t="shared" si="30"/>
        <v/>
      </c>
      <c r="Q167" s="36" t="str">
        <f t="shared" si="31"/>
        <v/>
      </c>
      <c r="R167" s="37" t="str">
        <f t="shared" si="32"/>
        <v/>
      </c>
      <c r="S167" s="38" t="str">
        <f t="shared" si="33"/>
        <v/>
      </c>
      <c r="T167" s="39" t="str">
        <f t="shared" si="34"/>
        <v/>
      </c>
      <c r="U167" s="40" t="str">
        <f t="shared" si="35"/>
        <v/>
      </c>
      <c r="V167" s="33" t="str">
        <f t="shared" si="36"/>
        <v/>
      </c>
      <c r="W167" s="33" t="str">
        <f t="shared" si="37"/>
        <v/>
      </c>
      <c r="X167" s="41" t="str">
        <f>IF($A167="","",IFERROR(MATCH($A167,Comenzi!$A$9:$A$108,0)+8,""))</f>
        <v/>
      </c>
      <c r="Y167" s="41" t="str">
        <f t="shared" si="38"/>
        <v/>
      </c>
      <c r="Z167" s="42" t="str">
        <f>IF($A167="","",IF($A167="?","Lipseste ID-ul comenzii (col. A din PI Furnizor)",IF(NOT(ISNUMBER($X167)),"ID comanda negasit in foaia Comenzi",IF(N($E167)&lt;=0,"Lipseste cantitatea",IF(N($G167)=0,"Pret unitar lipsa",IF($Y167&lt;&gt;1,"Curs sau moneda marfa lipsa (foaia Comenzi)",IF(INDEX(Comenzi!$AT:$AT,$X167)&lt;&gt;"OK","Avertisment comanda: "&amp;INDEX(Comenzi!$AT:$AT,$X167),"OK")))))))</f>
        <v/>
      </c>
      <c r="AA167" s="43" t="str">
        <f>IF(ISNUMBER($X167),INDEX(Comenzi!$H:$H,$X167),"")</f>
        <v/>
      </c>
      <c r="AB167" s="43" t="str">
        <f>IF(ISNUMBER($X167),INDEX(Comenzi!$I:$I,$X167),"")</f>
        <v/>
      </c>
      <c r="AC167" s="44" t="str">
        <f>IF(ISNUMBER($X167),IF(INDEX(Comenzi!$V:$V,$X167)="",Comenzi!$D$3,INDEX(Comenzi!$V:$V,$X167)),"")</f>
        <v/>
      </c>
      <c r="AD167" s="44" t="str">
        <f>IF(ISNUMBER($X167),IF(INDEX(Comenzi!$U:$U,$X167)="",Comenzi!$D$4,INDEX(Comenzi!$U:$U,$X167)),"")</f>
        <v/>
      </c>
      <c r="AE167" s="45" t="str">
        <f>IF($Y167&lt;&gt;1,"",IF(INDEX(Comenzi!$AM:$AM,$X167)="Greutate",INDEX('PI Furnizor'!$O:$O,ROW()-3),IF(INDEX(Comenzi!$AM:$AM,$X167)="Volum (CBM)",INDEX('PI Furnizor'!$Q:$Q,ROW()-3),IF(INDEX(Comenzi!$AM:$AM,$X167)="Valoare marfa",INDEX('PI Furnizor'!$N:$N,ROW()-3),$E167))))</f>
        <v/>
      </c>
    </row>
    <row r="168" spans="1:31" x14ac:dyDescent="0.3">
      <c r="A168" s="28" t="str">
        <f>IF(COUNTA(INDEX('PI Furnizor'!$A:$E,ROW()-3,0))=0,"",IF(INDEX('PI Furnizor'!$A:$A,ROW()-3)="","?",INDEX('PI Furnizor'!$A:$A,ROW()-3)))</f>
        <v/>
      </c>
      <c r="B168" s="29" t="str">
        <f>IF(ISNUMBER($X168),INDEX(Comenzi!$B:$B,$X168),"")</f>
        <v/>
      </c>
      <c r="C168" s="28" t="str">
        <f>IF($A168="","",INDEX('PI Furnizor'!$B:$B,ROW()-3)&amp;"")</f>
        <v/>
      </c>
      <c r="D168" s="28" t="str">
        <f>IF($A168="","",INDEX('PI Furnizor'!$C:$C,ROW()-3)&amp;"")</f>
        <v/>
      </c>
      <c r="E168" s="30" t="str">
        <f>IF($A168="","",N(INDEX('PI Furnizor'!$D:$D,ROW()-3)))</f>
        <v/>
      </c>
      <c r="F168" s="31" t="str">
        <f>IF(ISNUMBER($X168),INDEX(Comenzi!$G:$G,$X168),"")</f>
        <v/>
      </c>
      <c r="G168" s="32" t="str">
        <f>IF($A168="","",N(INDEX('PI Furnizor'!$E:$E,ROW()-3)))</f>
        <v/>
      </c>
      <c r="H168" s="33" t="str">
        <f t="shared" si="26"/>
        <v/>
      </c>
      <c r="I168" s="34" t="str">
        <f>IF($Y168&lt;&gt;1,"",IFERROR($AE168/INDEX(Comenzi!$AN:$AN,$X168),0))</f>
        <v/>
      </c>
      <c r="J168" s="33" t="str">
        <f>IF($Y168&lt;&gt;1,"",INDEX(Comenzi!$AG:$AG,$X168)*$I168/$E168)</f>
        <v/>
      </c>
      <c r="K168" s="33" t="str">
        <f t="shared" si="27"/>
        <v/>
      </c>
      <c r="L168" s="33" t="str">
        <f>IF($Y168&lt;&gt;1,"",$K168*$AD168+INDEX(Comenzi!$AJ:$AJ,$X168)*$I168/$E168)</f>
        <v/>
      </c>
      <c r="M168" s="33" t="str">
        <f t="shared" si="28"/>
        <v/>
      </c>
      <c r="N168" s="33" t="str">
        <f t="shared" si="29"/>
        <v/>
      </c>
      <c r="O168" s="33" t="str">
        <f>IF($Y168&lt;&gt;1,"",(INDEX(Comenzi!$AK:$AK,$X168)+N(INDEX(Comenzi!$T:$T,$X168)))*$I168/$E168)</f>
        <v/>
      </c>
      <c r="P168" s="35" t="str">
        <f t="shared" si="30"/>
        <v/>
      </c>
      <c r="Q168" s="36" t="str">
        <f t="shared" si="31"/>
        <v/>
      </c>
      <c r="R168" s="37" t="str">
        <f t="shared" si="32"/>
        <v/>
      </c>
      <c r="S168" s="38" t="str">
        <f t="shared" si="33"/>
        <v/>
      </c>
      <c r="T168" s="39" t="str">
        <f t="shared" si="34"/>
        <v/>
      </c>
      <c r="U168" s="40" t="str">
        <f t="shared" si="35"/>
        <v/>
      </c>
      <c r="V168" s="33" t="str">
        <f t="shared" si="36"/>
        <v/>
      </c>
      <c r="W168" s="33" t="str">
        <f t="shared" si="37"/>
        <v/>
      </c>
      <c r="X168" s="41" t="str">
        <f>IF($A168="","",IFERROR(MATCH($A168,Comenzi!$A$9:$A$108,0)+8,""))</f>
        <v/>
      </c>
      <c r="Y168" s="41" t="str">
        <f t="shared" si="38"/>
        <v/>
      </c>
      <c r="Z168" s="42" t="str">
        <f>IF($A168="","",IF($A168="?","Lipseste ID-ul comenzii (col. A din PI Furnizor)",IF(NOT(ISNUMBER($X168)),"ID comanda negasit in foaia Comenzi",IF(N($E168)&lt;=0,"Lipseste cantitatea",IF(N($G168)=0,"Pret unitar lipsa",IF($Y168&lt;&gt;1,"Curs sau moneda marfa lipsa (foaia Comenzi)",IF(INDEX(Comenzi!$AT:$AT,$X168)&lt;&gt;"OK","Avertisment comanda: "&amp;INDEX(Comenzi!$AT:$AT,$X168),"OK")))))))</f>
        <v/>
      </c>
      <c r="AA168" s="43" t="str">
        <f>IF(ISNUMBER($X168),INDEX(Comenzi!$H:$H,$X168),"")</f>
        <v/>
      </c>
      <c r="AB168" s="43" t="str">
        <f>IF(ISNUMBER($X168),INDEX(Comenzi!$I:$I,$X168),"")</f>
        <v/>
      </c>
      <c r="AC168" s="44" t="str">
        <f>IF(ISNUMBER($X168),IF(INDEX(Comenzi!$V:$V,$X168)="",Comenzi!$D$3,INDEX(Comenzi!$V:$V,$X168)),"")</f>
        <v/>
      </c>
      <c r="AD168" s="44" t="str">
        <f>IF(ISNUMBER($X168),IF(INDEX(Comenzi!$U:$U,$X168)="",Comenzi!$D$4,INDEX(Comenzi!$U:$U,$X168)),"")</f>
        <v/>
      </c>
      <c r="AE168" s="45" t="str">
        <f>IF($Y168&lt;&gt;1,"",IF(INDEX(Comenzi!$AM:$AM,$X168)="Greutate",INDEX('PI Furnizor'!$O:$O,ROW()-3),IF(INDEX(Comenzi!$AM:$AM,$X168)="Volum (CBM)",INDEX('PI Furnizor'!$Q:$Q,ROW()-3),IF(INDEX(Comenzi!$AM:$AM,$X168)="Valoare marfa",INDEX('PI Furnizor'!$N:$N,ROW()-3),$E168))))</f>
        <v/>
      </c>
    </row>
    <row r="169" spans="1:31" x14ac:dyDescent="0.3">
      <c r="A169" s="28" t="str">
        <f>IF(COUNTA(INDEX('PI Furnizor'!$A:$E,ROW()-3,0))=0,"",IF(INDEX('PI Furnizor'!$A:$A,ROW()-3)="","?",INDEX('PI Furnizor'!$A:$A,ROW()-3)))</f>
        <v/>
      </c>
      <c r="B169" s="29" t="str">
        <f>IF(ISNUMBER($X169),INDEX(Comenzi!$B:$B,$X169),"")</f>
        <v/>
      </c>
      <c r="C169" s="28" t="str">
        <f>IF($A169="","",INDEX('PI Furnizor'!$B:$B,ROW()-3)&amp;"")</f>
        <v/>
      </c>
      <c r="D169" s="28" t="str">
        <f>IF($A169="","",INDEX('PI Furnizor'!$C:$C,ROW()-3)&amp;"")</f>
        <v/>
      </c>
      <c r="E169" s="30" t="str">
        <f>IF($A169="","",N(INDEX('PI Furnizor'!$D:$D,ROW()-3)))</f>
        <v/>
      </c>
      <c r="F169" s="31" t="str">
        <f>IF(ISNUMBER($X169),INDEX(Comenzi!$G:$G,$X169),"")</f>
        <v/>
      </c>
      <c r="G169" s="32" t="str">
        <f>IF($A169="","",N(INDEX('PI Furnizor'!$E:$E,ROW()-3)))</f>
        <v/>
      </c>
      <c r="H169" s="33" t="str">
        <f t="shared" si="26"/>
        <v/>
      </c>
      <c r="I169" s="34" t="str">
        <f>IF($Y169&lt;&gt;1,"",IFERROR($AE169/INDEX(Comenzi!$AN:$AN,$X169),0))</f>
        <v/>
      </c>
      <c r="J169" s="33" t="str">
        <f>IF($Y169&lt;&gt;1,"",INDEX(Comenzi!$AG:$AG,$X169)*$I169/$E169)</f>
        <v/>
      </c>
      <c r="K169" s="33" t="str">
        <f t="shared" si="27"/>
        <v/>
      </c>
      <c r="L169" s="33" t="str">
        <f>IF($Y169&lt;&gt;1,"",$K169*$AD169+INDEX(Comenzi!$AJ:$AJ,$X169)*$I169/$E169)</f>
        <v/>
      </c>
      <c r="M169" s="33" t="str">
        <f t="shared" si="28"/>
        <v/>
      </c>
      <c r="N169" s="33" t="str">
        <f t="shared" si="29"/>
        <v/>
      </c>
      <c r="O169" s="33" t="str">
        <f>IF($Y169&lt;&gt;1,"",(INDEX(Comenzi!$AK:$AK,$X169)+N(INDEX(Comenzi!$T:$T,$X169)))*$I169/$E169)</f>
        <v/>
      </c>
      <c r="P169" s="35" t="str">
        <f t="shared" si="30"/>
        <v/>
      </c>
      <c r="Q169" s="36" t="str">
        <f t="shared" si="31"/>
        <v/>
      </c>
      <c r="R169" s="37" t="str">
        <f t="shared" si="32"/>
        <v/>
      </c>
      <c r="S169" s="38" t="str">
        <f t="shared" si="33"/>
        <v/>
      </c>
      <c r="T169" s="39" t="str">
        <f t="shared" si="34"/>
        <v/>
      </c>
      <c r="U169" s="40" t="str">
        <f t="shared" si="35"/>
        <v/>
      </c>
      <c r="V169" s="33" t="str">
        <f t="shared" si="36"/>
        <v/>
      </c>
      <c r="W169" s="33" t="str">
        <f t="shared" si="37"/>
        <v/>
      </c>
      <c r="X169" s="41" t="str">
        <f>IF($A169="","",IFERROR(MATCH($A169,Comenzi!$A$9:$A$108,0)+8,""))</f>
        <v/>
      </c>
      <c r="Y169" s="41" t="str">
        <f t="shared" si="38"/>
        <v/>
      </c>
      <c r="Z169" s="42" t="str">
        <f>IF($A169="","",IF($A169="?","Lipseste ID-ul comenzii (col. A din PI Furnizor)",IF(NOT(ISNUMBER($X169)),"ID comanda negasit in foaia Comenzi",IF(N($E169)&lt;=0,"Lipseste cantitatea",IF(N($G169)=0,"Pret unitar lipsa",IF($Y169&lt;&gt;1,"Curs sau moneda marfa lipsa (foaia Comenzi)",IF(INDEX(Comenzi!$AT:$AT,$X169)&lt;&gt;"OK","Avertisment comanda: "&amp;INDEX(Comenzi!$AT:$AT,$X169),"OK")))))))</f>
        <v/>
      </c>
      <c r="AA169" s="43" t="str">
        <f>IF(ISNUMBER($X169),INDEX(Comenzi!$H:$H,$X169),"")</f>
        <v/>
      </c>
      <c r="AB169" s="43" t="str">
        <f>IF(ISNUMBER($X169),INDEX(Comenzi!$I:$I,$X169),"")</f>
        <v/>
      </c>
      <c r="AC169" s="44" t="str">
        <f>IF(ISNUMBER($X169),IF(INDEX(Comenzi!$V:$V,$X169)="",Comenzi!$D$3,INDEX(Comenzi!$V:$V,$X169)),"")</f>
        <v/>
      </c>
      <c r="AD169" s="44" t="str">
        <f>IF(ISNUMBER($X169),IF(INDEX(Comenzi!$U:$U,$X169)="",Comenzi!$D$4,INDEX(Comenzi!$U:$U,$X169)),"")</f>
        <v/>
      </c>
      <c r="AE169" s="45" t="str">
        <f>IF($Y169&lt;&gt;1,"",IF(INDEX(Comenzi!$AM:$AM,$X169)="Greutate",INDEX('PI Furnizor'!$O:$O,ROW()-3),IF(INDEX(Comenzi!$AM:$AM,$X169)="Volum (CBM)",INDEX('PI Furnizor'!$Q:$Q,ROW()-3),IF(INDEX(Comenzi!$AM:$AM,$X169)="Valoare marfa",INDEX('PI Furnizor'!$N:$N,ROW()-3),$E169))))</f>
        <v/>
      </c>
    </row>
    <row r="170" spans="1:31" x14ac:dyDescent="0.3">
      <c r="A170" s="28" t="str">
        <f>IF(COUNTA(INDEX('PI Furnizor'!$A:$E,ROW()-3,0))=0,"",IF(INDEX('PI Furnizor'!$A:$A,ROW()-3)="","?",INDEX('PI Furnizor'!$A:$A,ROW()-3)))</f>
        <v/>
      </c>
      <c r="B170" s="29" t="str">
        <f>IF(ISNUMBER($X170),INDEX(Comenzi!$B:$B,$X170),"")</f>
        <v/>
      </c>
      <c r="C170" s="28" t="str">
        <f>IF($A170="","",INDEX('PI Furnizor'!$B:$B,ROW()-3)&amp;"")</f>
        <v/>
      </c>
      <c r="D170" s="28" t="str">
        <f>IF($A170="","",INDEX('PI Furnizor'!$C:$C,ROW()-3)&amp;"")</f>
        <v/>
      </c>
      <c r="E170" s="30" t="str">
        <f>IF($A170="","",N(INDEX('PI Furnizor'!$D:$D,ROW()-3)))</f>
        <v/>
      </c>
      <c r="F170" s="31" t="str">
        <f>IF(ISNUMBER($X170),INDEX(Comenzi!$G:$G,$X170),"")</f>
        <v/>
      </c>
      <c r="G170" s="32" t="str">
        <f>IF($A170="","",N(INDEX('PI Furnizor'!$E:$E,ROW()-3)))</f>
        <v/>
      </c>
      <c r="H170" s="33" t="str">
        <f t="shared" si="26"/>
        <v/>
      </c>
      <c r="I170" s="34" t="str">
        <f>IF($Y170&lt;&gt;1,"",IFERROR($AE170/INDEX(Comenzi!$AN:$AN,$X170),0))</f>
        <v/>
      </c>
      <c r="J170" s="33" t="str">
        <f>IF($Y170&lt;&gt;1,"",INDEX(Comenzi!$AG:$AG,$X170)*$I170/$E170)</f>
        <v/>
      </c>
      <c r="K170" s="33" t="str">
        <f t="shared" si="27"/>
        <v/>
      </c>
      <c r="L170" s="33" t="str">
        <f>IF($Y170&lt;&gt;1,"",$K170*$AD170+INDEX(Comenzi!$AJ:$AJ,$X170)*$I170/$E170)</f>
        <v/>
      </c>
      <c r="M170" s="33" t="str">
        <f t="shared" si="28"/>
        <v/>
      </c>
      <c r="N170" s="33" t="str">
        <f t="shared" si="29"/>
        <v/>
      </c>
      <c r="O170" s="33" t="str">
        <f>IF($Y170&lt;&gt;1,"",(INDEX(Comenzi!$AK:$AK,$X170)+N(INDEX(Comenzi!$T:$T,$X170)))*$I170/$E170)</f>
        <v/>
      </c>
      <c r="P170" s="35" t="str">
        <f t="shared" si="30"/>
        <v/>
      </c>
      <c r="Q170" s="36" t="str">
        <f t="shared" si="31"/>
        <v/>
      </c>
      <c r="R170" s="37" t="str">
        <f t="shared" si="32"/>
        <v/>
      </c>
      <c r="S170" s="38" t="str">
        <f t="shared" si="33"/>
        <v/>
      </c>
      <c r="T170" s="39" t="str">
        <f t="shared" si="34"/>
        <v/>
      </c>
      <c r="U170" s="40" t="str">
        <f t="shared" si="35"/>
        <v/>
      </c>
      <c r="V170" s="33" t="str">
        <f t="shared" si="36"/>
        <v/>
      </c>
      <c r="W170" s="33" t="str">
        <f t="shared" si="37"/>
        <v/>
      </c>
      <c r="X170" s="41" t="str">
        <f>IF($A170="","",IFERROR(MATCH($A170,Comenzi!$A$9:$A$108,0)+8,""))</f>
        <v/>
      </c>
      <c r="Y170" s="41" t="str">
        <f t="shared" si="38"/>
        <v/>
      </c>
      <c r="Z170" s="42" t="str">
        <f>IF($A170="","",IF($A170="?","Lipseste ID-ul comenzii (col. A din PI Furnizor)",IF(NOT(ISNUMBER($X170)),"ID comanda negasit in foaia Comenzi",IF(N($E170)&lt;=0,"Lipseste cantitatea",IF(N($G170)=0,"Pret unitar lipsa",IF($Y170&lt;&gt;1,"Curs sau moneda marfa lipsa (foaia Comenzi)",IF(INDEX(Comenzi!$AT:$AT,$X170)&lt;&gt;"OK","Avertisment comanda: "&amp;INDEX(Comenzi!$AT:$AT,$X170),"OK")))))))</f>
        <v/>
      </c>
      <c r="AA170" s="43" t="str">
        <f>IF(ISNUMBER($X170),INDEX(Comenzi!$H:$H,$X170),"")</f>
        <v/>
      </c>
      <c r="AB170" s="43" t="str">
        <f>IF(ISNUMBER($X170),INDEX(Comenzi!$I:$I,$X170),"")</f>
        <v/>
      </c>
      <c r="AC170" s="44" t="str">
        <f>IF(ISNUMBER($X170),IF(INDEX(Comenzi!$V:$V,$X170)="",Comenzi!$D$3,INDEX(Comenzi!$V:$V,$X170)),"")</f>
        <v/>
      </c>
      <c r="AD170" s="44" t="str">
        <f>IF(ISNUMBER($X170),IF(INDEX(Comenzi!$U:$U,$X170)="",Comenzi!$D$4,INDEX(Comenzi!$U:$U,$X170)),"")</f>
        <v/>
      </c>
      <c r="AE170" s="45" t="str">
        <f>IF($Y170&lt;&gt;1,"",IF(INDEX(Comenzi!$AM:$AM,$X170)="Greutate",INDEX('PI Furnizor'!$O:$O,ROW()-3),IF(INDEX(Comenzi!$AM:$AM,$X170)="Volum (CBM)",INDEX('PI Furnizor'!$Q:$Q,ROW()-3),IF(INDEX(Comenzi!$AM:$AM,$X170)="Valoare marfa",INDEX('PI Furnizor'!$N:$N,ROW()-3),$E170))))</f>
        <v/>
      </c>
    </row>
    <row r="171" spans="1:31" x14ac:dyDescent="0.3">
      <c r="A171" s="28" t="str">
        <f>IF(COUNTA(INDEX('PI Furnizor'!$A:$E,ROW()-3,0))=0,"",IF(INDEX('PI Furnizor'!$A:$A,ROW()-3)="","?",INDEX('PI Furnizor'!$A:$A,ROW()-3)))</f>
        <v/>
      </c>
      <c r="B171" s="29" t="str">
        <f>IF(ISNUMBER($X171),INDEX(Comenzi!$B:$B,$X171),"")</f>
        <v/>
      </c>
      <c r="C171" s="28" t="str">
        <f>IF($A171="","",INDEX('PI Furnizor'!$B:$B,ROW()-3)&amp;"")</f>
        <v/>
      </c>
      <c r="D171" s="28" t="str">
        <f>IF($A171="","",INDEX('PI Furnizor'!$C:$C,ROW()-3)&amp;"")</f>
        <v/>
      </c>
      <c r="E171" s="30" t="str">
        <f>IF($A171="","",N(INDEX('PI Furnizor'!$D:$D,ROW()-3)))</f>
        <v/>
      </c>
      <c r="F171" s="31" t="str">
        <f>IF(ISNUMBER($X171),INDEX(Comenzi!$G:$G,$X171),"")</f>
        <v/>
      </c>
      <c r="G171" s="32" t="str">
        <f>IF($A171="","",N(INDEX('PI Furnizor'!$E:$E,ROW()-3)))</f>
        <v/>
      </c>
      <c r="H171" s="33" t="str">
        <f t="shared" si="26"/>
        <v/>
      </c>
      <c r="I171" s="34" t="str">
        <f>IF($Y171&lt;&gt;1,"",IFERROR($AE171/INDEX(Comenzi!$AN:$AN,$X171),0))</f>
        <v/>
      </c>
      <c r="J171" s="33" t="str">
        <f>IF($Y171&lt;&gt;1,"",INDEX(Comenzi!$AG:$AG,$X171)*$I171/$E171)</f>
        <v/>
      </c>
      <c r="K171" s="33" t="str">
        <f t="shared" si="27"/>
        <v/>
      </c>
      <c r="L171" s="33" t="str">
        <f>IF($Y171&lt;&gt;1,"",$K171*$AD171+INDEX(Comenzi!$AJ:$AJ,$X171)*$I171/$E171)</f>
        <v/>
      </c>
      <c r="M171" s="33" t="str">
        <f t="shared" si="28"/>
        <v/>
      </c>
      <c r="N171" s="33" t="str">
        <f t="shared" si="29"/>
        <v/>
      </c>
      <c r="O171" s="33" t="str">
        <f>IF($Y171&lt;&gt;1,"",(INDEX(Comenzi!$AK:$AK,$X171)+N(INDEX(Comenzi!$T:$T,$X171)))*$I171/$E171)</f>
        <v/>
      </c>
      <c r="P171" s="35" t="str">
        <f t="shared" si="30"/>
        <v/>
      </c>
      <c r="Q171" s="36" t="str">
        <f t="shared" si="31"/>
        <v/>
      </c>
      <c r="R171" s="37" t="str">
        <f t="shared" si="32"/>
        <v/>
      </c>
      <c r="S171" s="38" t="str">
        <f t="shared" si="33"/>
        <v/>
      </c>
      <c r="T171" s="39" t="str">
        <f t="shared" si="34"/>
        <v/>
      </c>
      <c r="U171" s="40" t="str">
        <f t="shared" si="35"/>
        <v/>
      </c>
      <c r="V171" s="33" t="str">
        <f t="shared" si="36"/>
        <v/>
      </c>
      <c r="W171" s="33" t="str">
        <f t="shared" si="37"/>
        <v/>
      </c>
      <c r="X171" s="41" t="str">
        <f>IF($A171="","",IFERROR(MATCH($A171,Comenzi!$A$9:$A$108,0)+8,""))</f>
        <v/>
      </c>
      <c r="Y171" s="41" t="str">
        <f t="shared" si="38"/>
        <v/>
      </c>
      <c r="Z171" s="42" t="str">
        <f>IF($A171="","",IF($A171="?","Lipseste ID-ul comenzii (col. A din PI Furnizor)",IF(NOT(ISNUMBER($X171)),"ID comanda negasit in foaia Comenzi",IF(N($E171)&lt;=0,"Lipseste cantitatea",IF(N($G171)=0,"Pret unitar lipsa",IF($Y171&lt;&gt;1,"Curs sau moneda marfa lipsa (foaia Comenzi)",IF(INDEX(Comenzi!$AT:$AT,$X171)&lt;&gt;"OK","Avertisment comanda: "&amp;INDEX(Comenzi!$AT:$AT,$X171),"OK")))))))</f>
        <v/>
      </c>
      <c r="AA171" s="43" t="str">
        <f>IF(ISNUMBER($X171),INDEX(Comenzi!$H:$H,$X171),"")</f>
        <v/>
      </c>
      <c r="AB171" s="43" t="str">
        <f>IF(ISNUMBER($X171),INDEX(Comenzi!$I:$I,$X171),"")</f>
        <v/>
      </c>
      <c r="AC171" s="44" t="str">
        <f>IF(ISNUMBER($X171),IF(INDEX(Comenzi!$V:$V,$X171)="",Comenzi!$D$3,INDEX(Comenzi!$V:$V,$X171)),"")</f>
        <v/>
      </c>
      <c r="AD171" s="44" t="str">
        <f>IF(ISNUMBER($X171),IF(INDEX(Comenzi!$U:$U,$X171)="",Comenzi!$D$4,INDEX(Comenzi!$U:$U,$X171)),"")</f>
        <v/>
      </c>
      <c r="AE171" s="45" t="str">
        <f>IF($Y171&lt;&gt;1,"",IF(INDEX(Comenzi!$AM:$AM,$X171)="Greutate",INDEX('PI Furnizor'!$O:$O,ROW()-3),IF(INDEX(Comenzi!$AM:$AM,$X171)="Volum (CBM)",INDEX('PI Furnizor'!$Q:$Q,ROW()-3),IF(INDEX(Comenzi!$AM:$AM,$X171)="Valoare marfa",INDEX('PI Furnizor'!$N:$N,ROW()-3),$E171))))</f>
        <v/>
      </c>
    </row>
    <row r="172" spans="1:31" x14ac:dyDescent="0.3">
      <c r="A172" s="28" t="str">
        <f>IF(COUNTA(INDEX('PI Furnizor'!$A:$E,ROW()-3,0))=0,"",IF(INDEX('PI Furnizor'!$A:$A,ROW()-3)="","?",INDEX('PI Furnizor'!$A:$A,ROW()-3)))</f>
        <v/>
      </c>
      <c r="B172" s="29" t="str">
        <f>IF(ISNUMBER($X172),INDEX(Comenzi!$B:$B,$X172),"")</f>
        <v/>
      </c>
      <c r="C172" s="28" t="str">
        <f>IF($A172="","",INDEX('PI Furnizor'!$B:$B,ROW()-3)&amp;"")</f>
        <v/>
      </c>
      <c r="D172" s="28" t="str">
        <f>IF($A172="","",INDEX('PI Furnizor'!$C:$C,ROW()-3)&amp;"")</f>
        <v/>
      </c>
      <c r="E172" s="30" t="str">
        <f>IF($A172="","",N(INDEX('PI Furnizor'!$D:$D,ROW()-3)))</f>
        <v/>
      </c>
      <c r="F172" s="31" t="str">
        <f>IF(ISNUMBER($X172),INDEX(Comenzi!$G:$G,$X172),"")</f>
        <v/>
      </c>
      <c r="G172" s="32" t="str">
        <f>IF($A172="","",N(INDEX('PI Furnizor'!$E:$E,ROW()-3)))</f>
        <v/>
      </c>
      <c r="H172" s="33" t="str">
        <f t="shared" si="26"/>
        <v/>
      </c>
      <c r="I172" s="34" t="str">
        <f>IF($Y172&lt;&gt;1,"",IFERROR($AE172/INDEX(Comenzi!$AN:$AN,$X172),0))</f>
        <v/>
      </c>
      <c r="J172" s="33" t="str">
        <f>IF($Y172&lt;&gt;1,"",INDEX(Comenzi!$AG:$AG,$X172)*$I172/$E172)</f>
        <v/>
      </c>
      <c r="K172" s="33" t="str">
        <f t="shared" si="27"/>
        <v/>
      </c>
      <c r="L172" s="33" t="str">
        <f>IF($Y172&lt;&gt;1,"",$K172*$AD172+INDEX(Comenzi!$AJ:$AJ,$X172)*$I172/$E172)</f>
        <v/>
      </c>
      <c r="M172" s="33" t="str">
        <f t="shared" si="28"/>
        <v/>
      </c>
      <c r="N172" s="33" t="str">
        <f t="shared" si="29"/>
        <v/>
      </c>
      <c r="O172" s="33" t="str">
        <f>IF($Y172&lt;&gt;1,"",(INDEX(Comenzi!$AK:$AK,$X172)+N(INDEX(Comenzi!$T:$T,$X172)))*$I172/$E172)</f>
        <v/>
      </c>
      <c r="P172" s="35" t="str">
        <f t="shared" si="30"/>
        <v/>
      </c>
      <c r="Q172" s="36" t="str">
        <f t="shared" si="31"/>
        <v/>
      </c>
      <c r="R172" s="37" t="str">
        <f t="shared" si="32"/>
        <v/>
      </c>
      <c r="S172" s="38" t="str">
        <f t="shared" si="33"/>
        <v/>
      </c>
      <c r="T172" s="39" t="str">
        <f t="shared" si="34"/>
        <v/>
      </c>
      <c r="U172" s="40" t="str">
        <f t="shared" si="35"/>
        <v/>
      </c>
      <c r="V172" s="33" t="str">
        <f t="shared" si="36"/>
        <v/>
      </c>
      <c r="W172" s="33" t="str">
        <f t="shared" si="37"/>
        <v/>
      </c>
      <c r="X172" s="41" t="str">
        <f>IF($A172="","",IFERROR(MATCH($A172,Comenzi!$A$9:$A$108,0)+8,""))</f>
        <v/>
      </c>
      <c r="Y172" s="41" t="str">
        <f t="shared" si="38"/>
        <v/>
      </c>
      <c r="Z172" s="42" t="str">
        <f>IF($A172="","",IF($A172="?","Lipseste ID-ul comenzii (col. A din PI Furnizor)",IF(NOT(ISNUMBER($X172)),"ID comanda negasit in foaia Comenzi",IF(N($E172)&lt;=0,"Lipseste cantitatea",IF(N($G172)=0,"Pret unitar lipsa",IF($Y172&lt;&gt;1,"Curs sau moneda marfa lipsa (foaia Comenzi)",IF(INDEX(Comenzi!$AT:$AT,$X172)&lt;&gt;"OK","Avertisment comanda: "&amp;INDEX(Comenzi!$AT:$AT,$X172),"OK")))))))</f>
        <v/>
      </c>
      <c r="AA172" s="43" t="str">
        <f>IF(ISNUMBER($X172),INDEX(Comenzi!$H:$H,$X172),"")</f>
        <v/>
      </c>
      <c r="AB172" s="43" t="str">
        <f>IF(ISNUMBER($X172),INDEX(Comenzi!$I:$I,$X172),"")</f>
        <v/>
      </c>
      <c r="AC172" s="44" t="str">
        <f>IF(ISNUMBER($X172),IF(INDEX(Comenzi!$V:$V,$X172)="",Comenzi!$D$3,INDEX(Comenzi!$V:$V,$X172)),"")</f>
        <v/>
      </c>
      <c r="AD172" s="44" t="str">
        <f>IF(ISNUMBER($X172),IF(INDEX(Comenzi!$U:$U,$X172)="",Comenzi!$D$4,INDEX(Comenzi!$U:$U,$X172)),"")</f>
        <v/>
      </c>
      <c r="AE172" s="45" t="str">
        <f>IF($Y172&lt;&gt;1,"",IF(INDEX(Comenzi!$AM:$AM,$X172)="Greutate",INDEX('PI Furnizor'!$O:$O,ROW()-3),IF(INDEX(Comenzi!$AM:$AM,$X172)="Volum (CBM)",INDEX('PI Furnizor'!$Q:$Q,ROW()-3),IF(INDEX(Comenzi!$AM:$AM,$X172)="Valoare marfa",INDEX('PI Furnizor'!$N:$N,ROW()-3),$E172))))</f>
        <v/>
      </c>
    </row>
    <row r="173" spans="1:31" x14ac:dyDescent="0.3">
      <c r="A173" s="28" t="str">
        <f>IF(COUNTA(INDEX('PI Furnizor'!$A:$E,ROW()-3,0))=0,"",IF(INDEX('PI Furnizor'!$A:$A,ROW()-3)="","?",INDEX('PI Furnizor'!$A:$A,ROW()-3)))</f>
        <v/>
      </c>
      <c r="B173" s="29" t="str">
        <f>IF(ISNUMBER($X173),INDEX(Comenzi!$B:$B,$X173),"")</f>
        <v/>
      </c>
      <c r="C173" s="28" t="str">
        <f>IF($A173="","",INDEX('PI Furnizor'!$B:$B,ROW()-3)&amp;"")</f>
        <v/>
      </c>
      <c r="D173" s="28" t="str">
        <f>IF($A173="","",INDEX('PI Furnizor'!$C:$C,ROW()-3)&amp;"")</f>
        <v/>
      </c>
      <c r="E173" s="30" t="str">
        <f>IF($A173="","",N(INDEX('PI Furnizor'!$D:$D,ROW()-3)))</f>
        <v/>
      </c>
      <c r="F173" s="31" t="str">
        <f>IF(ISNUMBER($X173),INDEX(Comenzi!$G:$G,$X173),"")</f>
        <v/>
      </c>
      <c r="G173" s="32" t="str">
        <f>IF($A173="","",N(INDEX('PI Furnizor'!$E:$E,ROW()-3)))</f>
        <v/>
      </c>
      <c r="H173" s="33" t="str">
        <f t="shared" si="26"/>
        <v/>
      </c>
      <c r="I173" s="34" t="str">
        <f>IF($Y173&lt;&gt;1,"",IFERROR($AE173/INDEX(Comenzi!$AN:$AN,$X173),0))</f>
        <v/>
      </c>
      <c r="J173" s="33" t="str">
        <f>IF($Y173&lt;&gt;1,"",INDEX(Comenzi!$AG:$AG,$X173)*$I173/$E173)</f>
        <v/>
      </c>
      <c r="K173" s="33" t="str">
        <f t="shared" si="27"/>
        <v/>
      </c>
      <c r="L173" s="33" t="str">
        <f>IF($Y173&lt;&gt;1,"",$K173*$AD173+INDEX(Comenzi!$AJ:$AJ,$X173)*$I173/$E173)</f>
        <v/>
      </c>
      <c r="M173" s="33" t="str">
        <f t="shared" si="28"/>
        <v/>
      </c>
      <c r="N173" s="33" t="str">
        <f t="shared" si="29"/>
        <v/>
      </c>
      <c r="O173" s="33" t="str">
        <f>IF($Y173&lt;&gt;1,"",(INDEX(Comenzi!$AK:$AK,$X173)+N(INDEX(Comenzi!$T:$T,$X173)))*$I173/$E173)</f>
        <v/>
      </c>
      <c r="P173" s="35" t="str">
        <f t="shared" si="30"/>
        <v/>
      </c>
      <c r="Q173" s="36" t="str">
        <f t="shared" si="31"/>
        <v/>
      </c>
      <c r="R173" s="37" t="str">
        <f t="shared" si="32"/>
        <v/>
      </c>
      <c r="S173" s="38" t="str">
        <f t="shared" si="33"/>
        <v/>
      </c>
      <c r="T173" s="39" t="str">
        <f t="shared" si="34"/>
        <v/>
      </c>
      <c r="U173" s="40" t="str">
        <f t="shared" si="35"/>
        <v/>
      </c>
      <c r="V173" s="33" t="str">
        <f t="shared" si="36"/>
        <v/>
      </c>
      <c r="W173" s="33" t="str">
        <f t="shared" si="37"/>
        <v/>
      </c>
      <c r="X173" s="41" t="str">
        <f>IF($A173="","",IFERROR(MATCH($A173,Comenzi!$A$9:$A$108,0)+8,""))</f>
        <v/>
      </c>
      <c r="Y173" s="41" t="str">
        <f t="shared" si="38"/>
        <v/>
      </c>
      <c r="Z173" s="42" t="str">
        <f>IF($A173="","",IF($A173="?","Lipseste ID-ul comenzii (col. A din PI Furnizor)",IF(NOT(ISNUMBER($X173)),"ID comanda negasit in foaia Comenzi",IF(N($E173)&lt;=0,"Lipseste cantitatea",IF(N($G173)=0,"Pret unitar lipsa",IF($Y173&lt;&gt;1,"Curs sau moneda marfa lipsa (foaia Comenzi)",IF(INDEX(Comenzi!$AT:$AT,$X173)&lt;&gt;"OK","Avertisment comanda: "&amp;INDEX(Comenzi!$AT:$AT,$X173),"OK")))))))</f>
        <v/>
      </c>
      <c r="AA173" s="43" t="str">
        <f>IF(ISNUMBER($X173),INDEX(Comenzi!$H:$H,$X173),"")</f>
        <v/>
      </c>
      <c r="AB173" s="43" t="str">
        <f>IF(ISNUMBER($X173),INDEX(Comenzi!$I:$I,$X173),"")</f>
        <v/>
      </c>
      <c r="AC173" s="44" t="str">
        <f>IF(ISNUMBER($X173),IF(INDEX(Comenzi!$V:$V,$X173)="",Comenzi!$D$3,INDEX(Comenzi!$V:$V,$X173)),"")</f>
        <v/>
      </c>
      <c r="AD173" s="44" t="str">
        <f>IF(ISNUMBER($X173),IF(INDEX(Comenzi!$U:$U,$X173)="",Comenzi!$D$4,INDEX(Comenzi!$U:$U,$X173)),"")</f>
        <v/>
      </c>
      <c r="AE173" s="45" t="str">
        <f>IF($Y173&lt;&gt;1,"",IF(INDEX(Comenzi!$AM:$AM,$X173)="Greutate",INDEX('PI Furnizor'!$O:$O,ROW()-3),IF(INDEX(Comenzi!$AM:$AM,$X173)="Volum (CBM)",INDEX('PI Furnizor'!$Q:$Q,ROW()-3),IF(INDEX(Comenzi!$AM:$AM,$X173)="Valoare marfa",INDEX('PI Furnizor'!$N:$N,ROW()-3),$E173))))</f>
        <v/>
      </c>
    </row>
    <row r="174" spans="1:31" x14ac:dyDescent="0.3">
      <c r="A174" s="28" t="str">
        <f>IF(COUNTA(INDEX('PI Furnizor'!$A:$E,ROW()-3,0))=0,"",IF(INDEX('PI Furnizor'!$A:$A,ROW()-3)="","?",INDEX('PI Furnizor'!$A:$A,ROW()-3)))</f>
        <v/>
      </c>
      <c r="B174" s="29" t="str">
        <f>IF(ISNUMBER($X174),INDEX(Comenzi!$B:$B,$X174),"")</f>
        <v/>
      </c>
      <c r="C174" s="28" t="str">
        <f>IF($A174="","",INDEX('PI Furnizor'!$B:$B,ROW()-3)&amp;"")</f>
        <v/>
      </c>
      <c r="D174" s="28" t="str">
        <f>IF($A174="","",INDEX('PI Furnizor'!$C:$C,ROW()-3)&amp;"")</f>
        <v/>
      </c>
      <c r="E174" s="30" t="str">
        <f>IF($A174="","",N(INDEX('PI Furnizor'!$D:$D,ROW()-3)))</f>
        <v/>
      </c>
      <c r="F174" s="31" t="str">
        <f>IF(ISNUMBER($X174),INDEX(Comenzi!$G:$G,$X174),"")</f>
        <v/>
      </c>
      <c r="G174" s="32" t="str">
        <f>IF($A174="","",N(INDEX('PI Furnizor'!$E:$E,ROW()-3)))</f>
        <v/>
      </c>
      <c r="H174" s="33" t="str">
        <f t="shared" si="26"/>
        <v/>
      </c>
      <c r="I174" s="34" t="str">
        <f>IF($Y174&lt;&gt;1,"",IFERROR($AE174/INDEX(Comenzi!$AN:$AN,$X174),0))</f>
        <v/>
      </c>
      <c r="J174" s="33" t="str">
        <f>IF($Y174&lt;&gt;1,"",INDEX(Comenzi!$AG:$AG,$X174)*$I174/$E174)</f>
        <v/>
      </c>
      <c r="K174" s="33" t="str">
        <f t="shared" si="27"/>
        <v/>
      </c>
      <c r="L174" s="33" t="str">
        <f>IF($Y174&lt;&gt;1,"",$K174*$AD174+INDEX(Comenzi!$AJ:$AJ,$X174)*$I174/$E174)</f>
        <v/>
      </c>
      <c r="M174" s="33" t="str">
        <f t="shared" si="28"/>
        <v/>
      </c>
      <c r="N174" s="33" t="str">
        <f t="shared" si="29"/>
        <v/>
      </c>
      <c r="O174" s="33" t="str">
        <f>IF($Y174&lt;&gt;1,"",(INDEX(Comenzi!$AK:$AK,$X174)+N(INDEX(Comenzi!$T:$T,$X174)))*$I174/$E174)</f>
        <v/>
      </c>
      <c r="P174" s="35" t="str">
        <f t="shared" si="30"/>
        <v/>
      </c>
      <c r="Q174" s="36" t="str">
        <f t="shared" si="31"/>
        <v/>
      </c>
      <c r="R174" s="37" t="str">
        <f t="shared" si="32"/>
        <v/>
      </c>
      <c r="S174" s="38" t="str">
        <f t="shared" si="33"/>
        <v/>
      </c>
      <c r="T174" s="39" t="str">
        <f t="shared" si="34"/>
        <v/>
      </c>
      <c r="U174" s="40" t="str">
        <f t="shared" si="35"/>
        <v/>
      </c>
      <c r="V174" s="33" t="str">
        <f t="shared" si="36"/>
        <v/>
      </c>
      <c r="W174" s="33" t="str">
        <f t="shared" si="37"/>
        <v/>
      </c>
      <c r="X174" s="41" t="str">
        <f>IF($A174="","",IFERROR(MATCH($A174,Comenzi!$A$9:$A$108,0)+8,""))</f>
        <v/>
      </c>
      <c r="Y174" s="41" t="str">
        <f t="shared" si="38"/>
        <v/>
      </c>
      <c r="Z174" s="42" t="str">
        <f>IF($A174="","",IF($A174="?","Lipseste ID-ul comenzii (col. A din PI Furnizor)",IF(NOT(ISNUMBER($X174)),"ID comanda negasit in foaia Comenzi",IF(N($E174)&lt;=0,"Lipseste cantitatea",IF(N($G174)=0,"Pret unitar lipsa",IF($Y174&lt;&gt;1,"Curs sau moneda marfa lipsa (foaia Comenzi)",IF(INDEX(Comenzi!$AT:$AT,$X174)&lt;&gt;"OK","Avertisment comanda: "&amp;INDEX(Comenzi!$AT:$AT,$X174),"OK")))))))</f>
        <v/>
      </c>
      <c r="AA174" s="43" t="str">
        <f>IF(ISNUMBER($X174),INDEX(Comenzi!$H:$H,$X174),"")</f>
        <v/>
      </c>
      <c r="AB174" s="43" t="str">
        <f>IF(ISNUMBER($X174),INDEX(Comenzi!$I:$I,$X174),"")</f>
        <v/>
      </c>
      <c r="AC174" s="44" t="str">
        <f>IF(ISNUMBER($X174),IF(INDEX(Comenzi!$V:$V,$X174)="",Comenzi!$D$3,INDEX(Comenzi!$V:$V,$X174)),"")</f>
        <v/>
      </c>
      <c r="AD174" s="44" t="str">
        <f>IF(ISNUMBER($X174),IF(INDEX(Comenzi!$U:$U,$X174)="",Comenzi!$D$4,INDEX(Comenzi!$U:$U,$X174)),"")</f>
        <v/>
      </c>
      <c r="AE174" s="45" t="str">
        <f>IF($Y174&lt;&gt;1,"",IF(INDEX(Comenzi!$AM:$AM,$X174)="Greutate",INDEX('PI Furnizor'!$O:$O,ROW()-3),IF(INDEX(Comenzi!$AM:$AM,$X174)="Volum (CBM)",INDEX('PI Furnizor'!$Q:$Q,ROW()-3),IF(INDEX(Comenzi!$AM:$AM,$X174)="Valoare marfa",INDEX('PI Furnizor'!$N:$N,ROW()-3),$E174))))</f>
        <v/>
      </c>
    </row>
    <row r="175" spans="1:31" x14ac:dyDescent="0.3">
      <c r="A175" s="28" t="str">
        <f>IF(COUNTA(INDEX('PI Furnizor'!$A:$E,ROW()-3,0))=0,"",IF(INDEX('PI Furnizor'!$A:$A,ROW()-3)="","?",INDEX('PI Furnizor'!$A:$A,ROW()-3)))</f>
        <v/>
      </c>
      <c r="B175" s="29" t="str">
        <f>IF(ISNUMBER($X175),INDEX(Comenzi!$B:$B,$X175),"")</f>
        <v/>
      </c>
      <c r="C175" s="28" t="str">
        <f>IF($A175="","",INDEX('PI Furnizor'!$B:$B,ROW()-3)&amp;"")</f>
        <v/>
      </c>
      <c r="D175" s="28" t="str">
        <f>IF($A175="","",INDEX('PI Furnizor'!$C:$C,ROW()-3)&amp;"")</f>
        <v/>
      </c>
      <c r="E175" s="30" t="str">
        <f>IF($A175="","",N(INDEX('PI Furnizor'!$D:$D,ROW()-3)))</f>
        <v/>
      </c>
      <c r="F175" s="31" t="str">
        <f>IF(ISNUMBER($X175),INDEX(Comenzi!$G:$G,$X175),"")</f>
        <v/>
      </c>
      <c r="G175" s="32" t="str">
        <f>IF($A175="","",N(INDEX('PI Furnizor'!$E:$E,ROW()-3)))</f>
        <v/>
      </c>
      <c r="H175" s="33" t="str">
        <f t="shared" si="26"/>
        <v/>
      </c>
      <c r="I175" s="34" t="str">
        <f>IF($Y175&lt;&gt;1,"",IFERROR($AE175/INDEX(Comenzi!$AN:$AN,$X175),0))</f>
        <v/>
      </c>
      <c r="J175" s="33" t="str">
        <f>IF($Y175&lt;&gt;1,"",INDEX(Comenzi!$AG:$AG,$X175)*$I175/$E175)</f>
        <v/>
      </c>
      <c r="K175" s="33" t="str">
        <f t="shared" si="27"/>
        <v/>
      </c>
      <c r="L175" s="33" t="str">
        <f>IF($Y175&lt;&gt;1,"",$K175*$AD175+INDEX(Comenzi!$AJ:$AJ,$X175)*$I175/$E175)</f>
        <v/>
      </c>
      <c r="M175" s="33" t="str">
        <f t="shared" si="28"/>
        <v/>
      </c>
      <c r="N175" s="33" t="str">
        <f t="shared" si="29"/>
        <v/>
      </c>
      <c r="O175" s="33" t="str">
        <f>IF($Y175&lt;&gt;1,"",(INDEX(Comenzi!$AK:$AK,$X175)+N(INDEX(Comenzi!$T:$T,$X175)))*$I175/$E175)</f>
        <v/>
      </c>
      <c r="P175" s="35" t="str">
        <f t="shared" si="30"/>
        <v/>
      </c>
      <c r="Q175" s="36" t="str">
        <f t="shared" si="31"/>
        <v/>
      </c>
      <c r="R175" s="37" t="str">
        <f t="shared" si="32"/>
        <v/>
      </c>
      <c r="S175" s="38" t="str">
        <f t="shared" si="33"/>
        <v/>
      </c>
      <c r="T175" s="39" t="str">
        <f t="shared" si="34"/>
        <v/>
      </c>
      <c r="U175" s="40" t="str">
        <f t="shared" si="35"/>
        <v/>
      </c>
      <c r="V175" s="33" t="str">
        <f t="shared" si="36"/>
        <v/>
      </c>
      <c r="W175" s="33" t="str">
        <f t="shared" si="37"/>
        <v/>
      </c>
      <c r="X175" s="41" t="str">
        <f>IF($A175="","",IFERROR(MATCH($A175,Comenzi!$A$9:$A$108,0)+8,""))</f>
        <v/>
      </c>
      <c r="Y175" s="41" t="str">
        <f t="shared" si="38"/>
        <v/>
      </c>
      <c r="Z175" s="42" t="str">
        <f>IF($A175="","",IF($A175="?","Lipseste ID-ul comenzii (col. A din PI Furnizor)",IF(NOT(ISNUMBER($X175)),"ID comanda negasit in foaia Comenzi",IF(N($E175)&lt;=0,"Lipseste cantitatea",IF(N($G175)=0,"Pret unitar lipsa",IF($Y175&lt;&gt;1,"Curs sau moneda marfa lipsa (foaia Comenzi)",IF(INDEX(Comenzi!$AT:$AT,$X175)&lt;&gt;"OK","Avertisment comanda: "&amp;INDEX(Comenzi!$AT:$AT,$X175),"OK")))))))</f>
        <v/>
      </c>
      <c r="AA175" s="43" t="str">
        <f>IF(ISNUMBER($X175),INDEX(Comenzi!$H:$H,$X175),"")</f>
        <v/>
      </c>
      <c r="AB175" s="43" t="str">
        <f>IF(ISNUMBER($X175),INDEX(Comenzi!$I:$I,$X175),"")</f>
        <v/>
      </c>
      <c r="AC175" s="44" t="str">
        <f>IF(ISNUMBER($X175),IF(INDEX(Comenzi!$V:$V,$X175)="",Comenzi!$D$3,INDEX(Comenzi!$V:$V,$X175)),"")</f>
        <v/>
      </c>
      <c r="AD175" s="44" t="str">
        <f>IF(ISNUMBER($X175),IF(INDEX(Comenzi!$U:$U,$X175)="",Comenzi!$D$4,INDEX(Comenzi!$U:$U,$X175)),"")</f>
        <v/>
      </c>
      <c r="AE175" s="45" t="str">
        <f>IF($Y175&lt;&gt;1,"",IF(INDEX(Comenzi!$AM:$AM,$X175)="Greutate",INDEX('PI Furnizor'!$O:$O,ROW()-3),IF(INDEX(Comenzi!$AM:$AM,$X175)="Volum (CBM)",INDEX('PI Furnizor'!$Q:$Q,ROW()-3),IF(INDEX(Comenzi!$AM:$AM,$X175)="Valoare marfa",INDEX('PI Furnizor'!$N:$N,ROW()-3),$E175))))</f>
        <v/>
      </c>
    </row>
    <row r="176" spans="1:31" x14ac:dyDescent="0.3">
      <c r="A176" s="28" t="str">
        <f>IF(COUNTA(INDEX('PI Furnizor'!$A:$E,ROW()-3,0))=0,"",IF(INDEX('PI Furnizor'!$A:$A,ROW()-3)="","?",INDEX('PI Furnizor'!$A:$A,ROW()-3)))</f>
        <v/>
      </c>
      <c r="B176" s="29" t="str">
        <f>IF(ISNUMBER($X176),INDEX(Comenzi!$B:$B,$X176),"")</f>
        <v/>
      </c>
      <c r="C176" s="28" t="str">
        <f>IF($A176="","",INDEX('PI Furnizor'!$B:$B,ROW()-3)&amp;"")</f>
        <v/>
      </c>
      <c r="D176" s="28" t="str">
        <f>IF($A176="","",INDEX('PI Furnizor'!$C:$C,ROW()-3)&amp;"")</f>
        <v/>
      </c>
      <c r="E176" s="30" t="str">
        <f>IF($A176="","",N(INDEX('PI Furnizor'!$D:$D,ROW()-3)))</f>
        <v/>
      </c>
      <c r="F176" s="31" t="str">
        <f>IF(ISNUMBER($X176),INDEX(Comenzi!$G:$G,$X176),"")</f>
        <v/>
      </c>
      <c r="G176" s="32" t="str">
        <f>IF($A176="","",N(INDEX('PI Furnizor'!$E:$E,ROW()-3)))</f>
        <v/>
      </c>
      <c r="H176" s="33" t="str">
        <f t="shared" si="26"/>
        <v/>
      </c>
      <c r="I176" s="34" t="str">
        <f>IF($Y176&lt;&gt;1,"",IFERROR($AE176/INDEX(Comenzi!$AN:$AN,$X176),0))</f>
        <v/>
      </c>
      <c r="J176" s="33" t="str">
        <f>IF($Y176&lt;&gt;1,"",INDEX(Comenzi!$AG:$AG,$X176)*$I176/$E176)</f>
        <v/>
      </c>
      <c r="K176" s="33" t="str">
        <f t="shared" si="27"/>
        <v/>
      </c>
      <c r="L176" s="33" t="str">
        <f>IF($Y176&lt;&gt;1,"",$K176*$AD176+INDEX(Comenzi!$AJ:$AJ,$X176)*$I176/$E176)</f>
        <v/>
      </c>
      <c r="M176" s="33" t="str">
        <f t="shared" si="28"/>
        <v/>
      </c>
      <c r="N176" s="33" t="str">
        <f t="shared" si="29"/>
        <v/>
      </c>
      <c r="O176" s="33" t="str">
        <f>IF($Y176&lt;&gt;1,"",(INDEX(Comenzi!$AK:$AK,$X176)+N(INDEX(Comenzi!$T:$T,$X176)))*$I176/$E176)</f>
        <v/>
      </c>
      <c r="P176" s="35" t="str">
        <f t="shared" si="30"/>
        <v/>
      </c>
      <c r="Q176" s="36" t="str">
        <f t="shared" si="31"/>
        <v/>
      </c>
      <c r="R176" s="37" t="str">
        <f t="shared" si="32"/>
        <v/>
      </c>
      <c r="S176" s="38" t="str">
        <f t="shared" si="33"/>
        <v/>
      </c>
      <c r="T176" s="39" t="str">
        <f t="shared" si="34"/>
        <v/>
      </c>
      <c r="U176" s="40" t="str">
        <f t="shared" si="35"/>
        <v/>
      </c>
      <c r="V176" s="33" t="str">
        <f t="shared" si="36"/>
        <v/>
      </c>
      <c r="W176" s="33" t="str">
        <f t="shared" si="37"/>
        <v/>
      </c>
      <c r="X176" s="41" t="str">
        <f>IF($A176="","",IFERROR(MATCH($A176,Comenzi!$A$9:$A$108,0)+8,""))</f>
        <v/>
      </c>
      <c r="Y176" s="41" t="str">
        <f t="shared" si="38"/>
        <v/>
      </c>
      <c r="Z176" s="42" t="str">
        <f>IF($A176="","",IF($A176="?","Lipseste ID-ul comenzii (col. A din PI Furnizor)",IF(NOT(ISNUMBER($X176)),"ID comanda negasit in foaia Comenzi",IF(N($E176)&lt;=0,"Lipseste cantitatea",IF(N($G176)=0,"Pret unitar lipsa",IF($Y176&lt;&gt;1,"Curs sau moneda marfa lipsa (foaia Comenzi)",IF(INDEX(Comenzi!$AT:$AT,$X176)&lt;&gt;"OK","Avertisment comanda: "&amp;INDEX(Comenzi!$AT:$AT,$X176),"OK")))))))</f>
        <v/>
      </c>
      <c r="AA176" s="43" t="str">
        <f>IF(ISNUMBER($X176),INDEX(Comenzi!$H:$H,$X176),"")</f>
        <v/>
      </c>
      <c r="AB176" s="43" t="str">
        <f>IF(ISNUMBER($X176),INDEX(Comenzi!$I:$I,$X176),"")</f>
        <v/>
      </c>
      <c r="AC176" s="44" t="str">
        <f>IF(ISNUMBER($X176),IF(INDEX(Comenzi!$V:$V,$X176)="",Comenzi!$D$3,INDEX(Comenzi!$V:$V,$X176)),"")</f>
        <v/>
      </c>
      <c r="AD176" s="44" t="str">
        <f>IF(ISNUMBER($X176),IF(INDEX(Comenzi!$U:$U,$X176)="",Comenzi!$D$4,INDEX(Comenzi!$U:$U,$X176)),"")</f>
        <v/>
      </c>
      <c r="AE176" s="45" t="str">
        <f>IF($Y176&lt;&gt;1,"",IF(INDEX(Comenzi!$AM:$AM,$X176)="Greutate",INDEX('PI Furnizor'!$O:$O,ROW()-3),IF(INDEX(Comenzi!$AM:$AM,$X176)="Volum (CBM)",INDEX('PI Furnizor'!$Q:$Q,ROW()-3),IF(INDEX(Comenzi!$AM:$AM,$X176)="Valoare marfa",INDEX('PI Furnizor'!$N:$N,ROW()-3),$E176))))</f>
        <v/>
      </c>
    </row>
    <row r="177" spans="1:31" x14ac:dyDescent="0.3">
      <c r="A177" s="28" t="str">
        <f>IF(COUNTA(INDEX('PI Furnizor'!$A:$E,ROW()-3,0))=0,"",IF(INDEX('PI Furnizor'!$A:$A,ROW()-3)="","?",INDEX('PI Furnizor'!$A:$A,ROW()-3)))</f>
        <v/>
      </c>
      <c r="B177" s="29" t="str">
        <f>IF(ISNUMBER($X177),INDEX(Comenzi!$B:$B,$X177),"")</f>
        <v/>
      </c>
      <c r="C177" s="28" t="str">
        <f>IF($A177="","",INDEX('PI Furnizor'!$B:$B,ROW()-3)&amp;"")</f>
        <v/>
      </c>
      <c r="D177" s="28" t="str">
        <f>IF($A177="","",INDEX('PI Furnizor'!$C:$C,ROW()-3)&amp;"")</f>
        <v/>
      </c>
      <c r="E177" s="30" t="str">
        <f>IF($A177="","",N(INDEX('PI Furnizor'!$D:$D,ROW()-3)))</f>
        <v/>
      </c>
      <c r="F177" s="31" t="str">
        <f>IF(ISNUMBER($X177),INDEX(Comenzi!$G:$G,$X177),"")</f>
        <v/>
      </c>
      <c r="G177" s="32" t="str">
        <f>IF($A177="","",N(INDEX('PI Furnizor'!$E:$E,ROW()-3)))</f>
        <v/>
      </c>
      <c r="H177" s="33" t="str">
        <f t="shared" si="26"/>
        <v/>
      </c>
      <c r="I177" s="34" t="str">
        <f>IF($Y177&lt;&gt;1,"",IFERROR($AE177/INDEX(Comenzi!$AN:$AN,$X177),0))</f>
        <v/>
      </c>
      <c r="J177" s="33" t="str">
        <f>IF($Y177&lt;&gt;1,"",INDEX(Comenzi!$AG:$AG,$X177)*$I177/$E177)</f>
        <v/>
      </c>
      <c r="K177" s="33" t="str">
        <f t="shared" si="27"/>
        <v/>
      </c>
      <c r="L177" s="33" t="str">
        <f>IF($Y177&lt;&gt;1,"",$K177*$AD177+INDEX(Comenzi!$AJ:$AJ,$X177)*$I177/$E177)</f>
        <v/>
      </c>
      <c r="M177" s="33" t="str">
        <f t="shared" si="28"/>
        <v/>
      </c>
      <c r="N177" s="33" t="str">
        <f t="shared" si="29"/>
        <v/>
      </c>
      <c r="O177" s="33" t="str">
        <f>IF($Y177&lt;&gt;1,"",(INDEX(Comenzi!$AK:$AK,$X177)+N(INDEX(Comenzi!$T:$T,$X177)))*$I177/$E177)</f>
        <v/>
      </c>
      <c r="P177" s="35" t="str">
        <f t="shared" si="30"/>
        <v/>
      </c>
      <c r="Q177" s="36" t="str">
        <f t="shared" si="31"/>
        <v/>
      </c>
      <c r="R177" s="37" t="str">
        <f t="shared" si="32"/>
        <v/>
      </c>
      <c r="S177" s="38" t="str">
        <f t="shared" si="33"/>
        <v/>
      </c>
      <c r="T177" s="39" t="str">
        <f t="shared" si="34"/>
        <v/>
      </c>
      <c r="U177" s="40" t="str">
        <f t="shared" si="35"/>
        <v/>
      </c>
      <c r="V177" s="33" t="str">
        <f t="shared" si="36"/>
        <v/>
      </c>
      <c r="W177" s="33" t="str">
        <f t="shared" si="37"/>
        <v/>
      </c>
      <c r="X177" s="41" t="str">
        <f>IF($A177="","",IFERROR(MATCH($A177,Comenzi!$A$9:$A$108,0)+8,""))</f>
        <v/>
      </c>
      <c r="Y177" s="41" t="str">
        <f t="shared" si="38"/>
        <v/>
      </c>
      <c r="Z177" s="42" t="str">
        <f>IF($A177="","",IF($A177="?","Lipseste ID-ul comenzii (col. A din PI Furnizor)",IF(NOT(ISNUMBER($X177)),"ID comanda negasit in foaia Comenzi",IF(N($E177)&lt;=0,"Lipseste cantitatea",IF(N($G177)=0,"Pret unitar lipsa",IF($Y177&lt;&gt;1,"Curs sau moneda marfa lipsa (foaia Comenzi)",IF(INDEX(Comenzi!$AT:$AT,$X177)&lt;&gt;"OK","Avertisment comanda: "&amp;INDEX(Comenzi!$AT:$AT,$X177),"OK")))))))</f>
        <v/>
      </c>
      <c r="AA177" s="43" t="str">
        <f>IF(ISNUMBER($X177),INDEX(Comenzi!$H:$H,$X177),"")</f>
        <v/>
      </c>
      <c r="AB177" s="43" t="str">
        <f>IF(ISNUMBER($X177),INDEX(Comenzi!$I:$I,$X177),"")</f>
        <v/>
      </c>
      <c r="AC177" s="44" t="str">
        <f>IF(ISNUMBER($X177),IF(INDEX(Comenzi!$V:$V,$X177)="",Comenzi!$D$3,INDEX(Comenzi!$V:$V,$X177)),"")</f>
        <v/>
      </c>
      <c r="AD177" s="44" t="str">
        <f>IF(ISNUMBER($X177),IF(INDEX(Comenzi!$U:$U,$X177)="",Comenzi!$D$4,INDEX(Comenzi!$U:$U,$X177)),"")</f>
        <v/>
      </c>
      <c r="AE177" s="45" t="str">
        <f>IF($Y177&lt;&gt;1,"",IF(INDEX(Comenzi!$AM:$AM,$X177)="Greutate",INDEX('PI Furnizor'!$O:$O,ROW()-3),IF(INDEX(Comenzi!$AM:$AM,$X177)="Volum (CBM)",INDEX('PI Furnizor'!$Q:$Q,ROW()-3),IF(INDEX(Comenzi!$AM:$AM,$X177)="Valoare marfa",INDEX('PI Furnizor'!$N:$N,ROW()-3),$E177))))</f>
        <v/>
      </c>
    </row>
    <row r="178" spans="1:31" x14ac:dyDescent="0.3">
      <c r="A178" s="28" t="str">
        <f>IF(COUNTA(INDEX('PI Furnizor'!$A:$E,ROW()-3,0))=0,"",IF(INDEX('PI Furnizor'!$A:$A,ROW()-3)="","?",INDEX('PI Furnizor'!$A:$A,ROW()-3)))</f>
        <v/>
      </c>
      <c r="B178" s="29" t="str">
        <f>IF(ISNUMBER($X178),INDEX(Comenzi!$B:$B,$X178),"")</f>
        <v/>
      </c>
      <c r="C178" s="28" t="str">
        <f>IF($A178="","",INDEX('PI Furnizor'!$B:$B,ROW()-3)&amp;"")</f>
        <v/>
      </c>
      <c r="D178" s="28" t="str">
        <f>IF($A178="","",INDEX('PI Furnizor'!$C:$C,ROW()-3)&amp;"")</f>
        <v/>
      </c>
      <c r="E178" s="30" t="str">
        <f>IF($A178="","",N(INDEX('PI Furnizor'!$D:$D,ROW()-3)))</f>
        <v/>
      </c>
      <c r="F178" s="31" t="str">
        <f>IF(ISNUMBER($X178),INDEX(Comenzi!$G:$G,$X178),"")</f>
        <v/>
      </c>
      <c r="G178" s="32" t="str">
        <f>IF($A178="","",N(INDEX('PI Furnizor'!$E:$E,ROW()-3)))</f>
        <v/>
      </c>
      <c r="H178" s="33" t="str">
        <f t="shared" si="26"/>
        <v/>
      </c>
      <c r="I178" s="34" t="str">
        <f>IF($Y178&lt;&gt;1,"",IFERROR($AE178/INDEX(Comenzi!$AN:$AN,$X178),0))</f>
        <v/>
      </c>
      <c r="J178" s="33" t="str">
        <f>IF($Y178&lt;&gt;1,"",INDEX(Comenzi!$AG:$AG,$X178)*$I178/$E178)</f>
        <v/>
      </c>
      <c r="K178" s="33" t="str">
        <f t="shared" si="27"/>
        <v/>
      </c>
      <c r="L178" s="33" t="str">
        <f>IF($Y178&lt;&gt;1,"",$K178*$AD178+INDEX(Comenzi!$AJ:$AJ,$X178)*$I178/$E178)</f>
        <v/>
      </c>
      <c r="M178" s="33" t="str">
        <f t="shared" si="28"/>
        <v/>
      </c>
      <c r="N178" s="33" t="str">
        <f t="shared" si="29"/>
        <v/>
      </c>
      <c r="O178" s="33" t="str">
        <f>IF($Y178&lt;&gt;1,"",(INDEX(Comenzi!$AK:$AK,$X178)+N(INDEX(Comenzi!$T:$T,$X178)))*$I178/$E178)</f>
        <v/>
      </c>
      <c r="P178" s="35" t="str">
        <f t="shared" si="30"/>
        <v/>
      </c>
      <c r="Q178" s="36" t="str">
        <f t="shared" si="31"/>
        <v/>
      </c>
      <c r="R178" s="37" t="str">
        <f t="shared" si="32"/>
        <v/>
      </c>
      <c r="S178" s="38" t="str">
        <f t="shared" si="33"/>
        <v/>
      </c>
      <c r="T178" s="39" t="str">
        <f t="shared" si="34"/>
        <v/>
      </c>
      <c r="U178" s="40" t="str">
        <f t="shared" si="35"/>
        <v/>
      </c>
      <c r="V178" s="33" t="str">
        <f t="shared" si="36"/>
        <v/>
      </c>
      <c r="W178" s="33" t="str">
        <f t="shared" si="37"/>
        <v/>
      </c>
      <c r="X178" s="41" t="str">
        <f>IF($A178="","",IFERROR(MATCH($A178,Comenzi!$A$9:$A$108,0)+8,""))</f>
        <v/>
      </c>
      <c r="Y178" s="41" t="str">
        <f t="shared" si="38"/>
        <v/>
      </c>
      <c r="Z178" s="42" t="str">
        <f>IF($A178="","",IF($A178="?","Lipseste ID-ul comenzii (col. A din PI Furnizor)",IF(NOT(ISNUMBER($X178)),"ID comanda negasit in foaia Comenzi",IF(N($E178)&lt;=0,"Lipseste cantitatea",IF(N($G178)=0,"Pret unitar lipsa",IF($Y178&lt;&gt;1,"Curs sau moneda marfa lipsa (foaia Comenzi)",IF(INDEX(Comenzi!$AT:$AT,$X178)&lt;&gt;"OK","Avertisment comanda: "&amp;INDEX(Comenzi!$AT:$AT,$X178),"OK")))))))</f>
        <v/>
      </c>
      <c r="AA178" s="43" t="str">
        <f>IF(ISNUMBER($X178),INDEX(Comenzi!$H:$H,$X178),"")</f>
        <v/>
      </c>
      <c r="AB178" s="43" t="str">
        <f>IF(ISNUMBER($X178),INDEX(Comenzi!$I:$I,$X178),"")</f>
        <v/>
      </c>
      <c r="AC178" s="44" t="str">
        <f>IF(ISNUMBER($X178),IF(INDEX(Comenzi!$V:$V,$X178)="",Comenzi!$D$3,INDEX(Comenzi!$V:$V,$X178)),"")</f>
        <v/>
      </c>
      <c r="AD178" s="44" t="str">
        <f>IF(ISNUMBER($X178),IF(INDEX(Comenzi!$U:$U,$X178)="",Comenzi!$D$4,INDEX(Comenzi!$U:$U,$X178)),"")</f>
        <v/>
      </c>
      <c r="AE178" s="45" t="str">
        <f>IF($Y178&lt;&gt;1,"",IF(INDEX(Comenzi!$AM:$AM,$X178)="Greutate",INDEX('PI Furnizor'!$O:$O,ROW()-3),IF(INDEX(Comenzi!$AM:$AM,$X178)="Volum (CBM)",INDEX('PI Furnizor'!$Q:$Q,ROW()-3),IF(INDEX(Comenzi!$AM:$AM,$X178)="Valoare marfa",INDEX('PI Furnizor'!$N:$N,ROW()-3),$E178))))</f>
        <v/>
      </c>
    </row>
    <row r="179" spans="1:31" x14ac:dyDescent="0.3">
      <c r="A179" s="28" t="str">
        <f>IF(COUNTA(INDEX('PI Furnizor'!$A:$E,ROW()-3,0))=0,"",IF(INDEX('PI Furnizor'!$A:$A,ROW()-3)="","?",INDEX('PI Furnizor'!$A:$A,ROW()-3)))</f>
        <v/>
      </c>
      <c r="B179" s="29" t="str">
        <f>IF(ISNUMBER($X179),INDEX(Comenzi!$B:$B,$X179),"")</f>
        <v/>
      </c>
      <c r="C179" s="28" t="str">
        <f>IF($A179="","",INDEX('PI Furnizor'!$B:$B,ROW()-3)&amp;"")</f>
        <v/>
      </c>
      <c r="D179" s="28" t="str">
        <f>IF($A179="","",INDEX('PI Furnizor'!$C:$C,ROW()-3)&amp;"")</f>
        <v/>
      </c>
      <c r="E179" s="30" t="str">
        <f>IF($A179="","",N(INDEX('PI Furnizor'!$D:$D,ROW()-3)))</f>
        <v/>
      </c>
      <c r="F179" s="31" t="str">
        <f>IF(ISNUMBER($X179),INDEX(Comenzi!$G:$G,$X179),"")</f>
        <v/>
      </c>
      <c r="G179" s="32" t="str">
        <f>IF($A179="","",N(INDEX('PI Furnizor'!$E:$E,ROW()-3)))</f>
        <v/>
      </c>
      <c r="H179" s="33" t="str">
        <f t="shared" si="26"/>
        <v/>
      </c>
      <c r="I179" s="34" t="str">
        <f>IF($Y179&lt;&gt;1,"",IFERROR($AE179/INDEX(Comenzi!$AN:$AN,$X179),0))</f>
        <v/>
      </c>
      <c r="J179" s="33" t="str">
        <f>IF($Y179&lt;&gt;1,"",INDEX(Comenzi!$AG:$AG,$X179)*$I179/$E179)</f>
        <v/>
      </c>
      <c r="K179" s="33" t="str">
        <f t="shared" si="27"/>
        <v/>
      </c>
      <c r="L179" s="33" t="str">
        <f>IF($Y179&lt;&gt;1,"",$K179*$AD179+INDEX(Comenzi!$AJ:$AJ,$X179)*$I179/$E179)</f>
        <v/>
      </c>
      <c r="M179" s="33" t="str">
        <f t="shared" si="28"/>
        <v/>
      </c>
      <c r="N179" s="33" t="str">
        <f t="shared" si="29"/>
        <v/>
      </c>
      <c r="O179" s="33" t="str">
        <f>IF($Y179&lt;&gt;1,"",(INDEX(Comenzi!$AK:$AK,$X179)+N(INDEX(Comenzi!$T:$T,$X179)))*$I179/$E179)</f>
        <v/>
      </c>
      <c r="P179" s="35" t="str">
        <f t="shared" si="30"/>
        <v/>
      </c>
      <c r="Q179" s="36" t="str">
        <f t="shared" si="31"/>
        <v/>
      </c>
      <c r="R179" s="37" t="str">
        <f t="shared" si="32"/>
        <v/>
      </c>
      <c r="S179" s="38" t="str">
        <f t="shared" si="33"/>
        <v/>
      </c>
      <c r="T179" s="39" t="str">
        <f t="shared" si="34"/>
        <v/>
      </c>
      <c r="U179" s="40" t="str">
        <f t="shared" si="35"/>
        <v/>
      </c>
      <c r="V179" s="33" t="str">
        <f t="shared" si="36"/>
        <v/>
      </c>
      <c r="W179" s="33" t="str">
        <f t="shared" si="37"/>
        <v/>
      </c>
      <c r="X179" s="41" t="str">
        <f>IF($A179="","",IFERROR(MATCH($A179,Comenzi!$A$9:$A$108,0)+8,""))</f>
        <v/>
      </c>
      <c r="Y179" s="41" t="str">
        <f t="shared" si="38"/>
        <v/>
      </c>
      <c r="Z179" s="42" t="str">
        <f>IF($A179="","",IF($A179="?","Lipseste ID-ul comenzii (col. A din PI Furnizor)",IF(NOT(ISNUMBER($X179)),"ID comanda negasit in foaia Comenzi",IF(N($E179)&lt;=0,"Lipseste cantitatea",IF(N($G179)=0,"Pret unitar lipsa",IF($Y179&lt;&gt;1,"Curs sau moneda marfa lipsa (foaia Comenzi)",IF(INDEX(Comenzi!$AT:$AT,$X179)&lt;&gt;"OK","Avertisment comanda: "&amp;INDEX(Comenzi!$AT:$AT,$X179),"OK")))))))</f>
        <v/>
      </c>
      <c r="AA179" s="43" t="str">
        <f>IF(ISNUMBER($X179),INDEX(Comenzi!$H:$H,$X179),"")</f>
        <v/>
      </c>
      <c r="AB179" s="43" t="str">
        <f>IF(ISNUMBER($X179),INDEX(Comenzi!$I:$I,$X179),"")</f>
        <v/>
      </c>
      <c r="AC179" s="44" t="str">
        <f>IF(ISNUMBER($X179),IF(INDEX(Comenzi!$V:$V,$X179)="",Comenzi!$D$3,INDEX(Comenzi!$V:$V,$X179)),"")</f>
        <v/>
      </c>
      <c r="AD179" s="44" t="str">
        <f>IF(ISNUMBER($X179),IF(INDEX(Comenzi!$U:$U,$X179)="",Comenzi!$D$4,INDEX(Comenzi!$U:$U,$X179)),"")</f>
        <v/>
      </c>
      <c r="AE179" s="45" t="str">
        <f>IF($Y179&lt;&gt;1,"",IF(INDEX(Comenzi!$AM:$AM,$X179)="Greutate",INDEX('PI Furnizor'!$O:$O,ROW()-3),IF(INDEX(Comenzi!$AM:$AM,$X179)="Volum (CBM)",INDEX('PI Furnizor'!$Q:$Q,ROW()-3),IF(INDEX(Comenzi!$AM:$AM,$X179)="Valoare marfa",INDEX('PI Furnizor'!$N:$N,ROW()-3),$E179))))</f>
        <v/>
      </c>
    </row>
    <row r="180" spans="1:31" x14ac:dyDescent="0.3">
      <c r="A180" s="28" t="str">
        <f>IF(COUNTA(INDEX('PI Furnizor'!$A:$E,ROW()-3,0))=0,"",IF(INDEX('PI Furnizor'!$A:$A,ROW()-3)="","?",INDEX('PI Furnizor'!$A:$A,ROW()-3)))</f>
        <v/>
      </c>
      <c r="B180" s="29" t="str">
        <f>IF(ISNUMBER($X180),INDEX(Comenzi!$B:$B,$X180),"")</f>
        <v/>
      </c>
      <c r="C180" s="28" t="str">
        <f>IF($A180="","",INDEX('PI Furnizor'!$B:$B,ROW()-3)&amp;"")</f>
        <v/>
      </c>
      <c r="D180" s="28" t="str">
        <f>IF($A180="","",INDEX('PI Furnizor'!$C:$C,ROW()-3)&amp;"")</f>
        <v/>
      </c>
      <c r="E180" s="30" t="str">
        <f>IF($A180="","",N(INDEX('PI Furnizor'!$D:$D,ROW()-3)))</f>
        <v/>
      </c>
      <c r="F180" s="31" t="str">
        <f>IF(ISNUMBER($X180),INDEX(Comenzi!$G:$G,$X180),"")</f>
        <v/>
      </c>
      <c r="G180" s="32" t="str">
        <f>IF($A180="","",N(INDEX('PI Furnizor'!$E:$E,ROW()-3)))</f>
        <v/>
      </c>
      <c r="H180" s="33" t="str">
        <f t="shared" si="26"/>
        <v/>
      </c>
      <c r="I180" s="34" t="str">
        <f>IF($Y180&lt;&gt;1,"",IFERROR($AE180/INDEX(Comenzi!$AN:$AN,$X180),0))</f>
        <v/>
      </c>
      <c r="J180" s="33" t="str">
        <f>IF($Y180&lt;&gt;1,"",INDEX(Comenzi!$AG:$AG,$X180)*$I180/$E180)</f>
        <v/>
      </c>
      <c r="K180" s="33" t="str">
        <f t="shared" si="27"/>
        <v/>
      </c>
      <c r="L180" s="33" t="str">
        <f>IF($Y180&lt;&gt;1,"",$K180*$AD180+INDEX(Comenzi!$AJ:$AJ,$X180)*$I180/$E180)</f>
        <v/>
      </c>
      <c r="M180" s="33" t="str">
        <f t="shared" si="28"/>
        <v/>
      </c>
      <c r="N180" s="33" t="str">
        <f t="shared" si="29"/>
        <v/>
      </c>
      <c r="O180" s="33" t="str">
        <f>IF($Y180&lt;&gt;1,"",(INDEX(Comenzi!$AK:$AK,$X180)+N(INDEX(Comenzi!$T:$T,$X180)))*$I180/$E180)</f>
        <v/>
      </c>
      <c r="P180" s="35" t="str">
        <f t="shared" si="30"/>
        <v/>
      </c>
      <c r="Q180" s="36" t="str">
        <f t="shared" si="31"/>
        <v/>
      </c>
      <c r="R180" s="37" t="str">
        <f t="shared" si="32"/>
        <v/>
      </c>
      <c r="S180" s="38" t="str">
        <f t="shared" si="33"/>
        <v/>
      </c>
      <c r="T180" s="39" t="str">
        <f t="shared" si="34"/>
        <v/>
      </c>
      <c r="U180" s="40" t="str">
        <f t="shared" si="35"/>
        <v/>
      </c>
      <c r="V180" s="33" t="str">
        <f t="shared" si="36"/>
        <v/>
      </c>
      <c r="W180" s="33" t="str">
        <f t="shared" si="37"/>
        <v/>
      </c>
      <c r="X180" s="41" t="str">
        <f>IF($A180="","",IFERROR(MATCH($A180,Comenzi!$A$9:$A$108,0)+8,""))</f>
        <v/>
      </c>
      <c r="Y180" s="41" t="str">
        <f t="shared" si="38"/>
        <v/>
      </c>
      <c r="Z180" s="42" t="str">
        <f>IF($A180="","",IF($A180="?","Lipseste ID-ul comenzii (col. A din PI Furnizor)",IF(NOT(ISNUMBER($X180)),"ID comanda negasit in foaia Comenzi",IF(N($E180)&lt;=0,"Lipseste cantitatea",IF(N($G180)=0,"Pret unitar lipsa",IF($Y180&lt;&gt;1,"Curs sau moneda marfa lipsa (foaia Comenzi)",IF(INDEX(Comenzi!$AT:$AT,$X180)&lt;&gt;"OK","Avertisment comanda: "&amp;INDEX(Comenzi!$AT:$AT,$X180),"OK")))))))</f>
        <v/>
      </c>
      <c r="AA180" s="43" t="str">
        <f>IF(ISNUMBER($X180),INDEX(Comenzi!$H:$H,$X180),"")</f>
        <v/>
      </c>
      <c r="AB180" s="43" t="str">
        <f>IF(ISNUMBER($X180),INDEX(Comenzi!$I:$I,$X180),"")</f>
        <v/>
      </c>
      <c r="AC180" s="44" t="str">
        <f>IF(ISNUMBER($X180),IF(INDEX(Comenzi!$V:$V,$X180)="",Comenzi!$D$3,INDEX(Comenzi!$V:$V,$X180)),"")</f>
        <v/>
      </c>
      <c r="AD180" s="44" t="str">
        <f>IF(ISNUMBER($X180),IF(INDEX(Comenzi!$U:$U,$X180)="",Comenzi!$D$4,INDEX(Comenzi!$U:$U,$X180)),"")</f>
        <v/>
      </c>
      <c r="AE180" s="45" t="str">
        <f>IF($Y180&lt;&gt;1,"",IF(INDEX(Comenzi!$AM:$AM,$X180)="Greutate",INDEX('PI Furnizor'!$O:$O,ROW()-3),IF(INDEX(Comenzi!$AM:$AM,$X180)="Volum (CBM)",INDEX('PI Furnizor'!$Q:$Q,ROW()-3),IF(INDEX(Comenzi!$AM:$AM,$X180)="Valoare marfa",INDEX('PI Furnizor'!$N:$N,ROW()-3),$E180))))</f>
        <v/>
      </c>
    </row>
    <row r="181" spans="1:31" x14ac:dyDescent="0.3">
      <c r="A181" s="28" t="str">
        <f>IF(COUNTA(INDEX('PI Furnizor'!$A:$E,ROW()-3,0))=0,"",IF(INDEX('PI Furnizor'!$A:$A,ROW()-3)="","?",INDEX('PI Furnizor'!$A:$A,ROW()-3)))</f>
        <v/>
      </c>
      <c r="B181" s="29" t="str">
        <f>IF(ISNUMBER($X181),INDEX(Comenzi!$B:$B,$X181),"")</f>
        <v/>
      </c>
      <c r="C181" s="28" t="str">
        <f>IF($A181="","",INDEX('PI Furnizor'!$B:$B,ROW()-3)&amp;"")</f>
        <v/>
      </c>
      <c r="D181" s="28" t="str">
        <f>IF($A181="","",INDEX('PI Furnizor'!$C:$C,ROW()-3)&amp;"")</f>
        <v/>
      </c>
      <c r="E181" s="30" t="str">
        <f>IF($A181="","",N(INDEX('PI Furnizor'!$D:$D,ROW()-3)))</f>
        <v/>
      </c>
      <c r="F181" s="31" t="str">
        <f>IF(ISNUMBER($X181),INDEX(Comenzi!$G:$G,$X181),"")</f>
        <v/>
      </c>
      <c r="G181" s="32" t="str">
        <f>IF($A181="","",N(INDEX('PI Furnizor'!$E:$E,ROW()-3)))</f>
        <v/>
      </c>
      <c r="H181" s="33" t="str">
        <f t="shared" si="26"/>
        <v/>
      </c>
      <c r="I181" s="34" t="str">
        <f>IF($Y181&lt;&gt;1,"",IFERROR($AE181/INDEX(Comenzi!$AN:$AN,$X181),0))</f>
        <v/>
      </c>
      <c r="J181" s="33" t="str">
        <f>IF($Y181&lt;&gt;1,"",INDEX(Comenzi!$AG:$AG,$X181)*$I181/$E181)</f>
        <v/>
      </c>
      <c r="K181" s="33" t="str">
        <f t="shared" si="27"/>
        <v/>
      </c>
      <c r="L181" s="33" t="str">
        <f>IF($Y181&lt;&gt;1,"",$K181*$AD181+INDEX(Comenzi!$AJ:$AJ,$X181)*$I181/$E181)</f>
        <v/>
      </c>
      <c r="M181" s="33" t="str">
        <f t="shared" si="28"/>
        <v/>
      </c>
      <c r="N181" s="33" t="str">
        <f t="shared" si="29"/>
        <v/>
      </c>
      <c r="O181" s="33" t="str">
        <f>IF($Y181&lt;&gt;1,"",(INDEX(Comenzi!$AK:$AK,$X181)+N(INDEX(Comenzi!$T:$T,$X181)))*$I181/$E181)</f>
        <v/>
      </c>
      <c r="P181" s="35" t="str">
        <f t="shared" si="30"/>
        <v/>
      </c>
      <c r="Q181" s="36" t="str">
        <f t="shared" si="31"/>
        <v/>
      </c>
      <c r="R181" s="37" t="str">
        <f t="shared" si="32"/>
        <v/>
      </c>
      <c r="S181" s="38" t="str">
        <f t="shared" si="33"/>
        <v/>
      </c>
      <c r="T181" s="39" t="str">
        <f t="shared" si="34"/>
        <v/>
      </c>
      <c r="U181" s="40" t="str">
        <f t="shared" si="35"/>
        <v/>
      </c>
      <c r="V181" s="33" t="str">
        <f t="shared" si="36"/>
        <v/>
      </c>
      <c r="W181" s="33" t="str">
        <f t="shared" si="37"/>
        <v/>
      </c>
      <c r="X181" s="41" t="str">
        <f>IF($A181="","",IFERROR(MATCH($A181,Comenzi!$A$9:$A$108,0)+8,""))</f>
        <v/>
      </c>
      <c r="Y181" s="41" t="str">
        <f t="shared" si="38"/>
        <v/>
      </c>
      <c r="Z181" s="42" t="str">
        <f>IF($A181="","",IF($A181="?","Lipseste ID-ul comenzii (col. A din PI Furnizor)",IF(NOT(ISNUMBER($X181)),"ID comanda negasit in foaia Comenzi",IF(N($E181)&lt;=0,"Lipseste cantitatea",IF(N($G181)=0,"Pret unitar lipsa",IF($Y181&lt;&gt;1,"Curs sau moneda marfa lipsa (foaia Comenzi)",IF(INDEX(Comenzi!$AT:$AT,$X181)&lt;&gt;"OK","Avertisment comanda: "&amp;INDEX(Comenzi!$AT:$AT,$X181),"OK")))))))</f>
        <v/>
      </c>
      <c r="AA181" s="43" t="str">
        <f>IF(ISNUMBER($X181),INDEX(Comenzi!$H:$H,$X181),"")</f>
        <v/>
      </c>
      <c r="AB181" s="43" t="str">
        <f>IF(ISNUMBER($X181),INDEX(Comenzi!$I:$I,$X181),"")</f>
        <v/>
      </c>
      <c r="AC181" s="44" t="str">
        <f>IF(ISNUMBER($X181),IF(INDEX(Comenzi!$V:$V,$X181)="",Comenzi!$D$3,INDEX(Comenzi!$V:$V,$X181)),"")</f>
        <v/>
      </c>
      <c r="AD181" s="44" t="str">
        <f>IF(ISNUMBER($X181),IF(INDEX(Comenzi!$U:$U,$X181)="",Comenzi!$D$4,INDEX(Comenzi!$U:$U,$X181)),"")</f>
        <v/>
      </c>
      <c r="AE181" s="45" t="str">
        <f>IF($Y181&lt;&gt;1,"",IF(INDEX(Comenzi!$AM:$AM,$X181)="Greutate",INDEX('PI Furnizor'!$O:$O,ROW()-3),IF(INDEX(Comenzi!$AM:$AM,$X181)="Volum (CBM)",INDEX('PI Furnizor'!$Q:$Q,ROW()-3),IF(INDEX(Comenzi!$AM:$AM,$X181)="Valoare marfa",INDEX('PI Furnizor'!$N:$N,ROW()-3),$E181))))</f>
        <v/>
      </c>
    </row>
    <row r="182" spans="1:31" x14ac:dyDescent="0.3">
      <c r="A182" s="28" t="str">
        <f>IF(COUNTA(INDEX('PI Furnizor'!$A:$E,ROW()-3,0))=0,"",IF(INDEX('PI Furnizor'!$A:$A,ROW()-3)="","?",INDEX('PI Furnizor'!$A:$A,ROW()-3)))</f>
        <v/>
      </c>
      <c r="B182" s="29" t="str">
        <f>IF(ISNUMBER($X182),INDEX(Comenzi!$B:$B,$X182),"")</f>
        <v/>
      </c>
      <c r="C182" s="28" t="str">
        <f>IF($A182="","",INDEX('PI Furnizor'!$B:$B,ROW()-3)&amp;"")</f>
        <v/>
      </c>
      <c r="D182" s="28" t="str">
        <f>IF($A182="","",INDEX('PI Furnizor'!$C:$C,ROW()-3)&amp;"")</f>
        <v/>
      </c>
      <c r="E182" s="30" t="str">
        <f>IF($A182="","",N(INDEX('PI Furnizor'!$D:$D,ROW()-3)))</f>
        <v/>
      </c>
      <c r="F182" s="31" t="str">
        <f>IF(ISNUMBER($X182),INDEX(Comenzi!$G:$G,$X182),"")</f>
        <v/>
      </c>
      <c r="G182" s="32" t="str">
        <f>IF($A182="","",N(INDEX('PI Furnizor'!$E:$E,ROW()-3)))</f>
        <v/>
      </c>
      <c r="H182" s="33" t="str">
        <f t="shared" si="26"/>
        <v/>
      </c>
      <c r="I182" s="34" t="str">
        <f>IF($Y182&lt;&gt;1,"",IFERROR($AE182/INDEX(Comenzi!$AN:$AN,$X182),0))</f>
        <v/>
      </c>
      <c r="J182" s="33" t="str">
        <f>IF($Y182&lt;&gt;1,"",INDEX(Comenzi!$AG:$AG,$X182)*$I182/$E182)</f>
        <v/>
      </c>
      <c r="K182" s="33" t="str">
        <f t="shared" si="27"/>
        <v/>
      </c>
      <c r="L182" s="33" t="str">
        <f>IF($Y182&lt;&gt;1,"",$K182*$AD182+INDEX(Comenzi!$AJ:$AJ,$X182)*$I182/$E182)</f>
        <v/>
      </c>
      <c r="M182" s="33" t="str">
        <f t="shared" si="28"/>
        <v/>
      </c>
      <c r="N182" s="33" t="str">
        <f t="shared" si="29"/>
        <v/>
      </c>
      <c r="O182" s="33" t="str">
        <f>IF($Y182&lt;&gt;1,"",(INDEX(Comenzi!$AK:$AK,$X182)+N(INDEX(Comenzi!$T:$T,$X182)))*$I182/$E182)</f>
        <v/>
      </c>
      <c r="P182" s="35" t="str">
        <f t="shared" si="30"/>
        <v/>
      </c>
      <c r="Q182" s="36" t="str">
        <f t="shared" si="31"/>
        <v/>
      </c>
      <c r="R182" s="37" t="str">
        <f t="shared" si="32"/>
        <v/>
      </c>
      <c r="S182" s="38" t="str">
        <f t="shared" si="33"/>
        <v/>
      </c>
      <c r="T182" s="39" t="str">
        <f t="shared" si="34"/>
        <v/>
      </c>
      <c r="U182" s="40" t="str">
        <f t="shared" si="35"/>
        <v/>
      </c>
      <c r="V182" s="33" t="str">
        <f t="shared" si="36"/>
        <v/>
      </c>
      <c r="W182" s="33" t="str">
        <f t="shared" si="37"/>
        <v/>
      </c>
      <c r="X182" s="41" t="str">
        <f>IF($A182="","",IFERROR(MATCH($A182,Comenzi!$A$9:$A$108,0)+8,""))</f>
        <v/>
      </c>
      <c r="Y182" s="41" t="str">
        <f t="shared" si="38"/>
        <v/>
      </c>
      <c r="Z182" s="42" t="str">
        <f>IF($A182="","",IF($A182="?","Lipseste ID-ul comenzii (col. A din PI Furnizor)",IF(NOT(ISNUMBER($X182)),"ID comanda negasit in foaia Comenzi",IF(N($E182)&lt;=0,"Lipseste cantitatea",IF(N($G182)=0,"Pret unitar lipsa",IF($Y182&lt;&gt;1,"Curs sau moneda marfa lipsa (foaia Comenzi)",IF(INDEX(Comenzi!$AT:$AT,$X182)&lt;&gt;"OK","Avertisment comanda: "&amp;INDEX(Comenzi!$AT:$AT,$X182),"OK")))))))</f>
        <v/>
      </c>
      <c r="AA182" s="43" t="str">
        <f>IF(ISNUMBER($X182),INDEX(Comenzi!$H:$H,$X182),"")</f>
        <v/>
      </c>
      <c r="AB182" s="43" t="str">
        <f>IF(ISNUMBER($X182),INDEX(Comenzi!$I:$I,$X182),"")</f>
        <v/>
      </c>
      <c r="AC182" s="44" t="str">
        <f>IF(ISNUMBER($X182),IF(INDEX(Comenzi!$V:$V,$X182)="",Comenzi!$D$3,INDEX(Comenzi!$V:$V,$X182)),"")</f>
        <v/>
      </c>
      <c r="AD182" s="44" t="str">
        <f>IF(ISNUMBER($X182),IF(INDEX(Comenzi!$U:$U,$X182)="",Comenzi!$D$4,INDEX(Comenzi!$U:$U,$X182)),"")</f>
        <v/>
      </c>
      <c r="AE182" s="45" t="str">
        <f>IF($Y182&lt;&gt;1,"",IF(INDEX(Comenzi!$AM:$AM,$X182)="Greutate",INDEX('PI Furnizor'!$O:$O,ROW()-3),IF(INDEX(Comenzi!$AM:$AM,$X182)="Volum (CBM)",INDEX('PI Furnizor'!$Q:$Q,ROW()-3),IF(INDEX(Comenzi!$AM:$AM,$X182)="Valoare marfa",INDEX('PI Furnizor'!$N:$N,ROW()-3),$E182))))</f>
        <v/>
      </c>
    </row>
    <row r="183" spans="1:31" x14ac:dyDescent="0.3">
      <c r="A183" s="28" t="str">
        <f>IF(COUNTA(INDEX('PI Furnizor'!$A:$E,ROW()-3,0))=0,"",IF(INDEX('PI Furnizor'!$A:$A,ROW()-3)="","?",INDEX('PI Furnizor'!$A:$A,ROW()-3)))</f>
        <v/>
      </c>
      <c r="B183" s="29" t="str">
        <f>IF(ISNUMBER($X183),INDEX(Comenzi!$B:$B,$X183),"")</f>
        <v/>
      </c>
      <c r="C183" s="28" t="str">
        <f>IF($A183="","",INDEX('PI Furnizor'!$B:$B,ROW()-3)&amp;"")</f>
        <v/>
      </c>
      <c r="D183" s="28" t="str">
        <f>IF($A183="","",INDEX('PI Furnizor'!$C:$C,ROW()-3)&amp;"")</f>
        <v/>
      </c>
      <c r="E183" s="30" t="str">
        <f>IF($A183="","",N(INDEX('PI Furnizor'!$D:$D,ROW()-3)))</f>
        <v/>
      </c>
      <c r="F183" s="31" t="str">
        <f>IF(ISNUMBER($X183),INDEX(Comenzi!$G:$G,$X183),"")</f>
        <v/>
      </c>
      <c r="G183" s="32" t="str">
        <f>IF($A183="","",N(INDEX('PI Furnizor'!$E:$E,ROW()-3)))</f>
        <v/>
      </c>
      <c r="H183" s="33" t="str">
        <f t="shared" si="26"/>
        <v/>
      </c>
      <c r="I183" s="34" t="str">
        <f>IF($Y183&lt;&gt;1,"",IFERROR($AE183/INDEX(Comenzi!$AN:$AN,$X183),0))</f>
        <v/>
      </c>
      <c r="J183" s="33" t="str">
        <f>IF($Y183&lt;&gt;1,"",INDEX(Comenzi!$AG:$AG,$X183)*$I183/$E183)</f>
        <v/>
      </c>
      <c r="K183" s="33" t="str">
        <f t="shared" si="27"/>
        <v/>
      </c>
      <c r="L183" s="33" t="str">
        <f>IF($Y183&lt;&gt;1,"",$K183*$AD183+INDEX(Comenzi!$AJ:$AJ,$X183)*$I183/$E183)</f>
        <v/>
      </c>
      <c r="M183" s="33" t="str">
        <f t="shared" si="28"/>
        <v/>
      </c>
      <c r="N183" s="33" t="str">
        <f t="shared" si="29"/>
        <v/>
      </c>
      <c r="O183" s="33" t="str">
        <f>IF($Y183&lt;&gt;1,"",(INDEX(Comenzi!$AK:$AK,$X183)+N(INDEX(Comenzi!$T:$T,$X183)))*$I183/$E183)</f>
        <v/>
      </c>
      <c r="P183" s="35" t="str">
        <f t="shared" si="30"/>
        <v/>
      </c>
      <c r="Q183" s="36" t="str">
        <f t="shared" si="31"/>
        <v/>
      </c>
      <c r="R183" s="37" t="str">
        <f t="shared" si="32"/>
        <v/>
      </c>
      <c r="S183" s="38" t="str">
        <f t="shared" si="33"/>
        <v/>
      </c>
      <c r="T183" s="39" t="str">
        <f t="shared" si="34"/>
        <v/>
      </c>
      <c r="U183" s="40" t="str">
        <f t="shared" si="35"/>
        <v/>
      </c>
      <c r="V183" s="33" t="str">
        <f t="shared" si="36"/>
        <v/>
      </c>
      <c r="W183" s="33" t="str">
        <f t="shared" si="37"/>
        <v/>
      </c>
      <c r="X183" s="41" t="str">
        <f>IF($A183="","",IFERROR(MATCH($A183,Comenzi!$A$9:$A$108,0)+8,""))</f>
        <v/>
      </c>
      <c r="Y183" s="41" t="str">
        <f t="shared" si="38"/>
        <v/>
      </c>
      <c r="Z183" s="42" t="str">
        <f>IF($A183="","",IF($A183="?","Lipseste ID-ul comenzii (col. A din PI Furnizor)",IF(NOT(ISNUMBER($X183)),"ID comanda negasit in foaia Comenzi",IF(N($E183)&lt;=0,"Lipseste cantitatea",IF(N($G183)=0,"Pret unitar lipsa",IF($Y183&lt;&gt;1,"Curs sau moneda marfa lipsa (foaia Comenzi)",IF(INDEX(Comenzi!$AT:$AT,$X183)&lt;&gt;"OK","Avertisment comanda: "&amp;INDEX(Comenzi!$AT:$AT,$X183),"OK")))))))</f>
        <v/>
      </c>
      <c r="AA183" s="43" t="str">
        <f>IF(ISNUMBER($X183),INDEX(Comenzi!$H:$H,$X183),"")</f>
        <v/>
      </c>
      <c r="AB183" s="43" t="str">
        <f>IF(ISNUMBER($X183),INDEX(Comenzi!$I:$I,$X183),"")</f>
        <v/>
      </c>
      <c r="AC183" s="44" t="str">
        <f>IF(ISNUMBER($X183),IF(INDEX(Comenzi!$V:$V,$X183)="",Comenzi!$D$3,INDEX(Comenzi!$V:$V,$X183)),"")</f>
        <v/>
      </c>
      <c r="AD183" s="44" t="str">
        <f>IF(ISNUMBER($X183),IF(INDEX(Comenzi!$U:$U,$X183)="",Comenzi!$D$4,INDEX(Comenzi!$U:$U,$X183)),"")</f>
        <v/>
      </c>
      <c r="AE183" s="45" t="str">
        <f>IF($Y183&lt;&gt;1,"",IF(INDEX(Comenzi!$AM:$AM,$X183)="Greutate",INDEX('PI Furnizor'!$O:$O,ROW()-3),IF(INDEX(Comenzi!$AM:$AM,$X183)="Volum (CBM)",INDEX('PI Furnizor'!$Q:$Q,ROW()-3),IF(INDEX(Comenzi!$AM:$AM,$X183)="Valoare marfa",INDEX('PI Furnizor'!$N:$N,ROW()-3),$E183))))</f>
        <v/>
      </c>
    </row>
    <row r="184" spans="1:31" x14ac:dyDescent="0.3">
      <c r="A184" s="28" t="str">
        <f>IF(COUNTA(INDEX('PI Furnizor'!$A:$E,ROW()-3,0))=0,"",IF(INDEX('PI Furnizor'!$A:$A,ROW()-3)="","?",INDEX('PI Furnizor'!$A:$A,ROW()-3)))</f>
        <v/>
      </c>
      <c r="B184" s="29" t="str">
        <f>IF(ISNUMBER($X184),INDEX(Comenzi!$B:$B,$X184),"")</f>
        <v/>
      </c>
      <c r="C184" s="28" t="str">
        <f>IF($A184="","",INDEX('PI Furnizor'!$B:$B,ROW()-3)&amp;"")</f>
        <v/>
      </c>
      <c r="D184" s="28" t="str">
        <f>IF($A184="","",INDEX('PI Furnizor'!$C:$C,ROW()-3)&amp;"")</f>
        <v/>
      </c>
      <c r="E184" s="30" t="str">
        <f>IF($A184="","",N(INDEX('PI Furnizor'!$D:$D,ROW()-3)))</f>
        <v/>
      </c>
      <c r="F184" s="31" t="str">
        <f>IF(ISNUMBER($X184),INDEX(Comenzi!$G:$G,$X184),"")</f>
        <v/>
      </c>
      <c r="G184" s="32" t="str">
        <f>IF($A184="","",N(INDEX('PI Furnizor'!$E:$E,ROW()-3)))</f>
        <v/>
      </c>
      <c r="H184" s="33" t="str">
        <f t="shared" si="26"/>
        <v/>
      </c>
      <c r="I184" s="34" t="str">
        <f>IF($Y184&lt;&gt;1,"",IFERROR($AE184/INDEX(Comenzi!$AN:$AN,$X184),0))</f>
        <v/>
      </c>
      <c r="J184" s="33" t="str">
        <f>IF($Y184&lt;&gt;1,"",INDEX(Comenzi!$AG:$AG,$X184)*$I184/$E184)</f>
        <v/>
      </c>
      <c r="K184" s="33" t="str">
        <f t="shared" si="27"/>
        <v/>
      </c>
      <c r="L184" s="33" t="str">
        <f>IF($Y184&lt;&gt;1,"",$K184*$AD184+INDEX(Comenzi!$AJ:$AJ,$X184)*$I184/$E184)</f>
        <v/>
      </c>
      <c r="M184" s="33" t="str">
        <f t="shared" si="28"/>
        <v/>
      </c>
      <c r="N184" s="33" t="str">
        <f t="shared" si="29"/>
        <v/>
      </c>
      <c r="O184" s="33" t="str">
        <f>IF($Y184&lt;&gt;1,"",(INDEX(Comenzi!$AK:$AK,$X184)+N(INDEX(Comenzi!$T:$T,$X184)))*$I184/$E184)</f>
        <v/>
      </c>
      <c r="P184" s="35" t="str">
        <f t="shared" si="30"/>
        <v/>
      </c>
      <c r="Q184" s="36" t="str">
        <f t="shared" si="31"/>
        <v/>
      </c>
      <c r="R184" s="37" t="str">
        <f t="shared" si="32"/>
        <v/>
      </c>
      <c r="S184" s="38" t="str">
        <f t="shared" si="33"/>
        <v/>
      </c>
      <c r="T184" s="39" t="str">
        <f t="shared" si="34"/>
        <v/>
      </c>
      <c r="U184" s="40" t="str">
        <f t="shared" si="35"/>
        <v/>
      </c>
      <c r="V184" s="33" t="str">
        <f t="shared" si="36"/>
        <v/>
      </c>
      <c r="W184" s="33" t="str">
        <f t="shared" si="37"/>
        <v/>
      </c>
      <c r="X184" s="41" t="str">
        <f>IF($A184="","",IFERROR(MATCH($A184,Comenzi!$A$9:$A$108,0)+8,""))</f>
        <v/>
      </c>
      <c r="Y184" s="41" t="str">
        <f t="shared" si="38"/>
        <v/>
      </c>
      <c r="Z184" s="42" t="str">
        <f>IF($A184="","",IF($A184="?","Lipseste ID-ul comenzii (col. A din PI Furnizor)",IF(NOT(ISNUMBER($X184)),"ID comanda negasit in foaia Comenzi",IF(N($E184)&lt;=0,"Lipseste cantitatea",IF(N($G184)=0,"Pret unitar lipsa",IF($Y184&lt;&gt;1,"Curs sau moneda marfa lipsa (foaia Comenzi)",IF(INDEX(Comenzi!$AT:$AT,$X184)&lt;&gt;"OK","Avertisment comanda: "&amp;INDEX(Comenzi!$AT:$AT,$X184),"OK")))))))</f>
        <v/>
      </c>
      <c r="AA184" s="43" t="str">
        <f>IF(ISNUMBER($X184),INDEX(Comenzi!$H:$H,$X184),"")</f>
        <v/>
      </c>
      <c r="AB184" s="43" t="str">
        <f>IF(ISNUMBER($X184),INDEX(Comenzi!$I:$I,$X184),"")</f>
        <v/>
      </c>
      <c r="AC184" s="44" t="str">
        <f>IF(ISNUMBER($X184),IF(INDEX(Comenzi!$V:$V,$X184)="",Comenzi!$D$3,INDEX(Comenzi!$V:$V,$X184)),"")</f>
        <v/>
      </c>
      <c r="AD184" s="44" t="str">
        <f>IF(ISNUMBER($X184),IF(INDEX(Comenzi!$U:$U,$X184)="",Comenzi!$D$4,INDEX(Comenzi!$U:$U,$X184)),"")</f>
        <v/>
      </c>
      <c r="AE184" s="45" t="str">
        <f>IF($Y184&lt;&gt;1,"",IF(INDEX(Comenzi!$AM:$AM,$X184)="Greutate",INDEX('PI Furnizor'!$O:$O,ROW()-3),IF(INDEX(Comenzi!$AM:$AM,$X184)="Volum (CBM)",INDEX('PI Furnizor'!$Q:$Q,ROW()-3),IF(INDEX(Comenzi!$AM:$AM,$X184)="Valoare marfa",INDEX('PI Furnizor'!$N:$N,ROW()-3),$E184))))</f>
        <v/>
      </c>
    </row>
    <row r="185" spans="1:31" x14ac:dyDescent="0.3">
      <c r="A185" s="28" t="str">
        <f>IF(COUNTA(INDEX('PI Furnizor'!$A:$E,ROW()-3,0))=0,"",IF(INDEX('PI Furnizor'!$A:$A,ROW()-3)="","?",INDEX('PI Furnizor'!$A:$A,ROW()-3)))</f>
        <v/>
      </c>
      <c r="B185" s="29" t="str">
        <f>IF(ISNUMBER($X185),INDEX(Comenzi!$B:$B,$X185),"")</f>
        <v/>
      </c>
      <c r="C185" s="28" t="str">
        <f>IF($A185="","",INDEX('PI Furnizor'!$B:$B,ROW()-3)&amp;"")</f>
        <v/>
      </c>
      <c r="D185" s="28" t="str">
        <f>IF($A185="","",INDEX('PI Furnizor'!$C:$C,ROW()-3)&amp;"")</f>
        <v/>
      </c>
      <c r="E185" s="30" t="str">
        <f>IF($A185="","",N(INDEX('PI Furnizor'!$D:$D,ROW()-3)))</f>
        <v/>
      </c>
      <c r="F185" s="31" t="str">
        <f>IF(ISNUMBER($X185),INDEX(Comenzi!$G:$G,$X185),"")</f>
        <v/>
      </c>
      <c r="G185" s="32" t="str">
        <f>IF($A185="","",N(INDEX('PI Furnizor'!$E:$E,ROW()-3)))</f>
        <v/>
      </c>
      <c r="H185" s="33" t="str">
        <f t="shared" si="26"/>
        <v/>
      </c>
      <c r="I185" s="34" t="str">
        <f>IF($Y185&lt;&gt;1,"",IFERROR($AE185/INDEX(Comenzi!$AN:$AN,$X185),0))</f>
        <v/>
      </c>
      <c r="J185" s="33" t="str">
        <f>IF($Y185&lt;&gt;1,"",INDEX(Comenzi!$AG:$AG,$X185)*$I185/$E185)</f>
        <v/>
      </c>
      <c r="K185" s="33" t="str">
        <f t="shared" si="27"/>
        <v/>
      </c>
      <c r="L185" s="33" t="str">
        <f>IF($Y185&lt;&gt;1,"",$K185*$AD185+INDEX(Comenzi!$AJ:$AJ,$X185)*$I185/$E185)</f>
        <v/>
      </c>
      <c r="M185" s="33" t="str">
        <f t="shared" si="28"/>
        <v/>
      </c>
      <c r="N185" s="33" t="str">
        <f t="shared" si="29"/>
        <v/>
      </c>
      <c r="O185" s="33" t="str">
        <f>IF($Y185&lt;&gt;1,"",(INDEX(Comenzi!$AK:$AK,$X185)+N(INDEX(Comenzi!$T:$T,$X185)))*$I185/$E185)</f>
        <v/>
      </c>
      <c r="P185" s="35" t="str">
        <f t="shared" si="30"/>
        <v/>
      </c>
      <c r="Q185" s="36" t="str">
        <f t="shared" si="31"/>
        <v/>
      </c>
      <c r="R185" s="37" t="str">
        <f t="shared" si="32"/>
        <v/>
      </c>
      <c r="S185" s="38" t="str">
        <f t="shared" si="33"/>
        <v/>
      </c>
      <c r="T185" s="39" t="str">
        <f t="shared" si="34"/>
        <v/>
      </c>
      <c r="U185" s="40" t="str">
        <f t="shared" si="35"/>
        <v/>
      </c>
      <c r="V185" s="33" t="str">
        <f t="shared" si="36"/>
        <v/>
      </c>
      <c r="W185" s="33" t="str">
        <f t="shared" si="37"/>
        <v/>
      </c>
      <c r="X185" s="41" t="str">
        <f>IF($A185="","",IFERROR(MATCH($A185,Comenzi!$A$9:$A$108,0)+8,""))</f>
        <v/>
      </c>
      <c r="Y185" s="41" t="str">
        <f t="shared" si="38"/>
        <v/>
      </c>
      <c r="Z185" s="42" t="str">
        <f>IF($A185="","",IF($A185="?","Lipseste ID-ul comenzii (col. A din PI Furnizor)",IF(NOT(ISNUMBER($X185)),"ID comanda negasit in foaia Comenzi",IF(N($E185)&lt;=0,"Lipseste cantitatea",IF(N($G185)=0,"Pret unitar lipsa",IF($Y185&lt;&gt;1,"Curs sau moneda marfa lipsa (foaia Comenzi)",IF(INDEX(Comenzi!$AT:$AT,$X185)&lt;&gt;"OK","Avertisment comanda: "&amp;INDEX(Comenzi!$AT:$AT,$X185),"OK")))))))</f>
        <v/>
      </c>
      <c r="AA185" s="43" t="str">
        <f>IF(ISNUMBER($X185),INDEX(Comenzi!$H:$H,$X185),"")</f>
        <v/>
      </c>
      <c r="AB185" s="43" t="str">
        <f>IF(ISNUMBER($X185),INDEX(Comenzi!$I:$I,$X185),"")</f>
        <v/>
      </c>
      <c r="AC185" s="44" t="str">
        <f>IF(ISNUMBER($X185),IF(INDEX(Comenzi!$V:$V,$X185)="",Comenzi!$D$3,INDEX(Comenzi!$V:$V,$X185)),"")</f>
        <v/>
      </c>
      <c r="AD185" s="44" t="str">
        <f>IF(ISNUMBER($X185),IF(INDEX(Comenzi!$U:$U,$X185)="",Comenzi!$D$4,INDEX(Comenzi!$U:$U,$X185)),"")</f>
        <v/>
      </c>
      <c r="AE185" s="45" t="str">
        <f>IF($Y185&lt;&gt;1,"",IF(INDEX(Comenzi!$AM:$AM,$X185)="Greutate",INDEX('PI Furnizor'!$O:$O,ROW()-3),IF(INDEX(Comenzi!$AM:$AM,$X185)="Volum (CBM)",INDEX('PI Furnizor'!$Q:$Q,ROW()-3),IF(INDEX(Comenzi!$AM:$AM,$X185)="Valoare marfa",INDEX('PI Furnizor'!$N:$N,ROW()-3),$E185))))</f>
        <v/>
      </c>
    </row>
    <row r="186" spans="1:31" x14ac:dyDescent="0.3">
      <c r="A186" s="28" t="str">
        <f>IF(COUNTA(INDEX('PI Furnizor'!$A:$E,ROW()-3,0))=0,"",IF(INDEX('PI Furnizor'!$A:$A,ROW()-3)="","?",INDEX('PI Furnizor'!$A:$A,ROW()-3)))</f>
        <v/>
      </c>
      <c r="B186" s="29" t="str">
        <f>IF(ISNUMBER($X186),INDEX(Comenzi!$B:$B,$X186),"")</f>
        <v/>
      </c>
      <c r="C186" s="28" t="str">
        <f>IF($A186="","",INDEX('PI Furnizor'!$B:$B,ROW()-3)&amp;"")</f>
        <v/>
      </c>
      <c r="D186" s="28" t="str">
        <f>IF($A186="","",INDEX('PI Furnizor'!$C:$C,ROW()-3)&amp;"")</f>
        <v/>
      </c>
      <c r="E186" s="30" t="str">
        <f>IF($A186="","",N(INDEX('PI Furnizor'!$D:$D,ROW()-3)))</f>
        <v/>
      </c>
      <c r="F186" s="31" t="str">
        <f>IF(ISNUMBER($X186),INDEX(Comenzi!$G:$G,$X186),"")</f>
        <v/>
      </c>
      <c r="G186" s="32" t="str">
        <f>IF($A186="","",N(INDEX('PI Furnizor'!$E:$E,ROW()-3)))</f>
        <v/>
      </c>
      <c r="H186" s="33" t="str">
        <f t="shared" si="26"/>
        <v/>
      </c>
      <c r="I186" s="34" t="str">
        <f>IF($Y186&lt;&gt;1,"",IFERROR($AE186/INDEX(Comenzi!$AN:$AN,$X186),0))</f>
        <v/>
      </c>
      <c r="J186" s="33" t="str">
        <f>IF($Y186&lt;&gt;1,"",INDEX(Comenzi!$AG:$AG,$X186)*$I186/$E186)</f>
        <v/>
      </c>
      <c r="K186" s="33" t="str">
        <f t="shared" si="27"/>
        <v/>
      </c>
      <c r="L186" s="33" t="str">
        <f>IF($Y186&lt;&gt;1,"",$K186*$AD186+INDEX(Comenzi!$AJ:$AJ,$X186)*$I186/$E186)</f>
        <v/>
      </c>
      <c r="M186" s="33" t="str">
        <f t="shared" si="28"/>
        <v/>
      </c>
      <c r="N186" s="33" t="str">
        <f t="shared" si="29"/>
        <v/>
      </c>
      <c r="O186" s="33" t="str">
        <f>IF($Y186&lt;&gt;1,"",(INDEX(Comenzi!$AK:$AK,$X186)+N(INDEX(Comenzi!$T:$T,$X186)))*$I186/$E186)</f>
        <v/>
      </c>
      <c r="P186" s="35" t="str">
        <f t="shared" si="30"/>
        <v/>
      </c>
      <c r="Q186" s="36" t="str">
        <f t="shared" si="31"/>
        <v/>
      </c>
      <c r="R186" s="37" t="str">
        <f t="shared" si="32"/>
        <v/>
      </c>
      <c r="S186" s="38" t="str">
        <f t="shared" si="33"/>
        <v/>
      </c>
      <c r="T186" s="39" t="str">
        <f t="shared" si="34"/>
        <v/>
      </c>
      <c r="U186" s="40" t="str">
        <f t="shared" si="35"/>
        <v/>
      </c>
      <c r="V186" s="33" t="str">
        <f t="shared" si="36"/>
        <v/>
      </c>
      <c r="W186" s="33" t="str">
        <f t="shared" si="37"/>
        <v/>
      </c>
      <c r="X186" s="41" t="str">
        <f>IF($A186="","",IFERROR(MATCH($A186,Comenzi!$A$9:$A$108,0)+8,""))</f>
        <v/>
      </c>
      <c r="Y186" s="41" t="str">
        <f t="shared" si="38"/>
        <v/>
      </c>
      <c r="Z186" s="42" t="str">
        <f>IF($A186="","",IF($A186="?","Lipseste ID-ul comenzii (col. A din PI Furnizor)",IF(NOT(ISNUMBER($X186)),"ID comanda negasit in foaia Comenzi",IF(N($E186)&lt;=0,"Lipseste cantitatea",IF(N($G186)=0,"Pret unitar lipsa",IF($Y186&lt;&gt;1,"Curs sau moneda marfa lipsa (foaia Comenzi)",IF(INDEX(Comenzi!$AT:$AT,$X186)&lt;&gt;"OK","Avertisment comanda: "&amp;INDEX(Comenzi!$AT:$AT,$X186),"OK")))))))</f>
        <v/>
      </c>
      <c r="AA186" s="43" t="str">
        <f>IF(ISNUMBER($X186),INDEX(Comenzi!$H:$H,$X186),"")</f>
        <v/>
      </c>
      <c r="AB186" s="43" t="str">
        <f>IF(ISNUMBER($X186),INDEX(Comenzi!$I:$I,$X186),"")</f>
        <v/>
      </c>
      <c r="AC186" s="44" t="str">
        <f>IF(ISNUMBER($X186),IF(INDEX(Comenzi!$V:$V,$X186)="",Comenzi!$D$3,INDEX(Comenzi!$V:$V,$X186)),"")</f>
        <v/>
      </c>
      <c r="AD186" s="44" t="str">
        <f>IF(ISNUMBER($X186),IF(INDEX(Comenzi!$U:$U,$X186)="",Comenzi!$D$4,INDEX(Comenzi!$U:$U,$X186)),"")</f>
        <v/>
      </c>
      <c r="AE186" s="45" t="str">
        <f>IF($Y186&lt;&gt;1,"",IF(INDEX(Comenzi!$AM:$AM,$X186)="Greutate",INDEX('PI Furnizor'!$O:$O,ROW()-3),IF(INDEX(Comenzi!$AM:$AM,$X186)="Volum (CBM)",INDEX('PI Furnizor'!$Q:$Q,ROW()-3),IF(INDEX(Comenzi!$AM:$AM,$X186)="Valoare marfa",INDEX('PI Furnizor'!$N:$N,ROW()-3),$E186))))</f>
        <v/>
      </c>
    </row>
    <row r="187" spans="1:31" x14ac:dyDescent="0.3">
      <c r="A187" s="28" t="str">
        <f>IF(COUNTA(INDEX('PI Furnizor'!$A:$E,ROW()-3,0))=0,"",IF(INDEX('PI Furnizor'!$A:$A,ROW()-3)="","?",INDEX('PI Furnizor'!$A:$A,ROW()-3)))</f>
        <v/>
      </c>
      <c r="B187" s="29" t="str">
        <f>IF(ISNUMBER($X187),INDEX(Comenzi!$B:$B,$X187),"")</f>
        <v/>
      </c>
      <c r="C187" s="28" t="str">
        <f>IF($A187="","",INDEX('PI Furnizor'!$B:$B,ROW()-3)&amp;"")</f>
        <v/>
      </c>
      <c r="D187" s="28" t="str">
        <f>IF($A187="","",INDEX('PI Furnizor'!$C:$C,ROW()-3)&amp;"")</f>
        <v/>
      </c>
      <c r="E187" s="30" t="str">
        <f>IF($A187="","",N(INDEX('PI Furnizor'!$D:$D,ROW()-3)))</f>
        <v/>
      </c>
      <c r="F187" s="31" t="str">
        <f>IF(ISNUMBER($X187),INDEX(Comenzi!$G:$G,$X187),"")</f>
        <v/>
      </c>
      <c r="G187" s="32" t="str">
        <f>IF($A187="","",N(INDEX('PI Furnizor'!$E:$E,ROW()-3)))</f>
        <v/>
      </c>
      <c r="H187" s="33" t="str">
        <f t="shared" si="26"/>
        <v/>
      </c>
      <c r="I187" s="34" t="str">
        <f>IF($Y187&lt;&gt;1,"",IFERROR($AE187/INDEX(Comenzi!$AN:$AN,$X187),0))</f>
        <v/>
      </c>
      <c r="J187" s="33" t="str">
        <f>IF($Y187&lt;&gt;1,"",INDEX(Comenzi!$AG:$AG,$X187)*$I187/$E187)</f>
        <v/>
      </c>
      <c r="K187" s="33" t="str">
        <f t="shared" si="27"/>
        <v/>
      </c>
      <c r="L187" s="33" t="str">
        <f>IF($Y187&lt;&gt;1,"",$K187*$AD187+INDEX(Comenzi!$AJ:$AJ,$X187)*$I187/$E187)</f>
        <v/>
      </c>
      <c r="M187" s="33" t="str">
        <f t="shared" si="28"/>
        <v/>
      </c>
      <c r="N187" s="33" t="str">
        <f t="shared" si="29"/>
        <v/>
      </c>
      <c r="O187" s="33" t="str">
        <f>IF($Y187&lt;&gt;1,"",(INDEX(Comenzi!$AK:$AK,$X187)+N(INDEX(Comenzi!$T:$T,$X187)))*$I187/$E187)</f>
        <v/>
      </c>
      <c r="P187" s="35" t="str">
        <f t="shared" si="30"/>
        <v/>
      </c>
      <c r="Q187" s="36" t="str">
        <f t="shared" si="31"/>
        <v/>
      </c>
      <c r="R187" s="37" t="str">
        <f t="shared" si="32"/>
        <v/>
      </c>
      <c r="S187" s="38" t="str">
        <f t="shared" si="33"/>
        <v/>
      </c>
      <c r="T187" s="39" t="str">
        <f t="shared" si="34"/>
        <v/>
      </c>
      <c r="U187" s="40" t="str">
        <f t="shared" si="35"/>
        <v/>
      </c>
      <c r="V187" s="33" t="str">
        <f t="shared" si="36"/>
        <v/>
      </c>
      <c r="W187" s="33" t="str">
        <f t="shared" si="37"/>
        <v/>
      </c>
      <c r="X187" s="41" t="str">
        <f>IF($A187="","",IFERROR(MATCH($A187,Comenzi!$A$9:$A$108,0)+8,""))</f>
        <v/>
      </c>
      <c r="Y187" s="41" t="str">
        <f t="shared" si="38"/>
        <v/>
      </c>
      <c r="Z187" s="42" t="str">
        <f>IF($A187="","",IF($A187="?","Lipseste ID-ul comenzii (col. A din PI Furnizor)",IF(NOT(ISNUMBER($X187)),"ID comanda negasit in foaia Comenzi",IF(N($E187)&lt;=0,"Lipseste cantitatea",IF(N($G187)=0,"Pret unitar lipsa",IF($Y187&lt;&gt;1,"Curs sau moneda marfa lipsa (foaia Comenzi)",IF(INDEX(Comenzi!$AT:$AT,$X187)&lt;&gt;"OK","Avertisment comanda: "&amp;INDEX(Comenzi!$AT:$AT,$X187),"OK")))))))</f>
        <v/>
      </c>
      <c r="AA187" s="43" t="str">
        <f>IF(ISNUMBER($X187),INDEX(Comenzi!$H:$H,$X187),"")</f>
        <v/>
      </c>
      <c r="AB187" s="43" t="str">
        <f>IF(ISNUMBER($X187),INDEX(Comenzi!$I:$I,$X187),"")</f>
        <v/>
      </c>
      <c r="AC187" s="44" t="str">
        <f>IF(ISNUMBER($X187),IF(INDEX(Comenzi!$V:$V,$X187)="",Comenzi!$D$3,INDEX(Comenzi!$V:$V,$X187)),"")</f>
        <v/>
      </c>
      <c r="AD187" s="44" t="str">
        <f>IF(ISNUMBER($X187),IF(INDEX(Comenzi!$U:$U,$X187)="",Comenzi!$D$4,INDEX(Comenzi!$U:$U,$X187)),"")</f>
        <v/>
      </c>
      <c r="AE187" s="45" t="str">
        <f>IF($Y187&lt;&gt;1,"",IF(INDEX(Comenzi!$AM:$AM,$X187)="Greutate",INDEX('PI Furnizor'!$O:$O,ROW()-3),IF(INDEX(Comenzi!$AM:$AM,$X187)="Volum (CBM)",INDEX('PI Furnizor'!$Q:$Q,ROW()-3),IF(INDEX(Comenzi!$AM:$AM,$X187)="Valoare marfa",INDEX('PI Furnizor'!$N:$N,ROW()-3),$E187))))</f>
        <v/>
      </c>
    </row>
    <row r="188" spans="1:31" x14ac:dyDescent="0.3">
      <c r="A188" s="28" t="str">
        <f>IF(COUNTA(INDEX('PI Furnizor'!$A:$E,ROW()-3,0))=0,"",IF(INDEX('PI Furnizor'!$A:$A,ROW()-3)="","?",INDEX('PI Furnizor'!$A:$A,ROW()-3)))</f>
        <v/>
      </c>
      <c r="B188" s="29" t="str">
        <f>IF(ISNUMBER($X188),INDEX(Comenzi!$B:$B,$X188),"")</f>
        <v/>
      </c>
      <c r="C188" s="28" t="str">
        <f>IF($A188="","",INDEX('PI Furnizor'!$B:$B,ROW()-3)&amp;"")</f>
        <v/>
      </c>
      <c r="D188" s="28" t="str">
        <f>IF($A188="","",INDEX('PI Furnizor'!$C:$C,ROW()-3)&amp;"")</f>
        <v/>
      </c>
      <c r="E188" s="30" t="str">
        <f>IF($A188="","",N(INDEX('PI Furnizor'!$D:$D,ROW()-3)))</f>
        <v/>
      </c>
      <c r="F188" s="31" t="str">
        <f>IF(ISNUMBER($X188),INDEX(Comenzi!$G:$G,$X188),"")</f>
        <v/>
      </c>
      <c r="G188" s="32" t="str">
        <f>IF($A188="","",N(INDEX('PI Furnizor'!$E:$E,ROW()-3)))</f>
        <v/>
      </c>
      <c r="H188" s="33" t="str">
        <f t="shared" si="26"/>
        <v/>
      </c>
      <c r="I188" s="34" t="str">
        <f>IF($Y188&lt;&gt;1,"",IFERROR($AE188/INDEX(Comenzi!$AN:$AN,$X188),0))</f>
        <v/>
      </c>
      <c r="J188" s="33" t="str">
        <f>IF($Y188&lt;&gt;1,"",INDEX(Comenzi!$AG:$AG,$X188)*$I188/$E188)</f>
        <v/>
      </c>
      <c r="K188" s="33" t="str">
        <f t="shared" si="27"/>
        <v/>
      </c>
      <c r="L188" s="33" t="str">
        <f>IF($Y188&lt;&gt;1,"",$K188*$AD188+INDEX(Comenzi!$AJ:$AJ,$X188)*$I188/$E188)</f>
        <v/>
      </c>
      <c r="M188" s="33" t="str">
        <f t="shared" si="28"/>
        <v/>
      </c>
      <c r="N188" s="33" t="str">
        <f t="shared" si="29"/>
        <v/>
      </c>
      <c r="O188" s="33" t="str">
        <f>IF($Y188&lt;&gt;1,"",(INDEX(Comenzi!$AK:$AK,$X188)+N(INDEX(Comenzi!$T:$T,$X188)))*$I188/$E188)</f>
        <v/>
      </c>
      <c r="P188" s="35" t="str">
        <f t="shared" si="30"/>
        <v/>
      </c>
      <c r="Q188" s="36" t="str">
        <f t="shared" si="31"/>
        <v/>
      </c>
      <c r="R188" s="37" t="str">
        <f t="shared" si="32"/>
        <v/>
      </c>
      <c r="S188" s="38" t="str">
        <f t="shared" si="33"/>
        <v/>
      </c>
      <c r="T188" s="39" t="str">
        <f t="shared" si="34"/>
        <v/>
      </c>
      <c r="U188" s="40" t="str">
        <f t="shared" si="35"/>
        <v/>
      </c>
      <c r="V188" s="33" t="str">
        <f t="shared" si="36"/>
        <v/>
      </c>
      <c r="W188" s="33" t="str">
        <f t="shared" si="37"/>
        <v/>
      </c>
      <c r="X188" s="41" t="str">
        <f>IF($A188="","",IFERROR(MATCH($A188,Comenzi!$A$9:$A$108,0)+8,""))</f>
        <v/>
      </c>
      <c r="Y188" s="41" t="str">
        <f t="shared" si="38"/>
        <v/>
      </c>
      <c r="Z188" s="42" t="str">
        <f>IF($A188="","",IF($A188="?","Lipseste ID-ul comenzii (col. A din PI Furnizor)",IF(NOT(ISNUMBER($X188)),"ID comanda negasit in foaia Comenzi",IF(N($E188)&lt;=0,"Lipseste cantitatea",IF(N($G188)=0,"Pret unitar lipsa",IF($Y188&lt;&gt;1,"Curs sau moneda marfa lipsa (foaia Comenzi)",IF(INDEX(Comenzi!$AT:$AT,$X188)&lt;&gt;"OK","Avertisment comanda: "&amp;INDEX(Comenzi!$AT:$AT,$X188),"OK")))))))</f>
        <v/>
      </c>
      <c r="AA188" s="43" t="str">
        <f>IF(ISNUMBER($X188),INDEX(Comenzi!$H:$H,$X188),"")</f>
        <v/>
      </c>
      <c r="AB188" s="43" t="str">
        <f>IF(ISNUMBER($X188),INDEX(Comenzi!$I:$I,$X188),"")</f>
        <v/>
      </c>
      <c r="AC188" s="44" t="str">
        <f>IF(ISNUMBER($X188),IF(INDEX(Comenzi!$V:$V,$X188)="",Comenzi!$D$3,INDEX(Comenzi!$V:$V,$X188)),"")</f>
        <v/>
      </c>
      <c r="AD188" s="44" t="str">
        <f>IF(ISNUMBER($X188),IF(INDEX(Comenzi!$U:$U,$X188)="",Comenzi!$D$4,INDEX(Comenzi!$U:$U,$X188)),"")</f>
        <v/>
      </c>
      <c r="AE188" s="45" t="str">
        <f>IF($Y188&lt;&gt;1,"",IF(INDEX(Comenzi!$AM:$AM,$X188)="Greutate",INDEX('PI Furnizor'!$O:$O,ROW()-3),IF(INDEX(Comenzi!$AM:$AM,$X188)="Volum (CBM)",INDEX('PI Furnizor'!$Q:$Q,ROW()-3),IF(INDEX(Comenzi!$AM:$AM,$X188)="Valoare marfa",INDEX('PI Furnizor'!$N:$N,ROW()-3),$E188))))</f>
        <v/>
      </c>
    </row>
    <row r="189" spans="1:31" x14ac:dyDescent="0.3">
      <c r="A189" s="28" t="str">
        <f>IF(COUNTA(INDEX('PI Furnizor'!$A:$E,ROW()-3,0))=0,"",IF(INDEX('PI Furnizor'!$A:$A,ROW()-3)="","?",INDEX('PI Furnizor'!$A:$A,ROW()-3)))</f>
        <v/>
      </c>
      <c r="B189" s="29" t="str">
        <f>IF(ISNUMBER($X189),INDEX(Comenzi!$B:$B,$X189),"")</f>
        <v/>
      </c>
      <c r="C189" s="28" t="str">
        <f>IF($A189="","",INDEX('PI Furnizor'!$B:$B,ROW()-3)&amp;"")</f>
        <v/>
      </c>
      <c r="D189" s="28" t="str">
        <f>IF($A189="","",INDEX('PI Furnizor'!$C:$C,ROW()-3)&amp;"")</f>
        <v/>
      </c>
      <c r="E189" s="30" t="str">
        <f>IF($A189="","",N(INDEX('PI Furnizor'!$D:$D,ROW()-3)))</f>
        <v/>
      </c>
      <c r="F189" s="31" t="str">
        <f>IF(ISNUMBER($X189),INDEX(Comenzi!$G:$G,$X189),"")</f>
        <v/>
      </c>
      <c r="G189" s="32" t="str">
        <f>IF($A189="","",N(INDEX('PI Furnizor'!$E:$E,ROW()-3)))</f>
        <v/>
      </c>
      <c r="H189" s="33" t="str">
        <f t="shared" si="26"/>
        <v/>
      </c>
      <c r="I189" s="34" t="str">
        <f>IF($Y189&lt;&gt;1,"",IFERROR($AE189/INDEX(Comenzi!$AN:$AN,$X189),0))</f>
        <v/>
      </c>
      <c r="J189" s="33" t="str">
        <f>IF($Y189&lt;&gt;1,"",INDEX(Comenzi!$AG:$AG,$X189)*$I189/$E189)</f>
        <v/>
      </c>
      <c r="K189" s="33" t="str">
        <f t="shared" si="27"/>
        <v/>
      </c>
      <c r="L189" s="33" t="str">
        <f>IF($Y189&lt;&gt;1,"",$K189*$AD189+INDEX(Comenzi!$AJ:$AJ,$X189)*$I189/$E189)</f>
        <v/>
      </c>
      <c r="M189" s="33" t="str">
        <f t="shared" si="28"/>
        <v/>
      </c>
      <c r="N189" s="33" t="str">
        <f t="shared" si="29"/>
        <v/>
      </c>
      <c r="O189" s="33" t="str">
        <f>IF($Y189&lt;&gt;1,"",(INDEX(Comenzi!$AK:$AK,$X189)+N(INDEX(Comenzi!$T:$T,$X189)))*$I189/$E189)</f>
        <v/>
      </c>
      <c r="P189" s="35" t="str">
        <f t="shared" si="30"/>
        <v/>
      </c>
      <c r="Q189" s="36" t="str">
        <f t="shared" si="31"/>
        <v/>
      </c>
      <c r="R189" s="37" t="str">
        <f t="shared" si="32"/>
        <v/>
      </c>
      <c r="S189" s="38" t="str">
        <f t="shared" si="33"/>
        <v/>
      </c>
      <c r="T189" s="39" t="str">
        <f t="shared" si="34"/>
        <v/>
      </c>
      <c r="U189" s="40" t="str">
        <f t="shared" si="35"/>
        <v/>
      </c>
      <c r="V189" s="33" t="str">
        <f t="shared" si="36"/>
        <v/>
      </c>
      <c r="W189" s="33" t="str">
        <f t="shared" si="37"/>
        <v/>
      </c>
      <c r="X189" s="41" t="str">
        <f>IF($A189="","",IFERROR(MATCH($A189,Comenzi!$A$9:$A$108,0)+8,""))</f>
        <v/>
      </c>
      <c r="Y189" s="41" t="str">
        <f t="shared" si="38"/>
        <v/>
      </c>
      <c r="Z189" s="42" t="str">
        <f>IF($A189="","",IF($A189="?","Lipseste ID-ul comenzii (col. A din PI Furnizor)",IF(NOT(ISNUMBER($X189)),"ID comanda negasit in foaia Comenzi",IF(N($E189)&lt;=0,"Lipseste cantitatea",IF(N($G189)=0,"Pret unitar lipsa",IF($Y189&lt;&gt;1,"Curs sau moneda marfa lipsa (foaia Comenzi)",IF(INDEX(Comenzi!$AT:$AT,$X189)&lt;&gt;"OK","Avertisment comanda: "&amp;INDEX(Comenzi!$AT:$AT,$X189),"OK")))))))</f>
        <v/>
      </c>
      <c r="AA189" s="43" t="str">
        <f>IF(ISNUMBER($X189),INDEX(Comenzi!$H:$H,$X189),"")</f>
        <v/>
      </c>
      <c r="AB189" s="43" t="str">
        <f>IF(ISNUMBER($X189),INDEX(Comenzi!$I:$I,$X189),"")</f>
        <v/>
      </c>
      <c r="AC189" s="44" t="str">
        <f>IF(ISNUMBER($X189),IF(INDEX(Comenzi!$V:$V,$X189)="",Comenzi!$D$3,INDEX(Comenzi!$V:$V,$X189)),"")</f>
        <v/>
      </c>
      <c r="AD189" s="44" t="str">
        <f>IF(ISNUMBER($X189),IF(INDEX(Comenzi!$U:$U,$X189)="",Comenzi!$D$4,INDEX(Comenzi!$U:$U,$X189)),"")</f>
        <v/>
      </c>
      <c r="AE189" s="45" t="str">
        <f>IF($Y189&lt;&gt;1,"",IF(INDEX(Comenzi!$AM:$AM,$X189)="Greutate",INDEX('PI Furnizor'!$O:$O,ROW()-3),IF(INDEX(Comenzi!$AM:$AM,$X189)="Volum (CBM)",INDEX('PI Furnizor'!$Q:$Q,ROW()-3),IF(INDEX(Comenzi!$AM:$AM,$X189)="Valoare marfa",INDEX('PI Furnizor'!$N:$N,ROW()-3),$E189))))</f>
        <v/>
      </c>
    </row>
    <row r="190" spans="1:31" x14ac:dyDescent="0.3">
      <c r="A190" s="28" t="str">
        <f>IF(COUNTA(INDEX('PI Furnizor'!$A:$E,ROW()-3,0))=0,"",IF(INDEX('PI Furnizor'!$A:$A,ROW()-3)="","?",INDEX('PI Furnizor'!$A:$A,ROW()-3)))</f>
        <v/>
      </c>
      <c r="B190" s="29" t="str">
        <f>IF(ISNUMBER($X190),INDEX(Comenzi!$B:$B,$X190),"")</f>
        <v/>
      </c>
      <c r="C190" s="28" t="str">
        <f>IF($A190="","",INDEX('PI Furnizor'!$B:$B,ROW()-3)&amp;"")</f>
        <v/>
      </c>
      <c r="D190" s="28" t="str">
        <f>IF($A190="","",INDEX('PI Furnizor'!$C:$C,ROW()-3)&amp;"")</f>
        <v/>
      </c>
      <c r="E190" s="30" t="str">
        <f>IF($A190="","",N(INDEX('PI Furnizor'!$D:$D,ROW()-3)))</f>
        <v/>
      </c>
      <c r="F190" s="31" t="str">
        <f>IF(ISNUMBER($X190),INDEX(Comenzi!$G:$G,$X190),"")</f>
        <v/>
      </c>
      <c r="G190" s="32" t="str">
        <f>IF($A190="","",N(INDEX('PI Furnizor'!$E:$E,ROW()-3)))</f>
        <v/>
      </c>
      <c r="H190" s="33" t="str">
        <f t="shared" si="26"/>
        <v/>
      </c>
      <c r="I190" s="34" t="str">
        <f>IF($Y190&lt;&gt;1,"",IFERROR($AE190/INDEX(Comenzi!$AN:$AN,$X190),0))</f>
        <v/>
      </c>
      <c r="J190" s="33" t="str">
        <f>IF($Y190&lt;&gt;1,"",INDEX(Comenzi!$AG:$AG,$X190)*$I190/$E190)</f>
        <v/>
      </c>
      <c r="K190" s="33" t="str">
        <f t="shared" si="27"/>
        <v/>
      </c>
      <c r="L190" s="33" t="str">
        <f>IF($Y190&lt;&gt;1,"",$K190*$AD190+INDEX(Comenzi!$AJ:$AJ,$X190)*$I190/$E190)</f>
        <v/>
      </c>
      <c r="M190" s="33" t="str">
        <f t="shared" si="28"/>
        <v/>
      </c>
      <c r="N190" s="33" t="str">
        <f t="shared" si="29"/>
        <v/>
      </c>
      <c r="O190" s="33" t="str">
        <f>IF($Y190&lt;&gt;1,"",(INDEX(Comenzi!$AK:$AK,$X190)+N(INDEX(Comenzi!$T:$T,$X190)))*$I190/$E190)</f>
        <v/>
      </c>
      <c r="P190" s="35" t="str">
        <f t="shared" si="30"/>
        <v/>
      </c>
      <c r="Q190" s="36" t="str">
        <f t="shared" si="31"/>
        <v/>
      </c>
      <c r="R190" s="37" t="str">
        <f t="shared" si="32"/>
        <v/>
      </c>
      <c r="S190" s="38" t="str">
        <f t="shared" si="33"/>
        <v/>
      </c>
      <c r="T190" s="39" t="str">
        <f t="shared" si="34"/>
        <v/>
      </c>
      <c r="U190" s="40" t="str">
        <f t="shared" si="35"/>
        <v/>
      </c>
      <c r="V190" s="33" t="str">
        <f t="shared" si="36"/>
        <v/>
      </c>
      <c r="W190" s="33" t="str">
        <f t="shared" si="37"/>
        <v/>
      </c>
      <c r="X190" s="41" t="str">
        <f>IF($A190="","",IFERROR(MATCH($A190,Comenzi!$A$9:$A$108,0)+8,""))</f>
        <v/>
      </c>
      <c r="Y190" s="41" t="str">
        <f t="shared" si="38"/>
        <v/>
      </c>
      <c r="Z190" s="42" t="str">
        <f>IF($A190="","",IF($A190="?","Lipseste ID-ul comenzii (col. A din PI Furnizor)",IF(NOT(ISNUMBER($X190)),"ID comanda negasit in foaia Comenzi",IF(N($E190)&lt;=0,"Lipseste cantitatea",IF(N($G190)=0,"Pret unitar lipsa",IF($Y190&lt;&gt;1,"Curs sau moneda marfa lipsa (foaia Comenzi)",IF(INDEX(Comenzi!$AT:$AT,$X190)&lt;&gt;"OK","Avertisment comanda: "&amp;INDEX(Comenzi!$AT:$AT,$X190),"OK")))))))</f>
        <v/>
      </c>
      <c r="AA190" s="43" t="str">
        <f>IF(ISNUMBER($X190),INDEX(Comenzi!$H:$H,$X190),"")</f>
        <v/>
      </c>
      <c r="AB190" s="43" t="str">
        <f>IF(ISNUMBER($X190),INDEX(Comenzi!$I:$I,$X190),"")</f>
        <v/>
      </c>
      <c r="AC190" s="44" t="str">
        <f>IF(ISNUMBER($X190),IF(INDEX(Comenzi!$V:$V,$X190)="",Comenzi!$D$3,INDEX(Comenzi!$V:$V,$X190)),"")</f>
        <v/>
      </c>
      <c r="AD190" s="44" t="str">
        <f>IF(ISNUMBER($X190),IF(INDEX(Comenzi!$U:$U,$X190)="",Comenzi!$D$4,INDEX(Comenzi!$U:$U,$X190)),"")</f>
        <v/>
      </c>
      <c r="AE190" s="45" t="str">
        <f>IF($Y190&lt;&gt;1,"",IF(INDEX(Comenzi!$AM:$AM,$X190)="Greutate",INDEX('PI Furnizor'!$O:$O,ROW()-3),IF(INDEX(Comenzi!$AM:$AM,$X190)="Volum (CBM)",INDEX('PI Furnizor'!$Q:$Q,ROW()-3),IF(INDEX(Comenzi!$AM:$AM,$X190)="Valoare marfa",INDEX('PI Furnizor'!$N:$N,ROW()-3),$E190))))</f>
        <v/>
      </c>
    </row>
    <row r="191" spans="1:31" x14ac:dyDescent="0.3">
      <c r="A191" s="28" t="str">
        <f>IF(COUNTA(INDEX('PI Furnizor'!$A:$E,ROW()-3,0))=0,"",IF(INDEX('PI Furnizor'!$A:$A,ROW()-3)="","?",INDEX('PI Furnizor'!$A:$A,ROW()-3)))</f>
        <v/>
      </c>
      <c r="B191" s="29" t="str">
        <f>IF(ISNUMBER($X191),INDEX(Comenzi!$B:$B,$X191),"")</f>
        <v/>
      </c>
      <c r="C191" s="28" t="str">
        <f>IF($A191="","",INDEX('PI Furnizor'!$B:$B,ROW()-3)&amp;"")</f>
        <v/>
      </c>
      <c r="D191" s="28" t="str">
        <f>IF($A191="","",INDEX('PI Furnizor'!$C:$C,ROW()-3)&amp;"")</f>
        <v/>
      </c>
      <c r="E191" s="30" t="str">
        <f>IF($A191="","",N(INDEX('PI Furnizor'!$D:$D,ROW()-3)))</f>
        <v/>
      </c>
      <c r="F191" s="31" t="str">
        <f>IF(ISNUMBER($X191),INDEX(Comenzi!$G:$G,$X191),"")</f>
        <v/>
      </c>
      <c r="G191" s="32" t="str">
        <f>IF($A191="","",N(INDEX('PI Furnizor'!$E:$E,ROW()-3)))</f>
        <v/>
      </c>
      <c r="H191" s="33" t="str">
        <f t="shared" si="26"/>
        <v/>
      </c>
      <c r="I191" s="34" t="str">
        <f>IF($Y191&lt;&gt;1,"",IFERROR($AE191/INDEX(Comenzi!$AN:$AN,$X191),0))</f>
        <v/>
      </c>
      <c r="J191" s="33" t="str">
        <f>IF($Y191&lt;&gt;1,"",INDEX(Comenzi!$AG:$AG,$X191)*$I191/$E191)</f>
        <v/>
      </c>
      <c r="K191" s="33" t="str">
        <f t="shared" si="27"/>
        <v/>
      </c>
      <c r="L191" s="33" t="str">
        <f>IF($Y191&lt;&gt;1,"",$K191*$AD191+INDEX(Comenzi!$AJ:$AJ,$X191)*$I191/$E191)</f>
        <v/>
      </c>
      <c r="M191" s="33" t="str">
        <f t="shared" si="28"/>
        <v/>
      </c>
      <c r="N191" s="33" t="str">
        <f t="shared" si="29"/>
        <v/>
      </c>
      <c r="O191" s="33" t="str">
        <f>IF($Y191&lt;&gt;1,"",(INDEX(Comenzi!$AK:$AK,$X191)+N(INDEX(Comenzi!$T:$T,$X191)))*$I191/$E191)</f>
        <v/>
      </c>
      <c r="P191" s="35" t="str">
        <f t="shared" si="30"/>
        <v/>
      </c>
      <c r="Q191" s="36" t="str">
        <f t="shared" si="31"/>
        <v/>
      </c>
      <c r="R191" s="37" t="str">
        <f t="shared" si="32"/>
        <v/>
      </c>
      <c r="S191" s="38" t="str">
        <f t="shared" si="33"/>
        <v/>
      </c>
      <c r="T191" s="39" t="str">
        <f t="shared" si="34"/>
        <v/>
      </c>
      <c r="U191" s="40" t="str">
        <f t="shared" si="35"/>
        <v/>
      </c>
      <c r="V191" s="33" t="str">
        <f t="shared" si="36"/>
        <v/>
      </c>
      <c r="W191" s="33" t="str">
        <f t="shared" si="37"/>
        <v/>
      </c>
      <c r="X191" s="41" t="str">
        <f>IF($A191="","",IFERROR(MATCH($A191,Comenzi!$A$9:$A$108,0)+8,""))</f>
        <v/>
      </c>
      <c r="Y191" s="41" t="str">
        <f t="shared" si="38"/>
        <v/>
      </c>
      <c r="Z191" s="42" t="str">
        <f>IF($A191="","",IF($A191="?","Lipseste ID-ul comenzii (col. A din PI Furnizor)",IF(NOT(ISNUMBER($X191)),"ID comanda negasit in foaia Comenzi",IF(N($E191)&lt;=0,"Lipseste cantitatea",IF(N($G191)=0,"Pret unitar lipsa",IF($Y191&lt;&gt;1,"Curs sau moneda marfa lipsa (foaia Comenzi)",IF(INDEX(Comenzi!$AT:$AT,$X191)&lt;&gt;"OK","Avertisment comanda: "&amp;INDEX(Comenzi!$AT:$AT,$X191),"OK")))))))</f>
        <v/>
      </c>
      <c r="AA191" s="43" t="str">
        <f>IF(ISNUMBER($X191),INDEX(Comenzi!$H:$H,$X191),"")</f>
        <v/>
      </c>
      <c r="AB191" s="43" t="str">
        <f>IF(ISNUMBER($X191),INDEX(Comenzi!$I:$I,$X191),"")</f>
        <v/>
      </c>
      <c r="AC191" s="44" t="str">
        <f>IF(ISNUMBER($X191),IF(INDEX(Comenzi!$V:$V,$X191)="",Comenzi!$D$3,INDEX(Comenzi!$V:$V,$X191)),"")</f>
        <v/>
      </c>
      <c r="AD191" s="44" t="str">
        <f>IF(ISNUMBER($X191),IF(INDEX(Comenzi!$U:$U,$X191)="",Comenzi!$D$4,INDEX(Comenzi!$U:$U,$X191)),"")</f>
        <v/>
      </c>
      <c r="AE191" s="45" t="str">
        <f>IF($Y191&lt;&gt;1,"",IF(INDEX(Comenzi!$AM:$AM,$X191)="Greutate",INDEX('PI Furnizor'!$O:$O,ROW()-3),IF(INDEX(Comenzi!$AM:$AM,$X191)="Volum (CBM)",INDEX('PI Furnizor'!$Q:$Q,ROW()-3),IF(INDEX(Comenzi!$AM:$AM,$X191)="Valoare marfa",INDEX('PI Furnizor'!$N:$N,ROW()-3),$E191))))</f>
        <v/>
      </c>
    </row>
    <row r="192" spans="1:31" x14ac:dyDescent="0.3">
      <c r="A192" s="28" t="str">
        <f>IF(COUNTA(INDEX('PI Furnizor'!$A:$E,ROW()-3,0))=0,"",IF(INDEX('PI Furnizor'!$A:$A,ROW()-3)="","?",INDEX('PI Furnizor'!$A:$A,ROW()-3)))</f>
        <v/>
      </c>
      <c r="B192" s="29" t="str">
        <f>IF(ISNUMBER($X192),INDEX(Comenzi!$B:$B,$X192),"")</f>
        <v/>
      </c>
      <c r="C192" s="28" t="str">
        <f>IF($A192="","",INDEX('PI Furnizor'!$B:$B,ROW()-3)&amp;"")</f>
        <v/>
      </c>
      <c r="D192" s="28" t="str">
        <f>IF($A192="","",INDEX('PI Furnizor'!$C:$C,ROW()-3)&amp;"")</f>
        <v/>
      </c>
      <c r="E192" s="30" t="str">
        <f>IF($A192="","",N(INDEX('PI Furnizor'!$D:$D,ROW()-3)))</f>
        <v/>
      </c>
      <c r="F192" s="31" t="str">
        <f>IF(ISNUMBER($X192),INDEX(Comenzi!$G:$G,$X192),"")</f>
        <v/>
      </c>
      <c r="G192" s="32" t="str">
        <f>IF($A192="","",N(INDEX('PI Furnizor'!$E:$E,ROW()-3)))</f>
        <v/>
      </c>
      <c r="H192" s="33" t="str">
        <f t="shared" si="26"/>
        <v/>
      </c>
      <c r="I192" s="34" t="str">
        <f>IF($Y192&lt;&gt;1,"",IFERROR($AE192/INDEX(Comenzi!$AN:$AN,$X192),0))</f>
        <v/>
      </c>
      <c r="J192" s="33" t="str">
        <f>IF($Y192&lt;&gt;1,"",INDEX(Comenzi!$AG:$AG,$X192)*$I192/$E192)</f>
        <v/>
      </c>
      <c r="K192" s="33" t="str">
        <f t="shared" si="27"/>
        <v/>
      </c>
      <c r="L192" s="33" t="str">
        <f>IF($Y192&lt;&gt;1,"",$K192*$AD192+INDEX(Comenzi!$AJ:$AJ,$X192)*$I192/$E192)</f>
        <v/>
      </c>
      <c r="M192" s="33" t="str">
        <f t="shared" si="28"/>
        <v/>
      </c>
      <c r="N192" s="33" t="str">
        <f t="shared" si="29"/>
        <v/>
      </c>
      <c r="O192" s="33" t="str">
        <f>IF($Y192&lt;&gt;1,"",(INDEX(Comenzi!$AK:$AK,$X192)+N(INDEX(Comenzi!$T:$T,$X192)))*$I192/$E192)</f>
        <v/>
      </c>
      <c r="P192" s="35" t="str">
        <f t="shared" si="30"/>
        <v/>
      </c>
      <c r="Q192" s="36" t="str">
        <f t="shared" si="31"/>
        <v/>
      </c>
      <c r="R192" s="37" t="str">
        <f t="shared" si="32"/>
        <v/>
      </c>
      <c r="S192" s="38" t="str">
        <f t="shared" si="33"/>
        <v/>
      </c>
      <c r="T192" s="39" t="str">
        <f t="shared" si="34"/>
        <v/>
      </c>
      <c r="U192" s="40" t="str">
        <f t="shared" si="35"/>
        <v/>
      </c>
      <c r="V192" s="33" t="str">
        <f t="shared" si="36"/>
        <v/>
      </c>
      <c r="W192" s="33" t="str">
        <f t="shared" si="37"/>
        <v/>
      </c>
      <c r="X192" s="41" t="str">
        <f>IF($A192="","",IFERROR(MATCH($A192,Comenzi!$A$9:$A$108,0)+8,""))</f>
        <v/>
      </c>
      <c r="Y192" s="41" t="str">
        <f t="shared" si="38"/>
        <v/>
      </c>
      <c r="Z192" s="42" t="str">
        <f>IF($A192="","",IF($A192="?","Lipseste ID-ul comenzii (col. A din PI Furnizor)",IF(NOT(ISNUMBER($X192)),"ID comanda negasit in foaia Comenzi",IF(N($E192)&lt;=0,"Lipseste cantitatea",IF(N($G192)=0,"Pret unitar lipsa",IF($Y192&lt;&gt;1,"Curs sau moneda marfa lipsa (foaia Comenzi)",IF(INDEX(Comenzi!$AT:$AT,$X192)&lt;&gt;"OK","Avertisment comanda: "&amp;INDEX(Comenzi!$AT:$AT,$X192),"OK")))))))</f>
        <v/>
      </c>
      <c r="AA192" s="43" t="str">
        <f>IF(ISNUMBER($X192),INDEX(Comenzi!$H:$H,$X192),"")</f>
        <v/>
      </c>
      <c r="AB192" s="43" t="str">
        <f>IF(ISNUMBER($X192),INDEX(Comenzi!$I:$I,$X192),"")</f>
        <v/>
      </c>
      <c r="AC192" s="44" t="str">
        <f>IF(ISNUMBER($X192),IF(INDEX(Comenzi!$V:$V,$X192)="",Comenzi!$D$3,INDEX(Comenzi!$V:$V,$X192)),"")</f>
        <v/>
      </c>
      <c r="AD192" s="44" t="str">
        <f>IF(ISNUMBER($X192),IF(INDEX(Comenzi!$U:$U,$X192)="",Comenzi!$D$4,INDEX(Comenzi!$U:$U,$X192)),"")</f>
        <v/>
      </c>
      <c r="AE192" s="45" t="str">
        <f>IF($Y192&lt;&gt;1,"",IF(INDEX(Comenzi!$AM:$AM,$X192)="Greutate",INDEX('PI Furnizor'!$O:$O,ROW()-3),IF(INDEX(Comenzi!$AM:$AM,$X192)="Volum (CBM)",INDEX('PI Furnizor'!$Q:$Q,ROW()-3),IF(INDEX(Comenzi!$AM:$AM,$X192)="Valoare marfa",INDEX('PI Furnizor'!$N:$N,ROW()-3),$E192))))</f>
        <v/>
      </c>
    </row>
    <row r="193" spans="1:31" x14ac:dyDescent="0.3">
      <c r="A193" s="28" t="str">
        <f>IF(COUNTA(INDEX('PI Furnizor'!$A:$E,ROW()-3,0))=0,"",IF(INDEX('PI Furnizor'!$A:$A,ROW()-3)="","?",INDEX('PI Furnizor'!$A:$A,ROW()-3)))</f>
        <v/>
      </c>
      <c r="B193" s="29" t="str">
        <f>IF(ISNUMBER($X193),INDEX(Comenzi!$B:$B,$X193),"")</f>
        <v/>
      </c>
      <c r="C193" s="28" t="str">
        <f>IF($A193="","",INDEX('PI Furnizor'!$B:$B,ROW()-3)&amp;"")</f>
        <v/>
      </c>
      <c r="D193" s="28" t="str">
        <f>IF($A193="","",INDEX('PI Furnizor'!$C:$C,ROW()-3)&amp;"")</f>
        <v/>
      </c>
      <c r="E193" s="30" t="str">
        <f>IF($A193="","",N(INDEX('PI Furnizor'!$D:$D,ROW()-3)))</f>
        <v/>
      </c>
      <c r="F193" s="31" t="str">
        <f>IF(ISNUMBER($X193),INDEX(Comenzi!$G:$G,$X193),"")</f>
        <v/>
      </c>
      <c r="G193" s="32" t="str">
        <f>IF($A193="","",N(INDEX('PI Furnizor'!$E:$E,ROW()-3)))</f>
        <v/>
      </c>
      <c r="H193" s="33" t="str">
        <f t="shared" si="26"/>
        <v/>
      </c>
      <c r="I193" s="34" t="str">
        <f>IF($Y193&lt;&gt;1,"",IFERROR($AE193/INDEX(Comenzi!$AN:$AN,$X193),0))</f>
        <v/>
      </c>
      <c r="J193" s="33" t="str">
        <f>IF($Y193&lt;&gt;1,"",INDEX(Comenzi!$AG:$AG,$X193)*$I193/$E193)</f>
        <v/>
      </c>
      <c r="K193" s="33" t="str">
        <f t="shared" si="27"/>
        <v/>
      </c>
      <c r="L193" s="33" t="str">
        <f>IF($Y193&lt;&gt;1,"",$K193*$AD193+INDEX(Comenzi!$AJ:$AJ,$X193)*$I193/$E193)</f>
        <v/>
      </c>
      <c r="M193" s="33" t="str">
        <f t="shared" si="28"/>
        <v/>
      </c>
      <c r="N193" s="33" t="str">
        <f t="shared" si="29"/>
        <v/>
      </c>
      <c r="O193" s="33" t="str">
        <f>IF($Y193&lt;&gt;1,"",(INDEX(Comenzi!$AK:$AK,$X193)+N(INDEX(Comenzi!$T:$T,$X193)))*$I193/$E193)</f>
        <v/>
      </c>
      <c r="P193" s="35" t="str">
        <f t="shared" si="30"/>
        <v/>
      </c>
      <c r="Q193" s="36" t="str">
        <f t="shared" si="31"/>
        <v/>
      </c>
      <c r="R193" s="37" t="str">
        <f t="shared" si="32"/>
        <v/>
      </c>
      <c r="S193" s="38" t="str">
        <f t="shared" si="33"/>
        <v/>
      </c>
      <c r="T193" s="39" t="str">
        <f t="shared" si="34"/>
        <v/>
      </c>
      <c r="U193" s="40" t="str">
        <f t="shared" si="35"/>
        <v/>
      </c>
      <c r="V193" s="33" t="str">
        <f t="shared" si="36"/>
        <v/>
      </c>
      <c r="W193" s="33" t="str">
        <f t="shared" si="37"/>
        <v/>
      </c>
      <c r="X193" s="41" t="str">
        <f>IF($A193="","",IFERROR(MATCH($A193,Comenzi!$A$9:$A$108,0)+8,""))</f>
        <v/>
      </c>
      <c r="Y193" s="41" t="str">
        <f t="shared" si="38"/>
        <v/>
      </c>
      <c r="Z193" s="42" t="str">
        <f>IF($A193="","",IF($A193="?","Lipseste ID-ul comenzii (col. A din PI Furnizor)",IF(NOT(ISNUMBER($X193)),"ID comanda negasit in foaia Comenzi",IF(N($E193)&lt;=0,"Lipseste cantitatea",IF(N($G193)=0,"Pret unitar lipsa",IF($Y193&lt;&gt;1,"Curs sau moneda marfa lipsa (foaia Comenzi)",IF(INDEX(Comenzi!$AT:$AT,$X193)&lt;&gt;"OK","Avertisment comanda: "&amp;INDEX(Comenzi!$AT:$AT,$X193),"OK")))))))</f>
        <v/>
      </c>
      <c r="AA193" s="43" t="str">
        <f>IF(ISNUMBER($X193),INDEX(Comenzi!$H:$H,$X193),"")</f>
        <v/>
      </c>
      <c r="AB193" s="43" t="str">
        <f>IF(ISNUMBER($X193),INDEX(Comenzi!$I:$I,$X193),"")</f>
        <v/>
      </c>
      <c r="AC193" s="44" t="str">
        <f>IF(ISNUMBER($X193),IF(INDEX(Comenzi!$V:$V,$X193)="",Comenzi!$D$3,INDEX(Comenzi!$V:$V,$X193)),"")</f>
        <v/>
      </c>
      <c r="AD193" s="44" t="str">
        <f>IF(ISNUMBER($X193),IF(INDEX(Comenzi!$U:$U,$X193)="",Comenzi!$D$4,INDEX(Comenzi!$U:$U,$X193)),"")</f>
        <v/>
      </c>
      <c r="AE193" s="45" t="str">
        <f>IF($Y193&lt;&gt;1,"",IF(INDEX(Comenzi!$AM:$AM,$X193)="Greutate",INDEX('PI Furnizor'!$O:$O,ROW()-3),IF(INDEX(Comenzi!$AM:$AM,$X193)="Volum (CBM)",INDEX('PI Furnizor'!$Q:$Q,ROW()-3),IF(INDEX(Comenzi!$AM:$AM,$X193)="Valoare marfa",INDEX('PI Furnizor'!$N:$N,ROW()-3),$E193))))</f>
        <v/>
      </c>
    </row>
    <row r="194" spans="1:31" x14ac:dyDescent="0.3">
      <c r="A194" s="28" t="str">
        <f>IF(COUNTA(INDEX('PI Furnizor'!$A:$E,ROW()-3,0))=0,"",IF(INDEX('PI Furnizor'!$A:$A,ROW()-3)="","?",INDEX('PI Furnizor'!$A:$A,ROW()-3)))</f>
        <v/>
      </c>
      <c r="B194" s="29" t="str">
        <f>IF(ISNUMBER($X194),INDEX(Comenzi!$B:$B,$X194),"")</f>
        <v/>
      </c>
      <c r="C194" s="28" t="str">
        <f>IF($A194="","",INDEX('PI Furnizor'!$B:$B,ROW()-3)&amp;"")</f>
        <v/>
      </c>
      <c r="D194" s="28" t="str">
        <f>IF($A194="","",INDEX('PI Furnizor'!$C:$C,ROW()-3)&amp;"")</f>
        <v/>
      </c>
      <c r="E194" s="30" t="str">
        <f>IF($A194="","",N(INDEX('PI Furnizor'!$D:$D,ROW()-3)))</f>
        <v/>
      </c>
      <c r="F194" s="31" t="str">
        <f>IF(ISNUMBER($X194),INDEX(Comenzi!$G:$G,$X194),"")</f>
        <v/>
      </c>
      <c r="G194" s="32" t="str">
        <f>IF($A194="","",N(INDEX('PI Furnizor'!$E:$E,ROW()-3)))</f>
        <v/>
      </c>
      <c r="H194" s="33" t="str">
        <f t="shared" si="26"/>
        <v/>
      </c>
      <c r="I194" s="34" t="str">
        <f>IF($Y194&lt;&gt;1,"",IFERROR($AE194/INDEX(Comenzi!$AN:$AN,$X194),0))</f>
        <v/>
      </c>
      <c r="J194" s="33" t="str">
        <f>IF($Y194&lt;&gt;1,"",INDEX(Comenzi!$AG:$AG,$X194)*$I194/$E194)</f>
        <v/>
      </c>
      <c r="K194" s="33" t="str">
        <f t="shared" si="27"/>
        <v/>
      </c>
      <c r="L194" s="33" t="str">
        <f>IF($Y194&lt;&gt;1,"",$K194*$AD194+INDEX(Comenzi!$AJ:$AJ,$X194)*$I194/$E194)</f>
        <v/>
      </c>
      <c r="M194" s="33" t="str">
        <f t="shared" si="28"/>
        <v/>
      </c>
      <c r="N194" s="33" t="str">
        <f t="shared" si="29"/>
        <v/>
      </c>
      <c r="O194" s="33" t="str">
        <f>IF($Y194&lt;&gt;1,"",(INDEX(Comenzi!$AK:$AK,$X194)+N(INDEX(Comenzi!$T:$T,$X194)))*$I194/$E194)</f>
        <v/>
      </c>
      <c r="P194" s="35" t="str">
        <f t="shared" si="30"/>
        <v/>
      </c>
      <c r="Q194" s="36" t="str">
        <f t="shared" si="31"/>
        <v/>
      </c>
      <c r="R194" s="37" t="str">
        <f t="shared" si="32"/>
        <v/>
      </c>
      <c r="S194" s="38" t="str">
        <f t="shared" si="33"/>
        <v/>
      </c>
      <c r="T194" s="39" t="str">
        <f t="shared" si="34"/>
        <v/>
      </c>
      <c r="U194" s="40" t="str">
        <f t="shared" si="35"/>
        <v/>
      </c>
      <c r="V194" s="33" t="str">
        <f t="shared" si="36"/>
        <v/>
      </c>
      <c r="W194" s="33" t="str">
        <f t="shared" si="37"/>
        <v/>
      </c>
      <c r="X194" s="41" t="str">
        <f>IF($A194="","",IFERROR(MATCH($A194,Comenzi!$A$9:$A$108,0)+8,""))</f>
        <v/>
      </c>
      <c r="Y194" s="41" t="str">
        <f t="shared" si="38"/>
        <v/>
      </c>
      <c r="Z194" s="42" t="str">
        <f>IF($A194="","",IF($A194="?","Lipseste ID-ul comenzii (col. A din PI Furnizor)",IF(NOT(ISNUMBER($X194)),"ID comanda negasit in foaia Comenzi",IF(N($E194)&lt;=0,"Lipseste cantitatea",IF(N($G194)=0,"Pret unitar lipsa",IF($Y194&lt;&gt;1,"Curs sau moneda marfa lipsa (foaia Comenzi)",IF(INDEX(Comenzi!$AT:$AT,$X194)&lt;&gt;"OK","Avertisment comanda: "&amp;INDEX(Comenzi!$AT:$AT,$X194),"OK")))))))</f>
        <v/>
      </c>
      <c r="AA194" s="43" t="str">
        <f>IF(ISNUMBER($X194),INDEX(Comenzi!$H:$H,$X194),"")</f>
        <v/>
      </c>
      <c r="AB194" s="43" t="str">
        <f>IF(ISNUMBER($X194),INDEX(Comenzi!$I:$I,$X194),"")</f>
        <v/>
      </c>
      <c r="AC194" s="44" t="str">
        <f>IF(ISNUMBER($X194),IF(INDEX(Comenzi!$V:$V,$X194)="",Comenzi!$D$3,INDEX(Comenzi!$V:$V,$X194)),"")</f>
        <v/>
      </c>
      <c r="AD194" s="44" t="str">
        <f>IF(ISNUMBER($X194),IF(INDEX(Comenzi!$U:$U,$X194)="",Comenzi!$D$4,INDEX(Comenzi!$U:$U,$X194)),"")</f>
        <v/>
      </c>
      <c r="AE194" s="45" t="str">
        <f>IF($Y194&lt;&gt;1,"",IF(INDEX(Comenzi!$AM:$AM,$X194)="Greutate",INDEX('PI Furnizor'!$O:$O,ROW()-3),IF(INDEX(Comenzi!$AM:$AM,$X194)="Volum (CBM)",INDEX('PI Furnizor'!$Q:$Q,ROW()-3),IF(INDEX(Comenzi!$AM:$AM,$X194)="Valoare marfa",INDEX('PI Furnizor'!$N:$N,ROW()-3),$E194))))</f>
        <v/>
      </c>
    </row>
    <row r="195" spans="1:31" x14ac:dyDescent="0.3">
      <c r="A195" s="28" t="str">
        <f>IF(COUNTA(INDEX('PI Furnizor'!$A:$E,ROW()-3,0))=0,"",IF(INDEX('PI Furnizor'!$A:$A,ROW()-3)="","?",INDEX('PI Furnizor'!$A:$A,ROW()-3)))</f>
        <v/>
      </c>
      <c r="B195" s="29" t="str">
        <f>IF(ISNUMBER($X195),INDEX(Comenzi!$B:$B,$X195),"")</f>
        <v/>
      </c>
      <c r="C195" s="28" t="str">
        <f>IF($A195="","",INDEX('PI Furnizor'!$B:$B,ROW()-3)&amp;"")</f>
        <v/>
      </c>
      <c r="D195" s="28" t="str">
        <f>IF($A195="","",INDEX('PI Furnizor'!$C:$C,ROW()-3)&amp;"")</f>
        <v/>
      </c>
      <c r="E195" s="30" t="str">
        <f>IF($A195="","",N(INDEX('PI Furnizor'!$D:$D,ROW()-3)))</f>
        <v/>
      </c>
      <c r="F195" s="31" t="str">
        <f>IF(ISNUMBER($X195),INDEX(Comenzi!$G:$G,$X195),"")</f>
        <v/>
      </c>
      <c r="G195" s="32" t="str">
        <f>IF($A195="","",N(INDEX('PI Furnizor'!$E:$E,ROW()-3)))</f>
        <v/>
      </c>
      <c r="H195" s="33" t="str">
        <f t="shared" si="26"/>
        <v/>
      </c>
      <c r="I195" s="34" t="str">
        <f>IF($Y195&lt;&gt;1,"",IFERROR($AE195/INDEX(Comenzi!$AN:$AN,$X195),0))</f>
        <v/>
      </c>
      <c r="J195" s="33" t="str">
        <f>IF($Y195&lt;&gt;1,"",INDEX(Comenzi!$AG:$AG,$X195)*$I195/$E195)</f>
        <v/>
      </c>
      <c r="K195" s="33" t="str">
        <f t="shared" si="27"/>
        <v/>
      </c>
      <c r="L195" s="33" t="str">
        <f>IF($Y195&lt;&gt;1,"",$K195*$AD195+INDEX(Comenzi!$AJ:$AJ,$X195)*$I195/$E195)</f>
        <v/>
      </c>
      <c r="M195" s="33" t="str">
        <f t="shared" si="28"/>
        <v/>
      </c>
      <c r="N195" s="33" t="str">
        <f t="shared" si="29"/>
        <v/>
      </c>
      <c r="O195" s="33" t="str">
        <f>IF($Y195&lt;&gt;1,"",(INDEX(Comenzi!$AK:$AK,$X195)+N(INDEX(Comenzi!$T:$T,$X195)))*$I195/$E195)</f>
        <v/>
      </c>
      <c r="P195" s="35" t="str">
        <f t="shared" si="30"/>
        <v/>
      </c>
      <c r="Q195" s="36" t="str">
        <f t="shared" si="31"/>
        <v/>
      </c>
      <c r="R195" s="37" t="str">
        <f t="shared" si="32"/>
        <v/>
      </c>
      <c r="S195" s="38" t="str">
        <f t="shared" si="33"/>
        <v/>
      </c>
      <c r="T195" s="39" t="str">
        <f t="shared" si="34"/>
        <v/>
      </c>
      <c r="U195" s="40" t="str">
        <f t="shared" si="35"/>
        <v/>
      </c>
      <c r="V195" s="33" t="str">
        <f t="shared" si="36"/>
        <v/>
      </c>
      <c r="W195" s="33" t="str">
        <f t="shared" si="37"/>
        <v/>
      </c>
      <c r="X195" s="41" t="str">
        <f>IF($A195="","",IFERROR(MATCH($A195,Comenzi!$A$9:$A$108,0)+8,""))</f>
        <v/>
      </c>
      <c r="Y195" s="41" t="str">
        <f t="shared" si="38"/>
        <v/>
      </c>
      <c r="Z195" s="42" t="str">
        <f>IF($A195="","",IF($A195="?","Lipseste ID-ul comenzii (col. A din PI Furnizor)",IF(NOT(ISNUMBER($X195)),"ID comanda negasit in foaia Comenzi",IF(N($E195)&lt;=0,"Lipseste cantitatea",IF(N($G195)=0,"Pret unitar lipsa",IF($Y195&lt;&gt;1,"Curs sau moneda marfa lipsa (foaia Comenzi)",IF(INDEX(Comenzi!$AT:$AT,$X195)&lt;&gt;"OK","Avertisment comanda: "&amp;INDEX(Comenzi!$AT:$AT,$X195),"OK")))))))</f>
        <v/>
      </c>
      <c r="AA195" s="43" t="str">
        <f>IF(ISNUMBER($X195),INDEX(Comenzi!$H:$H,$X195),"")</f>
        <v/>
      </c>
      <c r="AB195" s="43" t="str">
        <f>IF(ISNUMBER($X195),INDEX(Comenzi!$I:$I,$X195),"")</f>
        <v/>
      </c>
      <c r="AC195" s="44" t="str">
        <f>IF(ISNUMBER($X195),IF(INDEX(Comenzi!$V:$V,$X195)="",Comenzi!$D$3,INDEX(Comenzi!$V:$V,$X195)),"")</f>
        <v/>
      </c>
      <c r="AD195" s="44" t="str">
        <f>IF(ISNUMBER($X195),IF(INDEX(Comenzi!$U:$U,$X195)="",Comenzi!$D$4,INDEX(Comenzi!$U:$U,$X195)),"")</f>
        <v/>
      </c>
      <c r="AE195" s="45" t="str">
        <f>IF($Y195&lt;&gt;1,"",IF(INDEX(Comenzi!$AM:$AM,$X195)="Greutate",INDEX('PI Furnizor'!$O:$O,ROW()-3),IF(INDEX(Comenzi!$AM:$AM,$X195)="Volum (CBM)",INDEX('PI Furnizor'!$Q:$Q,ROW()-3),IF(INDEX(Comenzi!$AM:$AM,$X195)="Valoare marfa",INDEX('PI Furnizor'!$N:$N,ROW()-3),$E195))))</f>
        <v/>
      </c>
    </row>
    <row r="196" spans="1:31" x14ac:dyDescent="0.3">
      <c r="A196" s="28" t="str">
        <f>IF(COUNTA(INDEX('PI Furnizor'!$A:$E,ROW()-3,0))=0,"",IF(INDEX('PI Furnizor'!$A:$A,ROW()-3)="","?",INDEX('PI Furnizor'!$A:$A,ROW()-3)))</f>
        <v/>
      </c>
      <c r="B196" s="29" t="str">
        <f>IF(ISNUMBER($X196),INDEX(Comenzi!$B:$B,$X196),"")</f>
        <v/>
      </c>
      <c r="C196" s="28" t="str">
        <f>IF($A196="","",INDEX('PI Furnizor'!$B:$B,ROW()-3)&amp;"")</f>
        <v/>
      </c>
      <c r="D196" s="28" t="str">
        <f>IF($A196="","",INDEX('PI Furnizor'!$C:$C,ROW()-3)&amp;"")</f>
        <v/>
      </c>
      <c r="E196" s="30" t="str">
        <f>IF($A196="","",N(INDEX('PI Furnizor'!$D:$D,ROW()-3)))</f>
        <v/>
      </c>
      <c r="F196" s="31" t="str">
        <f>IF(ISNUMBER($X196),INDEX(Comenzi!$G:$G,$X196),"")</f>
        <v/>
      </c>
      <c r="G196" s="32" t="str">
        <f>IF($A196="","",N(INDEX('PI Furnizor'!$E:$E,ROW()-3)))</f>
        <v/>
      </c>
      <c r="H196" s="33" t="str">
        <f t="shared" si="26"/>
        <v/>
      </c>
      <c r="I196" s="34" t="str">
        <f>IF($Y196&lt;&gt;1,"",IFERROR($AE196/INDEX(Comenzi!$AN:$AN,$X196),0))</f>
        <v/>
      </c>
      <c r="J196" s="33" t="str">
        <f>IF($Y196&lt;&gt;1,"",INDEX(Comenzi!$AG:$AG,$X196)*$I196/$E196)</f>
        <v/>
      </c>
      <c r="K196" s="33" t="str">
        <f t="shared" si="27"/>
        <v/>
      </c>
      <c r="L196" s="33" t="str">
        <f>IF($Y196&lt;&gt;1,"",$K196*$AD196+INDEX(Comenzi!$AJ:$AJ,$X196)*$I196/$E196)</f>
        <v/>
      </c>
      <c r="M196" s="33" t="str">
        <f t="shared" si="28"/>
        <v/>
      </c>
      <c r="N196" s="33" t="str">
        <f t="shared" si="29"/>
        <v/>
      </c>
      <c r="O196" s="33" t="str">
        <f>IF($Y196&lt;&gt;1,"",(INDEX(Comenzi!$AK:$AK,$X196)+N(INDEX(Comenzi!$T:$T,$X196)))*$I196/$E196)</f>
        <v/>
      </c>
      <c r="P196" s="35" t="str">
        <f t="shared" si="30"/>
        <v/>
      </c>
      <c r="Q196" s="36" t="str">
        <f t="shared" si="31"/>
        <v/>
      </c>
      <c r="R196" s="37" t="str">
        <f t="shared" si="32"/>
        <v/>
      </c>
      <c r="S196" s="38" t="str">
        <f t="shared" si="33"/>
        <v/>
      </c>
      <c r="T196" s="39" t="str">
        <f t="shared" si="34"/>
        <v/>
      </c>
      <c r="U196" s="40" t="str">
        <f t="shared" si="35"/>
        <v/>
      </c>
      <c r="V196" s="33" t="str">
        <f t="shared" si="36"/>
        <v/>
      </c>
      <c r="W196" s="33" t="str">
        <f t="shared" si="37"/>
        <v/>
      </c>
      <c r="X196" s="41" t="str">
        <f>IF($A196="","",IFERROR(MATCH($A196,Comenzi!$A$9:$A$108,0)+8,""))</f>
        <v/>
      </c>
      <c r="Y196" s="41" t="str">
        <f t="shared" si="38"/>
        <v/>
      </c>
      <c r="Z196" s="42" t="str">
        <f>IF($A196="","",IF($A196="?","Lipseste ID-ul comenzii (col. A din PI Furnizor)",IF(NOT(ISNUMBER($X196)),"ID comanda negasit in foaia Comenzi",IF(N($E196)&lt;=0,"Lipseste cantitatea",IF(N($G196)=0,"Pret unitar lipsa",IF($Y196&lt;&gt;1,"Curs sau moneda marfa lipsa (foaia Comenzi)",IF(INDEX(Comenzi!$AT:$AT,$X196)&lt;&gt;"OK","Avertisment comanda: "&amp;INDEX(Comenzi!$AT:$AT,$X196),"OK")))))))</f>
        <v/>
      </c>
      <c r="AA196" s="43" t="str">
        <f>IF(ISNUMBER($X196),INDEX(Comenzi!$H:$H,$X196),"")</f>
        <v/>
      </c>
      <c r="AB196" s="43" t="str">
        <f>IF(ISNUMBER($X196),INDEX(Comenzi!$I:$I,$X196),"")</f>
        <v/>
      </c>
      <c r="AC196" s="44" t="str">
        <f>IF(ISNUMBER($X196),IF(INDEX(Comenzi!$V:$V,$X196)="",Comenzi!$D$3,INDEX(Comenzi!$V:$V,$X196)),"")</f>
        <v/>
      </c>
      <c r="AD196" s="44" t="str">
        <f>IF(ISNUMBER($X196),IF(INDEX(Comenzi!$U:$U,$X196)="",Comenzi!$D$4,INDEX(Comenzi!$U:$U,$X196)),"")</f>
        <v/>
      </c>
      <c r="AE196" s="45" t="str">
        <f>IF($Y196&lt;&gt;1,"",IF(INDEX(Comenzi!$AM:$AM,$X196)="Greutate",INDEX('PI Furnizor'!$O:$O,ROW()-3),IF(INDEX(Comenzi!$AM:$AM,$X196)="Volum (CBM)",INDEX('PI Furnizor'!$Q:$Q,ROW()-3),IF(INDEX(Comenzi!$AM:$AM,$X196)="Valoare marfa",INDEX('PI Furnizor'!$N:$N,ROW()-3),$E196))))</f>
        <v/>
      </c>
    </row>
    <row r="197" spans="1:31" x14ac:dyDescent="0.3">
      <c r="A197" s="28" t="str">
        <f>IF(COUNTA(INDEX('PI Furnizor'!$A:$E,ROW()-3,0))=0,"",IF(INDEX('PI Furnizor'!$A:$A,ROW()-3)="","?",INDEX('PI Furnizor'!$A:$A,ROW()-3)))</f>
        <v/>
      </c>
      <c r="B197" s="29" t="str">
        <f>IF(ISNUMBER($X197),INDEX(Comenzi!$B:$B,$X197),"")</f>
        <v/>
      </c>
      <c r="C197" s="28" t="str">
        <f>IF($A197="","",INDEX('PI Furnizor'!$B:$B,ROW()-3)&amp;"")</f>
        <v/>
      </c>
      <c r="D197" s="28" t="str">
        <f>IF($A197="","",INDEX('PI Furnizor'!$C:$C,ROW()-3)&amp;"")</f>
        <v/>
      </c>
      <c r="E197" s="30" t="str">
        <f>IF($A197="","",N(INDEX('PI Furnizor'!$D:$D,ROW()-3)))</f>
        <v/>
      </c>
      <c r="F197" s="31" t="str">
        <f>IF(ISNUMBER($X197),INDEX(Comenzi!$G:$G,$X197),"")</f>
        <v/>
      </c>
      <c r="G197" s="32" t="str">
        <f>IF($A197="","",N(INDEX('PI Furnizor'!$E:$E,ROW()-3)))</f>
        <v/>
      </c>
      <c r="H197" s="33" t="str">
        <f t="shared" si="26"/>
        <v/>
      </c>
      <c r="I197" s="34" t="str">
        <f>IF($Y197&lt;&gt;1,"",IFERROR($AE197/INDEX(Comenzi!$AN:$AN,$X197),0))</f>
        <v/>
      </c>
      <c r="J197" s="33" t="str">
        <f>IF($Y197&lt;&gt;1,"",INDEX(Comenzi!$AG:$AG,$X197)*$I197/$E197)</f>
        <v/>
      </c>
      <c r="K197" s="33" t="str">
        <f t="shared" si="27"/>
        <v/>
      </c>
      <c r="L197" s="33" t="str">
        <f>IF($Y197&lt;&gt;1,"",$K197*$AD197+INDEX(Comenzi!$AJ:$AJ,$X197)*$I197/$E197)</f>
        <v/>
      </c>
      <c r="M197" s="33" t="str">
        <f t="shared" si="28"/>
        <v/>
      </c>
      <c r="N197" s="33" t="str">
        <f t="shared" si="29"/>
        <v/>
      </c>
      <c r="O197" s="33" t="str">
        <f>IF($Y197&lt;&gt;1,"",(INDEX(Comenzi!$AK:$AK,$X197)+N(INDEX(Comenzi!$T:$T,$X197)))*$I197/$E197)</f>
        <v/>
      </c>
      <c r="P197" s="35" t="str">
        <f t="shared" si="30"/>
        <v/>
      </c>
      <c r="Q197" s="36" t="str">
        <f t="shared" si="31"/>
        <v/>
      </c>
      <c r="R197" s="37" t="str">
        <f t="shared" si="32"/>
        <v/>
      </c>
      <c r="S197" s="38" t="str">
        <f t="shared" si="33"/>
        <v/>
      </c>
      <c r="T197" s="39" t="str">
        <f t="shared" si="34"/>
        <v/>
      </c>
      <c r="U197" s="40" t="str">
        <f t="shared" si="35"/>
        <v/>
      </c>
      <c r="V197" s="33" t="str">
        <f t="shared" si="36"/>
        <v/>
      </c>
      <c r="W197" s="33" t="str">
        <f t="shared" si="37"/>
        <v/>
      </c>
      <c r="X197" s="41" t="str">
        <f>IF($A197="","",IFERROR(MATCH($A197,Comenzi!$A$9:$A$108,0)+8,""))</f>
        <v/>
      </c>
      <c r="Y197" s="41" t="str">
        <f t="shared" si="38"/>
        <v/>
      </c>
      <c r="Z197" s="42" t="str">
        <f>IF($A197="","",IF($A197="?","Lipseste ID-ul comenzii (col. A din PI Furnizor)",IF(NOT(ISNUMBER($X197)),"ID comanda negasit in foaia Comenzi",IF(N($E197)&lt;=0,"Lipseste cantitatea",IF(N($G197)=0,"Pret unitar lipsa",IF($Y197&lt;&gt;1,"Curs sau moneda marfa lipsa (foaia Comenzi)",IF(INDEX(Comenzi!$AT:$AT,$X197)&lt;&gt;"OK","Avertisment comanda: "&amp;INDEX(Comenzi!$AT:$AT,$X197),"OK")))))))</f>
        <v/>
      </c>
      <c r="AA197" s="43" t="str">
        <f>IF(ISNUMBER($X197),INDEX(Comenzi!$H:$H,$X197),"")</f>
        <v/>
      </c>
      <c r="AB197" s="43" t="str">
        <f>IF(ISNUMBER($X197),INDEX(Comenzi!$I:$I,$X197),"")</f>
        <v/>
      </c>
      <c r="AC197" s="44" t="str">
        <f>IF(ISNUMBER($X197),IF(INDEX(Comenzi!$V:$V,$X197)="",Comenzi!$D$3,INDEX(Comenzi!$V:$V,$X197)),"")</f>
        <v/>
      </c>
      <c r="AD197" s="44" t="str">
        <f>IF(ISNUMBER($X197),IF(INDEX(Comenzi!$U:$U,$X197)="",Comenzi!$D$4,INDEX(Comenzi!$U:$U,$X197)),"")</f>
        <v/>
      </c>
      <c r="AE197" s="45" t="str">
        <f>IF($Y197&lt;&gt;1,"",IF(INDEX(Comenzi!$AM:$AM,$X197)="Greutate",INDEX('PI Furnizor'!$O:$O,ROW()-3),IF(INDEX(Comenzi!$AM:$AM,$X197)="Volum (CBM)",INDEX('PI Furnizor'!$Q:$Q,ROW()-3),IF(INDEX(Comenzi!$AM:$AM,$X197)="Valoare marfa",INDEX('PI Furnizor'!$N:$N,ROW()-3),$E197))))</f>
        <v/>
      </c>
    </row>
    <row r="198" spans="1:31" x14ac:dyDescent="0.3">
      <c r="A198" s="28" t="str">
        <f>IF(COUNTA(INDEX('PI Furnizor'!$A:$E,ROW()-3,0))=0,"",IF(INDEX('PI Furnizor'!$A:$A,ROW()-3)="","?",INDEX('PI Furnizor'!$A:$A,ROW()-3)))</f>
        <v/>
      </c>
      <c r="B198" s="29" t="str">
        <f>IF(ISNUMBER($X198),INDEX(Comenzi!$B:$B,$X198),"")</f>
        <v/>
      </c>
      <c r="C198" s="28" t="str">
        <f>IF($A198="","",INDEX('PI Furnizor'!$B:$B,ROW()-3)&amp;"")</f>
        <v/>
      </c>
      <c r="D198" s="28" t="str">
        <f>IF($A198="","",INDEX('PI Furnizor'!$C:$C,ROW()-3)&amp;"")</f>
        <v/>
      </c>
      <c r="E198" s="30" t="str">
        <f>IF($A198="","",N(INDEX('PI Furnizor'!$D:$D,ROW()-3)))</f>
        <v/>
      </c>
      <c r="F198" s="31" t="str">
        <f>IF(ISNUMBER($X198),INDEX(Comenzi!$G:$G,$X198),"")</f>
        <v/>
      </c>
      <c r="G198" s="32" t="str">
        <f>IF($A198="","",N(INDEX('PI Furnizor'!$E:$E,ROW()-3)))</f>
        <v/>
      </c>
      <c r="H198" s="33" t="str">
        <f t="shared" si="26"/>
        <v/>
      </c>
      <c r="I198" s="34" t="str">
        <f>IF($Y198&lt;&gt;1,"",IFERROR($AE198/INDEX(Comenzi!$AN:$AN,$X198),0))</f>
        <v/>
      </c>
      <c r="J198" s="33" t="str">
        <f>IF($Y198&lt;&gt;1,"",INDEX(Comenzi!$AG:$AG,$X198)*$I198/$E198)</f>
        <v/>
      </c>
      <c r="K198" s="33" t="str">
        <f t="shared" si="27"/>
        <v/>
      </c>
      <c r="L198" s="33" t="str">
        <f>IF($Y198&lt;&gt;1,"",$K198*$AD198+INDEX(Comenzi!$AJ:$AJ,$X198)*$I198/$E198)</f>
        <v/>
      </c>
      <c r="M198" s="33" t="str">
        <f t="shared" si="28"/>
        <v/>
      </c>
      <c r="N198" s="33" t="str">
        <f t="shared" si="29"/>
        <v/>
      </c>
      <c r="O198" s="33" t="str">
        <f>IF($Y198&lt;&gt;1,"",(INDEX(Comenzi!$AK:$AK,$X198)+N(INDEX(Comenzi!$T:$T,$X198)))*$I198/$E198)</f>
        <v/>
      </c>
      <c r="P198" s="35" t="str">
        <f t="shared" si="30"/>
        <v/>
      </c>
      <c r="Q198" s="36" t="str">
        <f t="shared" si="31"/>
        <v/>
      </c>
      <c r="R198" s="37" t="str">
        <f t="shared" si="32"/>
        <v/>
      </c>
      <c r="S198" s="38" t="str">
        <f t="shared" si="33"/>
        <v/>
      </c>
      <c r="T198" s="39" t="str">
        <f t="shared" si="34"/>
        <v/>
      </c>
      <c r="U198" s="40" t="str">
        <f t="shared" si="35"/>
        <v/>
      </c>
      <c r="V198" s="33" t="str">
        <f t="shared" si="36"/>
        <v/>
      </c>
      <c r="W198" s="33" t="str">
        <f t="shared" si="37"/>
        <v/>
      </c>
      <c r="X198" s="41" t="str">
        <f>IF($A198="","",IFERROR(MATCH($A198,Comenzi!$A$9:$A$108,0)+8,""))</f>
        <v/>
      </c>
      <c r="Y198" s="41" t="str">
        <f t="shared" si="38"/>
        <v/>
      </c>
      <c r="Z198" s="42" t="str">
        <f>IF($A198="","",IF($A198="?","Lipseste ID-ul comenzii (col. A din PI Furnizor)",IF(NOT(ISNUMBER($X198)),"ID comanda negasit in foaia Comenzi",IF(N($E198)&lt;=0,"Lipseste cantitatea",IF(N($G198)=0,"Pret unitar lipsa",IF($Y198&lt;&gt;1,"Curs sau moneda marfa lipsa (foaia Comenzi)",IF(INDEX(Comenzi!$AT:$AT,$X198)&lt;&gt;"OK","Avertisment comanda: "&amp;INDEX(Comenzi!$AT:$AT,$X198),"OK")))))))</f>
        <v/>
      </c>
      <c r="AA198" s="43" t="str">
        <f>IF(ISNUMBER($X198),INDEX(Comenzi!$H:$H,$X198),"")</f>
        <v/>
      </c>
      <c r="AB198" s="43" t="str">
        <f>IF(ISNUMBER($X198),INDEX(Comenzi!$I:$I,$X198),"")</f>
        <v/>
      </c>
      <c r="AC198" s="44" t="str">
        <f>IF(ISNUMBER($X198),IF(INDEX(Comenzi!$V:$V,$X198)="",Comenzi!$D$3,INDEX(Comenzi!$V:$V,$X198)),"")</f>
        <v/>
      </c>
      <c r="AD198" s="44" t="str">
        <f>IF(ISNUMBER($X198),IF(INDEX(Comenzi!$U:$U,$X198)="",Comenzi!$D$4,INDEX(Comenzi!$U:$U,$X198)),"")</f>
        <v/>
      </c>
      <c r="AE198" s="45" t="str">
        <f>IF($Y198&lt;&gt;1,"",IF(INDEX(Comenzi!$AM:$AM,$X198)="Greutate",INDEX('PI Furnizor'!$O:$O,ROW()-3),IF(INDEX(Comenzi!$AM:$AM,$X198)="Volum (CBM)",INDEX('PI Furnizor'!$Q:$Q,ROW()-3),IF(INDEX(Comenzi!$AM:$AM,$X198)="Valoare marfa",INDEX('PI Furnizor'!$N:$N,ROW()-3),$E198))))</f>
        <v/>
      </c>
    </row>
    <row r="199" spans="1:31" x14ac:dyDescent="0.3">
      <c r="A199" s="28" t="str">
        <f>IF(COUNTA(INDEX('PI Furnizor'!$A:$E,ROW()-3,0))=0,"",IF(INDEX('PI Furnizor'!$A:$A,ROW()-3)="","?",INDEX('PI Furnizor'!$A:$A,ROW()-3)))</f>
        <v/>
      </c>
      <c r="B199" s="29" t="str">
        <f>IF(ISNUMBER($X199),INDEX(Comenzi!$B:$B,$X199),"")</f>
        <v/>
      </c>
      <c r="C199" s="28" t="str">
        <f>IF($A199="","",INDEX('PI Furnizor'!$B:$B,ROW()-3)&amp;"")</f>
        <v/>
      </c>
      <c r="D199" s="28" t="str">
        <f>IF($A199="","",INDEX('PI Furnizor'!$C:$C,ROW()-3)&amp;"")</f>
        <v/>
      </c>
      <c r="E199" s="30" t="str">
        <f>IF($A199="","",N(INDEX('PI Furnizor'!$D:$D,ROW()-3)))</f>
        <v/>
      </c>
      <c r="F199" s="31" t="str">
        <f>IF(ISNUMBER($X199),INDEX(Comenzi!$G:$G,$X199),"")</f>
        <v/>
      </c>
      <c r="G199" s="32" t="str">
        <f>IF($A199="","",N(INDEX('PI Furnizor'!$E:$E,ROW()-3)))</f>
        <v/>
      </c>
      <c r="H199" s="33" t="str">
        <f t="shared" si="26"/>
        <v/>
      </c>
      <c r="I199" s="34" t="str">
        <f>IF($Y199&lt;&gt;1,"",IFERROR($AE199/INDEX(Comenzi!$AN:$AN,$X199),0))</f>
        <v/>
      </c>
      <c r="J199" s="33" t="str">
        <f>IF($Y199&lt;&gt;1,"",INDEX(Comenzi!$AG:$AG,$X199)*$I199/$E199)</f>
        <v/>
      </c>
      <c r="K199" s="33" t="str">
        <f t="shared" si="27"/>
        <v/>
      </c>
      <c r="L199" s="33" t="str">
        <f>IF($Y199&lt;&gt;1,"",$K199*$AD199+INDEX(Comenzi!$AJ:$AJ,$X199)*$I199/$E199)</f>
        <v/>
      </c>
      <c r="M199" s="33" t="str">
        <f t="shared" si="28"/>
        <v/>
      </c>
      <c r="N199" s="33" t="str">
        <f t="shared" si="29"/>
        <v/>
      </c>
      <c r="O199" s="33" t="str">
        <f>IF($Y199&lt;&gt;1,"",(INDEX(Comenzi!$AK:$AK,$X199)+N(INDEX(Comenzi!$T:$T,$X199)))*$I199/$E199)</f>
        <v/>
      </c>
      <c r="P199" s="35" t="str">
        <f t="shared" si="30"/>
        <v/>
      </c>
      <c r="Q199" s="36" t="str">
        <f t="shared" si="31"/>
        <v/>
      </c>
      <c r="R199" s="37" t="str">
        <f t="shared" si="32"/>
        <v/>
      </c>
      <c r="S199" s="38" t="str">
        <f t="shared" si="33"/>
        <v/>
      </c>
      <c r="T199" s="39" t="str">
        <f t="shared" si="34"/>
        <v/>
      </c>
      <c r="U199" s="40" t="str">
        <f t="shared" si="35"/>
        <v/>
      </c>
      <c r="V199" s="33" t="str">
        <f t="shared" si="36"/>
        <v/>
      </c>
      <c r="W199" s="33" t="str">
        <f t="shared" si="37"/>
        <v/>
      </c>
      <c r="X199" s="41" t="str">
        <f>IF($A199="","",IFERROR(MATCH($A199,Comenzi!$A$9:$A$108,0)+8,""))</f>
        <v/>
      </c>
      <c r="Y199" s="41" t="str">
        <f t="shared" si="38"/>
        <v/>
      </c>
      <c r="Z199" s="42" t="str">
        <f>IF($A199="","",IF($A199="?","Lipseste ID-ul comenzii (col. A din PI Furnizor)",IF(NOT(ISNUMBER($X199)),"ID comanda negasit in foaia Comenzi",IF(N($E199)&lt;=0,"Lipseste cantitatea",IF(N($G199)=0,"Pret unitar lipsa",IF($Y199&lt;&gt;1,"Curs sau moneda marfa lipsa (foaia Comenzi)",IF(INDEX(Comenzi!$AT:$AT,$X199)&lt;&gt;"OK","Avertisment comanda: "&amp;INDEX(Comenzi!$AT:$AT,$X199),"OK")))))))</f>
        <v/>
      </c>
      <c r="AA199" s="43" t="str">
        <f>IF(ISNUMBER($X199),INDEX(Comenzi!$H:$H,$X199),"")</f>
        <v/>
      </c>
      <c r="AB199" s="43" t="str">
        <f>IF(ISNUMBER($X199),INDEX(Comenzi!$I:$I,$X199),"")</f>
        <v/>
      </c>
      <c r="AC199" s="44" t="str">
        <f>IF(ISNUMBER($X199),IF(INDEX(Comenzi!$V:$V,$X199)="",Comenzi!$D$3,INDEX(Comenzi!$V:$V,$X199)),"")</f>
        <v/>
      </c>
      <c r="AD199" s="44" t="str">
        <f>IF(ISNUMBER($X199),IF(INDEX(Comenzi!$U:$U,$X199)="",Comenzi!$D$4,INDEX(Comenzi!$U:$U,$X199)),"")</f>
        <v/>
      </c>
      <c r="AE199" s="45" t="str">
        <f>IF($Y199&lt;&gt;1,"",IF(INDEX(Comenzi!$AM:$AM,$X199)="Greutate",INDEX('PI Furnizor'!$O:$O,ROW()-3),IF(INDEX(Comenzi!$AM:$AM,$X199)="Volum (CBM)",INDEX('PI Furnizor'!$Q:$Q,ROW()-3),IF(INDEX(Comenzi!$AM:$AM,$X199)="Valoare marfa",INDEX('PI Furnizor'!$N:$N,ROW()-3),$E199))))</f>
        <v/>
      </c>
    </row>
    <row r="200" spans="1:31" x14ac:dyDescent="0.3">
      <c r="A200" s="28" t="str">
        <f>IF(COUNTA(INDEX('PI Furnizor'!$A:$E,ROW()-3,0))=0,"",IF(INDEX('PI Furnizor'!$A:$A,ROW()-3)="","?",INDEX('PI Furnizor'!$A:$A,ROW()-3)))</f>
        <v/>
      </c>
      <c r="B200" s="29" t="str">
        <f>IF(ISNUMBER($X200),INDEX(Comenzi!$B:$B,$X200),"")</f>
        <v/>
      </c>
      <c r="C200" s="28" t="str">
        <f>IF($A200="","",INDEX('PI Furnizor'!$B:$B,ROW()-3)&amp;"")</f>
        <v/>
      </c>
      <c r="D200" s="28" t="str">
        <f>IF($A200="","",INDEX('PI Furnizor'!$C:$C,ROW()-3)&amp;"")</f>
        <v/>
      </c>
      <c r="E200" s="30" t="str">
        <f>IF($A200="","",N(INDEX('PI Furnizor'!$D:$D,ROW()-3)))</f>
        <v/>
      </c>
      <c r="F200" s="31" t="str">
        <f>IF(ISNUMBER($X200),INDEX(Comenzi!$G:$G,$X200),"")</f>
        <v/>
      </c>
      <c r="G200" s="32" t="str">
        <f>IF($A200="","",N(INDEX('PI Furnizor'!$E:$E,ROW()-3)))</f>
        <v/>
      </c>
      <c r="H200" s="33" t="str">
        <f t="shared" si="26"/>
        <v/>
      </c>
      <c r="I200" s="34" t="str">
        <f>IF($Y200&lt;&gt;1,"",IFERROR($AE200/INDEX(Comenzi!$AN:$AN,$X200),0))</f>
        <v/>
      </c>
      <c r="J200" s="33" t="str">
        <f>IF($Y200&lt;&gt;1,"",INDEX(Comenzi!$AG:$AG,$X200)*$I200/$E200)</f>
        <v/>
      </c>
      <c r="K200" s="33" t="str">
        <f t="shared" si="27"/>
        <v/>
      </c>
      <c r="L200" s="33" t="str">
        <f>IF($Y200&lt;&gt;1,"",$K200*$AD200+INDEX(Comenzi!$AJ:$AJ,$X200)*$I200/$E200)</f>
        <v/>
      </c>
      <c r="M200" s="33" t="str">
        <f t="shared" si="28"/>
        <v/>
      </c>
      <c r="N200" s="33" t="str">
        <f t="shared" si="29"/>
        <v/>
      </c>
      <c r="O200" s="33" t="str">
        <f>IF($Y200&lt;&gt;1,"",(INDEX(Comenzi!$AK:$AK,$X200)+N(INDEX(Comenzi!$T:$T,$X200)))*$I200/$E200)</f>
        <v/>
      </c>
      <c r="P200" s="35" t="str">
        <f t="shared" si="30"/>
        <v/>
      </c>
      <c r="Q200" s="36" t="str">
        <f t="shared" si="31"/>
        <v/>
      </c>
      <c r="R200" s="37" t="str">
        <f t="shared" si="32"/>
        <v/>
      </c>
      <c r="S200" s="38" t="str">
        <f t="shared" si="33"/>
        <v/>
      </c>
      <c r="T200" s="39" t="str">
        <f t="shared" si="34"/>
        <v/>
      </c>
      <c r="U200" s="40" t="str">
        <f t="shared" si="35"/>
        <v/>
      </c>
      <c r="V200" s="33" t="str">
        <f t="shared" si="36"/>
        <v/>
      </c>
      <c r="W200" s="33" t="str">
        <f t="shared" si="37"/>
        <v/>
      </c>
      <c r="X200" s="41" t="str">
        <f>IF($A200="","",IFERROR(MATCH($A200,Comenzi!$A$9:$A$108,0)+8,""))</f>
        <v/>
      </c>
      <c r="Y200" s="41" t="str">
        <f t="shared" si="38"/>
        <v/>
      </c>
      <c r="Z200" s="42" t="str">
        <f>IF($A200="","",IF($A200="?","Lipseste ID-ul comenzii (col. A din PI Furnizor)",IF(NOT(ISNUMBER($X200)),"ID comanda negasit in foaia Comenzi",IF(N($E200)&lt;=0,"Lipseste cantitatea",IF(N($G200)=0,"Pret unitar lipsa",IF($Y200&lt;&gt;1,"Curs sau moneda marfa lipsa (foaia Comenzi)",IF(INDEX(Comenzi!$AT:$AT,$X200)&lt;&gt;"OK","Avertisment comanda: "&amp;INDEX(Comenzi!$AT:$AT,$X200),"OK")))))))</f>
        <v/>
      </c>
      <c r="AA200" s="43" t="str">
        <f>IF(ISNUMBER($X200),INDEX(Comenzi!$H:$H,$X200),"")</f>
        <v/>
      </c>
      <c r="AB200" s="43" t="str">
        <f>IF(ISNUMBER($X200),INDEX(Comenzi!$I:$I,$X200),"")</f>
        <v/>
      </c>
      <c r="AC200" s="44" t="str">
        <f>IF(ISNUMBER($X200),IF(INDEX(Comenzi!$V:$V,$X200)="",Comenzi!$D$3,INDEX(Comenzi!$V:$V,$X200)),"")</f>
        <v/>
      </c>
      <c r="AD200" s="44" t="str">
        <f>IF(ISNUMBER($X200),IF(INDEX(Comenzi!$U:$U,$X200)="",Comenzi!$D$4,INDEX(Comenzi!$U:$U,$X200)),"")</f>
        <v/>
      </c>
      <c r="AE200" s="45" t="str">
        <f>IF($Y200&lt;&gt;1,"",IF(INDEX(Comenzi!$AM:$AM,$X200)="Greutate",INDEX('PI Furnizor'!$O:$O,ROW()-3),IF(INDEX(Comenzi!$AM:$AM,$X200)="Volum (CBM)",INDEX('PI Furnizor'!$Q:$Q,ROW()-3),IF(INDEX(Comenzi!$AM:$AM,$X200)="Valoare marfa",INDEX('PI Furnizor'!$N:$N,ROW()-3),$E200))))</f>
        <v/>
      </c>
    </row>
    <row r="201" spans="1:31" x14ac:dyDescent="0.3">
      <c r="A201" s="28" t="str">
        <f>IF(COUNTA(INDEX('PI Furnizor'!$A:$E,ROW()-3,0))=0,"",IF(INDEX('PI Furnizor'!$A:$A,ROW()-3)="","?",INDEX('PI Furnizor'!$A:$A,ROW()-3)))</f>
        <v/>
      </c>
      <c r="B201" s="29" t="str">
        <f>IF(ISNUMBER($X201),INDEX(Comenzi!$B:$B,$X201),"")</f>
        <v/>
      </c>
      <c r="C201" s="28" t="str">
        <f>IF($A201="","",INDEX('PI Furnizor'!$B:$B,ROW()-3)&amp;"")</f>
        <v/>
      </c>
      <c r="D201" s="28" t="str">
        <f>IF($A201="","",INDEX('PI Furnizor'!$C:$C,ROW()-3)&amp;"")</f>
        <v/>
      </c>
      <c r="E201" s="30" t="str">
        <f>IF($A201="","",N(INDEX('PI Furnizor'!$D:$D,ROW()-3)))</f>
        <v/>
      </c>
      <c r="F201" s="31" t="str">
        <f>IF(ISNUMBER($X201),INDEX(Comenzi!$G:$G,$X201),"")</f>
        <v/>
      </c>
      <c r="G201" s="32" t="str">
        <f>IF($A201="","",N(INDEX('PI Furnizor'!$E:$E,ROW()-3)))</f>
        <v/>
      </c>
      <c r="H201" s="33" t="str">
        <f t="shared" si="26"/>
        <v/>
      </c>
      <c r="I201" s="34" t="str">
        <f>IF($Y201&lt;&gt;1,"",IFERROR($AE201/INDEX(Comenzi!$AN:$AN,$X201),0))</f>
        <v/>
      </c>
      <c r="J201" s="33" t="str">
        <f>IF($Y201&lt;&gt;1,"",INDEX(Comenzi!$AG:$AG,$X201)*$I201/$E201)</f>
        <v/>
      </c>
      <c r="K201" s="33" t="str">
        <f t="shared" si="27"/>
        <v/>
      </c>
      <c r="L201" s="33" t="str">
        <f>IF($Y201&lt;&gt;1,"",$K201*$AD201+INDEX(Comenzi!$AJ:$AJ,$X201)*$I201/$E201)</f>
        <v/>
      </c>
      <c r="M201" s="33" t="str">
        <f t="shared" si="28"/>
        <v/>
      </c>
      <c r="N201" s="33" t="str">
        <f t="shared" si="29"/>
        <v/>
      </c>
      <c r="O201" s="33" t="str">
        <f>IF($Y201&lt;&gt;1,"",(INDEX(Comenzi!$AK:$AK,$X201)+N(INDEX(Comenzi!$T:$T,$X201)))*$I201/$E201)</f>
        <v/>
      </c>
      <c r="P201" s="35" t="str">
        <f t="shared" si="30"/>
        <v/>
      </c>
      <c r="Q201" s="36" t="str">
        <f t="shared" si="31"/>
        <v/>
      </c>
      <c r="R201" s="37" t="str">
        <f t="shared" si="32"/>
        <v/>
      </c>
      <c r="S201" s="38" t="str">
        <f t="shared" si="33"/>
        <v/>
      </c>
      <c r="T201" s="39" t="str">
        <f t="shared" si="34"/>
        <v/>
      </c>
      <c r="U201" s="40" t="str">
        <f t="shared" si="35"/>
        <v/>
      </c>
      <c r="V201" s="33" t="str">
        <f t="shared" si="36"/>
        <v/>
      </c>
      <c r="W201" s="33" t="str">
        <f t="shared" si="37"/>
        <v/>
      </c>
      <c r="X201" s="41" t="str">
        <f>IF($A201="","",IFERROR(MATCH($A201,Comenzi!$A$9:$A$108,0)+8,""))</f>
        <v/>
      </c>
      <c r="Y201" s="41" t="str">
        <f t="shared" si="38"/>
        <v/>
      </c>
      <c r="Z201" s="42" t="str">
        <f>IF($A201="","",IF($A201="?","Lipseste ID-ul comenzii (col. A din PI Furnizor)",IF(NOT(ISNUMBER($X201)),"ID comanda negasit in foaia Comenzi",IF(N($E201)&lt;=0,"Lipseste cantitatea",IF(N($G201)=0,"Pret unitar lipsa",IF($Y201&lt;&gt;1,"Curs sau moneda marfa lipsa (foaia Comenzi)",IF(INDEX(Comenzi!$AT:$AT,$X201)&lt;&gt;"OK","Avertisment comanda: "&amp;INDEX(Comenzi!$AT:$AT,$X201),"OK")))))))</f>
        <v/>
      </c>
      <c r="AA201" s="43" t="str">
        <f>IF(ISNUMBER($X201),INDEX(Comenzi!$H:$H,$X201),"")</f>
        <v/>
      </c>
      <c r="AB201" s="43" t="str">
        <f>IF(ISNUMBER($X201),INDEX(Comenzi!$I:$I,$X201),"")</f>
        <v/>
      </c>
      <c r="AC201" s="44" t="str">
        <f>IF(ISNUMBER($X201),IF(INDEX(Comenzi!$V:$V,$X201)="",Comenzi!$D$3,INDEX(Comenzi!$V:$V,$X201)),"")</f>
        <v/>
      </c>
      <c r="AD201" s="44" t="str">
        <f>IF(ISNUMBER($X201),IF(INDEX(Comenzi!$U:$U,$X201)="",Comenzi!$D$4,INDEX(Comenzi!$U:$U,$X201)),"")</f>
        <v/>
      </c>
      <c r="AE201" s="45" t="str">
        <f>IF($Y201&lt;&gt;1,"",IF(INDEX(Comenzi!$AM:$AM,$X201)="Greutate",INDEX('PI Furnizor'!$O:$O,ROW()-3),IF(INDEX(Comenzi!$AM:$AM,$X201)="Volum (CBM)",INDEX('PI Furnizor'!$Q:$Q,ROW()-3),IF(INDEX(Comenzi!$AM:$AM,$X201)="Valoare marfa",INDEX('PI Furnizor'!$N:$N,ROW()-3),$E201))))</f>
        <v/>
      </c>
    </row>
    <row r="202" spans="1:31" x14ac:dyDescent="0.3">
      <c r="A202" s="28" t="str">
        <f>IF(COUNTA(INDEX('PI Furnizor'!$A:$E,ROW()-3,0))=0,"",IF(INDEX('PI Furnizor'!$A:$A,ROW()-3)="","?",INDEX('PI Furnizor'!$A:$A,ROW()-3)))</f>
        <v/>
      </c>
      <c r="B202" s="29" t="str">
        <f>IF(ISNUMBER($X202),INDEX(Comenzi!$B:$B,$X202),"")</f>
        <v/>
      </c>
      <c r="C202" s="28" t="str">
        <f>IF($A202="","",INDEX('PI Furnizor'!$B:$B,ROW()-3)&amp;"")</f>
        <v/>
      </c>
      <c r="D202" s="28" t="str">
        <f>IF($A202="","",INDEX('PI Furnizor'!$C:$C,ROW()-3)&amp;"")</f>
        <v/>
      </c>
      <c r="E202" s="30" t="str">
        <f>IF($A202="","",N(INDEX('PI Furnizor'!$D:$D,ROW()-3)))</f>
        <v/>
      </c>
      <c r="F202" s="31" t="str">
        <f>IF(ISNUMBER($X202),INDEX(Comenzi!$G:$G,$X202),"")</f>
        <v/>
      </c>
      <c r="G202" s="32" t="str">
        <f>IF($A202="","",N(INDEX('PI Furnizor'!$E:$E,ROW()-3)))</f>
        <v/>
      </c>
      <c r="H202" s="33" t="str">
        <f t="shared" ref="H202:H265" si="39">IF($Y202&lt;&gt;1,"",$G202*IF($F202="USD",$AA202,IF($F202="EUR",$AB202,1)))</f>
        <v/>
      </c>
      <c r="I202" s="34" t="str">
        <f>IF($Y202&lt;&gt;1,"",IFERROR($AE202/INDEX(Comenzi!$AN:$AN,$X202),0))</f>
        <v/>
      </c>
      <c r="J202" s="33" t="str">
        <f>IF($Y202&lt;&gt;1,"",INDEX(Comenzi!$AG:$AG,$X202)*$I202/$E202)</f>
        <v/>
      </c>
      <c r="K202" s="33" t="str">
        <f t="shared" ref="K202:K265" si="40">IF($Y202&lt;&gt;1,"",$H202+$J202)</f>
        <v/>
      </c>
      <c r="L202" s="33" t="str">
        <f>IF($Y202&lt;&gt;1,"",$K202*$AD202+INDEX(Comenzi!$AJ:$AJ,$X202)*$I202/$E202)</f>
        <v/>
      </c>
      <c r="M202" s="33" t="str">
        <f t="shared" ref="M202:M265" si="41">IF($Y202&lt;&gt;1,"",$K202+$L202)</f>
        <v/>
      </c>
      <c r="N202" s="33" t="str">
        <f t="shared" ref="N202:N265" si="42">IF($Y202&lt;&gt;1,"",$M202*$AC202)</f>
        <v/>
      </c>
      <c r="O202" s="33" t="str">
        <f>IF($Y202&lt;&gt;1,"",(INDEX(Comenzi!$AK:$AK,$X202)+N(INDEX(Comenzi!$T:$T,$X202)))*$I202/$E202)</f>
        <v/>
      </c>
      <c r="P202" s="35" t="str">
        <f t="shared" ref="P202:P265" si="43">IF($Y202&lt;&gt;1,"",$M202+$O202)</f>
        <v/>
      </c>
      <c r="Q202" s="36" t="str">
        <f t="shared" ref="Q202:Q265" si="44">IF($Y202&lt;&gt;1,"",$P202/$AB202)</f>
        <v/>
      </c>
      <c r="R202" s="37" t="str">
        <f t="shared" ref="R202:R265" si="45">IF($Y202&lt;&gt;1,"",$P202/$AA202)</f>
        <v/>
      </c>
      <c r="S202" s="38" t="str">
        <f t="shared" ref="S202:S265" si="46">IF($Y202&lt;&gt;1,"",$P202+$N202)</f>
        <v/>
      </c>
      <c r="T202" s="39" t="str">
        <f t="shared" ref="T202:T265" si="47">IF($Y202&lt;&gt;1,"",$S202/$AB202)</f>
        <v/>
      </c>
      <c r="U202" s="40" t="str">
        <f t="shared" ref="U202:U265" si="48">IF($Y202&lt;&gt;1,"",$S202/$AA202)</f>
        <v/>
      </c>
      <c r="V202" s="33" t="str">
        <f t="shared" ref="V202:V265" si="49">IF($Y202&lt;&gt;1,"",$P202*$E202)</f>
        <v/>
      </c>
      <c r="W202" s="33" t="str">
        <f t="shared" ref="W202:W265" si="50">IF($Y202&lt;&gt;1,"",$S202*$E202)</f>
        <v/>
      </c>
      <c r="X202" s="41" t="str">
        <f>IF($A202="","",IFERROR(MATCH($A202,Comenzi!$A$9:$A$108,0)+8,""))</f>
        <v/>
      </c>
      <c r="Y202" s="41" t="str">
        <f t="shared" ref="Y202:Y265" si="51">IF($A202="","",IF(AND(ISNUMBER($X202),N($E202)&gt;0,N($AA202)&gt;0,N($AB202)&gt;0,OR($F202="USD",$F202="EUR",$F202="RON")),1,0))</f>
        <v/>
      </c>
      <c r="Z202" s="42" t="str">
        <f>IF($A202="","",IF($A202="?","Lipseste ID-ul comenzii (col. A din PI Furnizor)",IF(NOT(ISNUMBER($X202)),"ID comanda negasit in foaia Comenzi",IF(N($E202)&lt;=0,"Lipseste cantitatea",IF(N($G202)=0,"Pret unitar lipsa",IF($Y202&lt;&gt;1,"Curs sau moneda marfa lipsa (foaia Comenzi)",IF(INDEX(Comenzi!$AT:$AT,$X202)&lt;&gt;"OK","Avertisment comanda: "&amp;INDEX(Comenzi!$AT:$AT,$X202),"OK")))))))</f>
        <v/>
      </c>
      <c r="AA202" s="43" t="str">
        <f>IF(ISNUMBER($X202),INDEX(Comenzi!$H:$H,$X202),"")</f>
        <v/>
      </c>
      <c r="AB202" s="43" t="str">
        <f>IF(ISNUMBER($X202),INDEX(Comenzi!$I:$I,$X202),"")</f>
        <v/>
      </c>
      <c r="AC202" s="44" t="str">
        <f>IF(ISNUMBER($X202),IF(INDEX(Comenzi!$V:$V,$X202)="",Comenzi!$D$3,INDEX(Comenzi!$V:$V,$X202)),"")</f>
        <v/>
      </c>
      <c r="AD202" s="44" t="str">
        <f>IF(ISNUMBER($X202),IF(INDEX(Comenzi!$U:$U,$X202)="",Comenzi!$D$4,INDEX(Comenzi!$U:$U,$X202)),"")</f>
        <v/>
      </c>
      <c r="AE202" s="45" t="str">
        <f>IF($Y202&lt;&gt;1,"",IF(INDEX(Comenzi!$AM:$AM,$X202)="Greutate",INDEX('PI Furnizor'!$O:$O,ROW()-3),IF(INDEX(Comenzi!$AM:$AM,$X202)="Volum (CBM)",INDEX('PI Furnizor'!$Q:$Q,ROW()-3),IF(INDEX(Comenzi!$AM:$AM,$X202)="Valoare marfa",INDEX('PI Furnizor'!$N:$N,ROW()-3),$E202))))</f>
        <v/>
      </c>
    </row>
    <row r="203" spans="1:31" x14ac:dyDescent="0.3">
      <c r="A203" s="28" t="str">
        <f>IF(COUNTA(INDEX('PI Furnizor'!$A:$E,ROW()-3,0))=0,"",IF(INDEX('PI Furnizor'!$A:$A,ROW()-3)="","?",INDEX('PI Furnizor'!$A:$A,ROW()-3)))</f>
        <v/>
      </c>
      <c r="B203" s="29" t="str">
        <f>IF(ISNUMBER($X203),INDEX(Comenzi!$B:$B,$X203),"")</f>
        <v/>
      </c>
      <c r="C203" s="28" t="str">
        <f>IF($A203="","",INDEX('PI Furnizor'!$B:$B,ROW()-3)&amp;"")</f>
        <v/>
      </c>
      <c r="D203" s="28" t="str">
        <f>IF($A203="","",INDEX('PI Furnizor'!$C:$C,ROW()-3)&amp;"")</f>
        <v/>
      </c>
      <c r="E203" s="30" t="str">
        <f>IF($A203="","",N(INDEX('PI Furnizor'!$D:$D,ROW()-3)))</f>
        <v/>
      </c>
      <c r="F203" s="31" t="str">
        <f>IF(ISNUMBER($X203),INDEX(Comenzi!$G:$G,$X203),"")</f>
        <v/>
      </c>
      <c r="G203" s="32" t="str">
        <f>IF($A203="","",N(INDEX('PI Furnizor'!$E:$E,ROW()-3)))</f>
        <v/>
      </c>
      <c r="H203" s="33" t="str">
        <f t="shared" si="39"/>
        <v/>
      </c>
      <c r="I203" s="34" t="str">
        <f>IF($Y203&lt;&gt;1,"",IFERROR($AE203/INDEX(Comenzi!$AN:$AN,$X203),0))</f>
        <v/>
      </c>
      <c r="J203" s="33" t="str">
        <f>IF($Y203&lt;&gt;1,"",INDEX(Comenzi!$AG:$AG,$X203)*$I203/$E203)</f>
        <v/>
      </c>
      <c r="K203" s="33" t="str">
        <f t="shared" si="40"/>
        <v/>
      </c>
      <c r="L203" s="33" t="str">
        <f>IF($Y203&lt;&gt;1,"",$K203*$AD203+INDEX(Comenzi!$AJ:$AJ,$X203)*$I203/$E203)</f>
        <v/>
      </c>
      <c r="M203" s="33" t="str">
        <f t="shared" si="41"/>
        <v/>
      </c>
      <c r="N203" s="33" t="str">
        <f t="shared" si="42"/>
        <v/>
      </c>
      <c r="O203" s="33" t="str">
        <f>IF($Y203&lt;&gt;1,"",(INDEX(Comenzi!$AK:$AK,$X203)+N(INDEX(Comenzi!$T:$T,$X203)))*$I203/$E203)</f>
        <v/>
      </c>
      <c r="P203" s="35" t="str">
        <f t="shared" si="43"/>
        <v/>
      </c>
      <c r="Q203" s="36" t="str">
        <f t="shared" si="44"/>
        <v/>
      </c>
      <c r="R203" s="37" t="str">
        <f t="shared" si="45"/>
        <v/>
      </c>
      <c r="S203" s="38" t="str">
        <f t="shared" si="46"/>
        <v/>
      </c>
      <c r="T203" s="39" t="str">
        <f t="shared" si="47"/>
        <v/>
      </c>
      <c r="U203" s="40" t="str">
        <f t="shared" si="48"/>
        <v/>
      </c>
      <c r="V203" s="33" t="str">
        <f t="shared" si="49"/>
        <v/>
      </c>
      <c r="W203" s="33" t="str">
        <f t="shared" si="50"/>
        <v/>
      </c>
      <c r="X203" s="41" t="str">
        <f>IF($A203="","",IFERROR(MATCH($A203,Comenzi!$A$9:$A$108,0)+8,""))</f>
        <v/>
      </c>
      <c r="Y203" s="41" t="str">
        <f t="shared" si="51"/>
        <v/>
      </c>
      <c r="Z203" s="42" t="str">
        <f>IF($A203="","",IF($A203="?","Lipseste ID-ul comenzii (col. A din PI Furnizor)",IF(NOT(ISNUMBER($X203)),"ID comanda negasit in foaia Comenzi",IF(N($E203)&lt;=0,"Lipseste cantitatea",IF(N($G203)=0,"Pret unitar lipsa",IF($Y203&lt;&gt;1,"Curs sau moneda marfa lipsa (foaia Comenzi)",IF(INDEX(Comenzi!$AT:$AT,$X203)&lt;&gt;"OK","Avertisment comanda: "&amp;INDEX(Comenzi!$AT:$AT,$X203),"OK")))))))</f>
        <v/>
      </c>
      <c r="AA203" s="43" t="str">
        <f>IF(ISNUMBER($X203),INDEX(Comenzi!$H:$H,$X203),"")</f>
        <v/>
      </c>
      <c r="AB203" s="43" t="str">
        <f>IF(ISNUMBER($X203),INDEX(Comenzi!$I:$I,$X203),"")</f>
        <v/>
      </c>
      <c r="AC203" s="44" t="str">
        <f>IF(ISNUMBER($X203),IF(INDEX(Comenzi!$V:$V,$X203)="",Comenzi!$D$3,INDEX(Comenzi!$V:$V,$X203)),"")</f>
        <v/>
      </c>
      <c r="AD203" s="44" t="str">
        <f>IF(ISNUMBER($X203),IF(INDEX(Comenzi!$U:$U,$X203)="",Comenzi!$D$4,INDEX(Comenzi!$U:$U,$X203)),"")</f>
        <v/>
      </c>
      <c r="AE203" s="45" t="str">
        <f>IF($Y203&lt;&gt;1,"",IF(INDEX(Comenzi!$AM:$AM,$X203)="Greutate",INDEX('PI Furnizor'!$O:$O,ROW()-3),IF(INDEX(Comenzi!$AM:$AM,$X203)="Volum (CBM)",INDEX('PI Furnizor'!$Q:$Q,ROW()-3),IF(INDEX(Comenzi!$AM:$AM,$X203)="Valoare marfa",INDEX('PI Furnizor'!$N:$N,ROW()-3),$E203))))</f>
        <v/>
      </c>
    </row>
    <row r="204" spans="1:31" x14ac:dyDescent="0.3">
      <c r="A204" s="28" t="str">
        <f>IF(COUNTA(INDEX('PI Furnizor'!$A:$E,ROW()-3,0))=0,"",IF(INDEX('PI Furnizor'!$A:$A,ROW()-3)="","?",INDEX('PI Furnizor'!$A:$A,ROW()-3)))</f>
        <v/>
      </c>
      <c r="B204" s="29" t="str">
        <f>IF(ISNUMBER($X204),INDEX(Comenzi!$B:$B,$X204),"")</f>
        <v/>
      </c>
      <c r="C204" s="28" t="str">
        <f>IF($A204="","",INDEX('PI Furnizor'!$B:$B,ROW()-3)&amp;"")</f>
        <v/>
      </c>
      <c r="D204" s="28" t="str">
        <f>IF($A204="","",INDEX('PI Furnizor'!$C:$C,ROW()-3)&amp;"")</f>
        <v/>
      </c>
      <c r="E204" s="30" t="str">
        <f>IF($A204="","",N(INDEX('PI Furnizor'!$D:$D,ROW()-3)))</f>
        <v/>
      </c>
      <c r="F204" s="31" t="str">
        <f>IF(ISNUMBER($X204),INDEX(Comenzi!$G:$G,$X204),"")</f>
        <v/>
      </c>
      <c r="G204" s="32" t="str">
        <f>IF($A204="","",N(INDEX('PI Furnizor'!$E:$E,ROW()-3)))</f>
        <v/>
      </c>
      <c r="H204" s="33" t="str">
        <f t="shared" si="39"/>
        <v/>
      </c>
      <c r="I204" s="34" t="str">
        <f>IF($Y204&lt;&gt;1,"",IFERROR($AE204/INDEX(Comenzi!$AN:$AN,$X204),0))</f>
        <v/>
      </c>
      <c r="J204" s="33" t="str">
        <f>IF($Y204&lt;&gt;1,"",INDEX(Comenzi!$AG:$AG,$X204)*$I204/$E204)</f>
        <v/>
      </c>
      <c r="K204" s="33" t="str">
        <f t="shared" si="40"/>
        <v/>
      </c>
      <c r="L204" s="33" t="str">
        <f>IF($Y204&lt;&gt;1,"",$K204*$AD204+INDEX(Comenzi!$AJ:$AJ,$X204)*$I204/$E204)</f>
        <v/>
      </c>
      <c r="M204" s="33" t="str">
        <f t="shared" si="41"/>
        <v/>
      </c>
      <c r="N204" s="33" t="str">
        <f t="shared" si="42"/>
        <v/>
      </c>
      <c r="O204" s="33" t="str">
        <f>IF($Y204&lt;&gt;1,"",(INDEX(Comenzi!$AK:$AK,$X204)+N(INDEX(Comenzi!$T:$T,$X204)))*$I204/$E204)</f>
        <v/>
      </c>
      <c r="P204" s="35" t="str">
        <f t="shared" si="43"/>
        <v/>
      </c>
      <c r="Q204" s="36" t="str">
        <f t="shared" si="44"/>
        <v/>
      </c>
      <c r="R204" s="37" t="str">
        <f t="shared" si="45"/>
        <v/>
      </c>
      <c r="S204" s="38" t="str">
        <f t="shared" si="46"/>
        <v/>
      </c>
      <c r="T204" s="39" t="str">
        <f t="shared" si="47"/>
        <v/>
      </c>
      <c r="U204" s="40" t="str">
        <f t="shared" si="48"/>
        <v/>
      </c>
      <c r="V204" s="33" t="str">
        <f t="shared" si="49"/>
        <v/>
      </c>
      <c r="W204" s="33" t="str">
        <f t="shared" si="50"/>
        <v/>
      </c>
      <c r="X204" s="41" t="str">
        <f>IF($A204="","",IFERROR(MATCH($A204,Comenzi!$A$9:$A$108,0)+8,""))</f>
        <v/>
      </c>
      <c r="Y204" s="41" t="str">
        <f t="shared" si="51"/>
        <v/>
      </c>
      <c r="Z204" s="42" t="str">
        <f>IF($A204="","",IF($A204="?","Lipseste ID-ul comenzii (col. A din PI Furnizor)",IF(NOT(ISNUMBER($X204)),"ID comanda negasit in foaia Comenzi",IF(N($E204)&lt;=0,"Lipseste cantitatea",IF(N($G204)=0,"Pret unitar lipsa",IF($Y204&lt;&gt;1,"Curs sau moneda marfa lipsa (foaia Comenzi)",IF(INDEX(Comenzi!$AT:$AT,$X204)&lt;&gt;"OK","Avertisment comanda: "&amp;INDEX(Comenzi!$AT:$AT,$X204),"OK")))))))</f>
        <v/>
      </c>
      <c r="AA204" s="43" t="str">
        <f>IF(ISNUMBER($X204),INDEX(Comenzi!$H:$H,$X204),"")</f>
        <v/>
      </c>
      <c r="AB204" s="43" t="str">
        <f>IF(ISNUMBER($X204),INDEX(Comenzi!$I:$I,$X204),"")</f>
        <v/>
      </c>
      <c r="AC204" s="44" t="str">
        <f>IF(ISNUMBER($X204),IF(INDEX(Comenzi!$V:$V,$X204)="",Comenzi!$D$3,INDEX(Comenzi!$V:$V,$X204)),"")</f>
        <v/>
      </c>
      <c r="AD204" s="44" t="str">
        <f>IF(ISNUMBER($X204),IF(INDEX(Comenzi!$U:$U,$X204)="",Comenzi!$D$4,INDEX(Comenzi!$U:$U,$X204)),"")</f>
        <v/>
      </c>
      <c r="AE204" s="45" t="str">
        <f>IF($Y204&lt;&gt;1,"",IF(INDEX(Comenzi!$AM:$AM,$X204)="Greutate",INDEX('PI Furnizor'!$O:$O,ROW()-3),IF(INDEX(Comenzi!$AM:$AM,$X204)="Volum (CBM)",INDEX('PI Furnizor'!$Q:$Q,ROW()-3),IF(INDEX(Comenzi!$AM:$AM,$X204)="Valoare marfa",INDEX('PI Furnizor'!$N:$N,ROW()-3),$E204))))</f>
        <v/>
      </c>
    </row>
    <row r="205" spans="1:31" x14ac:dyDescent="0.3">
      <c r="A205" s="28" t="str">
        <f>IF(COUNTA(INDEX('PI Furnizor'!$A:$E,ROW()-3,0))=0,"",IF(INDEX('PI Furnizor'!$A:$A,ROW()-3)="","?",INDEX('PI Furnizor'!$A:$A,ROW()-3)))</f>
        <v/>
      </c>
      <c r="B205" s="29" t="str">
        <f>IF(ISNUMBER($X205),INDEX(Comenzi!$B:$B,$X205),"")</f>
        <v/>
      </c>
      <c r="C205" s="28" t="str">
        <f>IF($A205="","",INDEX('PI Furnizor'!$B:$B,ROW()-3)&amp;"")</f>
        <v/>
      </c>
      <c r="D205" s="28" t="str">
        <f>IF($A205="","",INDEX('PI Furnizor'!$C:$C,ROW()-3)&amp;"")</f>
        <v/>
      </c>
      <c r="E205" s="30" t="str">
        <f>IF($A205="","",N(INDEX('PI Furnizor'!$D:$D,ROW()-3)))</f>
        <v/>
      </c>
      <c r="F205" s="31" t="str">
        <f>IF(ISNUMBER($X205),INDEX(Comenzi!$G:$G,$X205),"")</f>
        <v/>
      </c>
      <c r="G205" s="32" t="str">
        <f>IF($A205="","",N(INDEX('PI Furnizor'!$E:$E,ROW()-3)))</f>
        <v/>
      </c>
      <c r="H205" s="33" t="str">
        <f t="shared" si="39"/>
        <v/>
      </c>
      <c r="I205" s="34" t="str">
        <f>IF($Y205&lt;&gt;1,"",IFERROR($AE205/INDEX(Comenzi!$AN:$AN,$X205),0))</f>
        <v/>
      </c>
      <c r="J205" s="33" t="str">
        <f>IF($Y205&lt;&gt;1,"",INDEX(Comenzi!$AG:$AG,$X205)*$I205/$E205)</f>
        <v/>
      </c>
      <c r="K205" s="33" t="str">
        <f t="shared" si="40"/>
        <v/>
      </c>
      <c r="L205" s="33" t="str">
        <f>IF($Y205&lt;&gt;1,"",$K205*$AD205+INDEX(Comenzi!$AJ:$AJ,$X205)*$I205/$E205)</f>
        <v/>
      </c>
      <c r="M205" s="33" t="str">
        <f t="shared" si="41"/>
        <v/>
      </c>
      <c r="N205" s="33" t="str">
        <f t="shared" si="42"/>
        <v/>
      </c>
      <c r="O205" s="33" t="str">
        <f>IF($Y205&lt;&gt;1,"",(INDEX(Comenzi!$AK:$AK,$X205)+N(INDEX(Comenzi!$T:$T,$X205)))*$I205/$E205)</f>
        <v/>
      </c>
      <c r="P205" s="35" t="str">
        <f t="shared" si="43"/>
        <v/>
      </c>
      <c r="Q205" s="36" t="str">
        <f t="shared" si="44"/>
        <v/>
      </c>
      <c r="R205" s="37" t="str">
        <f t="shared" si="45"/>
        <v/>
      </c>
      <c r="S205" s="38" t="str">
        <f t="shared" si="46"/>
        <v/>
      </c>
      <c r="T205" s="39" t="str">
        <f t="shared" si="47"/>
        <v/>
      </c>
      <c r="U205" s="40" t="str">
        <f t="shared" si="48"/>
        <v/>
      </c>
      <c r="V205" s="33" t="str">
        <f t="shared" si="49"/>
        <v/>
      </c>
      <c r="W205" s="33" t="str">
        <f t="shared" si="50"/>
        <v/>
      </c>
      <c r="X205" s="41" t="str">
        <f>IF($A205="","",IFERROR(MATCH($A205,Comenzi!$A$9:$A$108,0)+8,""))</f>
        <v/>
      </c>
      <c r="Y205" s="41" t="str">
        <f t="shared" si="51"/>
        <v/>
      </c>
      <c r="Z205" s="42" t="str">
        <f>IF($A205="","",IF($A205="?","Lipseste ID-ul comenzii (col. A din PI Furnizor)",IF(NOT(ISNUMBER($X205)),"ID comanda negasit in foaia Comenzi",IF(N($E205)&lt;=0,"Lipseste cantitatea",IF(N($G205)=0,"Pret unitar lipsa",IF($Y205&lt;&gt;1,"Curs sau moneda marfa lipsa (foaia Comenzi)",IF(INDEX(Comenzi!$AT:$AT,$X205)&lt;&gt;"OK","Avertisment comanda: "&amp;INDEX(Comenzi!$AT:$AT,$X205),"OK")))))))</f>
        <v/>
      </c>
      <c r="AA205" s="43" t="str">
        <f>IF(ISNUMBER($X205),INDEX(Comenzi!$H:$H,$X205),"")</f>
        <v/>
      </c>
      <c r="AB205" s="43" t="str">
        <f>IF(ISNUMBER($X205),INDEX(Comenzi!$I:$I,$X205),"")</f>
        <v/>
      </c>
      <c r="AC205" s="44" t="str">
        <f>IF(ISNUMBER($X205),IF(INDEX(Comenzi!$V:$V,$X205)="",Comenzi!$D$3,INDEX(Comenzi!$V:$V,$X205)),"")</f>
        <v/>
      </c>
      <c r="AD205" s="44" t="str">
        <f>IF(ISNUMBER($X205),IF(INDEX(Comenzi!$U:$U,$X205)="",Comenzi!$D$4,INDEX(Comenzi!$U:$U,$X205)),"")</f>
        <v/>
      </c>
      <c r="AE205" s="45" t="str">
        <f>IF($Y205&lt;&gt;1,"",IF(INDEX(Comenzi!$AM:$AM,$X205)="Greutate",INDEX('PI Furnizor'!$O:$O,ROW()-3),IF(INDEX(Comenzi!$AM:$AM,$X205)="Volum (CBM)",INDEX('PI Furnizor'!$Q:$Q,ROW()-3),IF(INDEX(Comenzi!$AM:$AM,$X205)="Valoare marfa",INDEX('PI Furnizor'!$N:$N,ROW()-3),$E205))))</f>
        <v/>
      </c>
    </row>
    <row r="206" spans="1:31" x14ac:dyDescent="0.3">
      <c r="A206" s="28" t="str">
        <f>IF(COUNTA(INDEX('PI Furnizor'!$A:$E,ROW()-3,0))=0,"",IF(INDEX('PI Furnizor'!$A:$A,ROW()-3)="","?",INDEX('PI Furnizor'!$A:$A,ROW()-3)))</f>
        <v/>
      </c>
      <c r="B206" s="29" t="str">
        <f>IF(ISNUMBER($X206),INDEX(Comenzi!$B:$B,$X206),"")</f>
        <v/>
      </c>
      <c r="C206" s="28" t="str">
        <f>IF($A206="","",INDEX('PI Furnizor'!$B:$B,ROW()-3)&amp;"")</f>
        <v/>
      </c>
      <c r="D206" s="28" t="str">
        <f>IF($A206="","",INDEX('PI Furnizor'!$C:$C,ROW()-3)&amp;"")</f>
        <v/>
      </c>
      <c r="E206" s="30" t="str">
        <f>IF($A206="","",N(INDEX('PI Furnizor'!$D:$D,ROW()-3)))</f>
        <v/>
      </c>
      <c r="F206" s="31" t="str">
        <f>IF(ISNUMBER($X206),INDEX(Comenzi!$G:$G,$X206),"")</f>
        <v/>
      </c>
      <c r="G206" s="32" t="str">
        <f>IF($A206="","",N(INDEX('PI Furnizor'!$E:$E,ROW()-3)))</f>
        <v/>
      </c>
      <c r="H206" s="33" t="str">
        <f t="shared" si="39"/>
        <v/>
      </c>
      <c r="I206" s="34" t="str">
        <f>IF($Y206&lt;&gt;1,"",IFERROR($AE206/INDEX(Comenzi!$AN:$AN,$X206),0))</f>
        <v/>
      </c>
      <c r="J206" s="33" t="str">
        <f>IF($Y206&lt;&gt;1,"",INDEX(Comenzi!$AG:$AG,$X206)*$I206/$E206)</f>
        <v/>
      </c>
      <c r="K206" s="33" t="str">
        <f t="shared" si="40"/>
        <v/>
      </c>
      <c r="L206" s="33" t="str">
        <f>IF($Y206&lt;&gt;1,"",$K206*$AD206+INDEX(Comenzi!$AJ:$AJ,$X206)*$I206/$E206)</f>
        <v/>
      </c>
      <c r="M206" s="33" t="str">
        <f t="shared" si="41"/>
        <v/>
      </c>
      <c r="N206" s="33" t="str">
        <f t="shared" si="42"/>
        <v/>
      </c>
      <c r="O206" s="33" t="str">
        <f>IF($Y206&lt;&gt;1,"",(INDEX(Comenzi!$AK:$AK,$X206)+N(INDEX(Comenzi!$T:$T,$X206)))*$I206/$E206)</f>
        <v/>
      </c>
      <c r="P206" s="35" t="str">
        <f t="shared" si="43"/>
        <v/>
      </c>
      <c r="Q206" s="36" t="str">
        <f t="shared" si="44"/>
        <v/>
      </c>
      <c r="R206" s="37" t="str">
        <f t="shared" si="45"/>
        <v/>
      </c>
      <c r="S206" s="38" t="str">
        <f t="shared" si="46"/>
        <v/>
      </c>
      <c r="T206" s="39" t="str">
        <f t="shared" si="47"/>
        <v/>
      </c>
      <c r="U206" s="40" t="str">
        <f t="shared" si="48"/>
        <v/>
      </c>
      <c r="V206" s="33" t="str">
        <f t="shared" si="49"/>
        <v/>
      </c>
      <c r="W206" s="33" t="str">
        <f t="shared" si="50"/>
        <v/>
      </c>
      <c r="X206" s="41" t="str">
        <f>IF($A206="","",IFERROR(MATCH($A206,Comenzi!$A$9:$A$108,0)+8,""))</f>
        <v/>
      </c>
      <c r="Y206" s="41" t="str">
        <f t="shared" si="51"/>
        <v/>
      </c>
      <c r="Z206" s="42" t="str">
        <f>IF($A206="","",IF($A206="?","Lipseste ID-ul comenzii (col. A din PI Furnizor)",IF(NOT(ISNUMBER($X206)),"ID comanda negasit in foaia Comenzi",IF(N($E206)&lt;=0,"Lipseste cantitatea",IF(N($G206)=0,"Pret unitar lipsa",IF($Y206&lt;&gt;1,"Curs sau moneda marfa lipsa (foaia Comenzi)",IF(INDEX(Comenzi!$AT:$AT,$X206)&lt;&gt;"OK","Avertisment comanda: "&amp;INDEX(Comenzi!$AT:$AT,$X206),"OK")))))))</f>
        <v/>
      </c>
      <c r="AA206" s="43" t="str">
        <f>IF(ISNUMBER($X206),INDEX(Comenzi!$H:$H,$X206),"")</f>
        <v/>
      </c>
      <c r="AB206" s="43" t="str">
        <f>IF(ISNUMBER($X206),INDEX(Comenzi!$I:$I,$X206),"")</f>
        <v/>
      </c>
      <c r="AC206" s="44" t="str">
        <f>IF(ISNUMBER($X206),IF(INDEX(Comenzi!$V:$V,$X206)="",Comenzi!$D$3,INDEX(Comenzi!$V:$V,$X206)),"")</f>
        <v/>
      </c>
      <c r="AD206" s="44" t="str">
        <f>IF(ISNUMBER($X206),IF(INDEX(Comenzi!$U:$U,$X206)="",Comenzi!$D$4,INDEX(Comenzi!$U:$U,$X206)),"")</f>
        <v/>
      </c>
      <c r="AE206" s="45" t="str">
        <f>IF($Y206&lt;&gt;1,"",IF(INDEX(Comenzi!$AM:$AM,$X206)="Greutate",INDEX('PI Furnizor'!$O:$O,ROW()-3),IF(INDEX(Comenzi!$AM:$AM,$X206)="Volum (CBM)",INDEX('PI Furnizor'!$Q:$Q,ROW()-3),IF(INDEX(Comenzi!$AM:$AM,$X206)="Valoare marfa",INDEX('PI Furnizor'!$N:$N,ROW()-3),$E206))))</f>
        <v/>
      </c>
    </row>
    <row r="207" spans="1:31" x14ac:dyDescent="0.3">
      <c r="A207" s="28" t="str">
        <f>IF(COUNTA(INDEX('PI Furnizor'!$A:$E,ROW()-3,0))=0,"",IF(INDEX('PI Furnizor'!$A:$A,ROW()-3)="","?",INDEX('PI Furnizor'!$A:$A,ROW()-3)))</f>
        <v/>
      </c>
      <c r="B207" s="29" t="str">
        <f>IF(ISNUMBER($X207),INDEX(Comenzi!$B:$B,$X207),"")</f>
        <v/>
      </c>
      <c r="C207" s="28" t="str">
        <f>IF($A207="","",INDEX('PI Furnizor'!$B:$B,ROW()-3)&amp;"")</f>
        <v/>
      </c>
      <c r="D207" s="28" t="str">
        <f>IF($A207="","",INDEX('PI Furnizor'!$C:$C,ROW()-3)&amp;"")</f>
        <v/>
      </c>
      <c r="E207" s="30" t="str">
        <f>IF($A207="","",N(INDEX('PI Furnizor'!$D:$D,ROW()-3)))</f>
        <v/>
      </c>
      <c r="F207" s="31" t="str">
        <f>IF(ISNUMBER($X207),INDEX(Comenzi!$G:$G,$X207),"")</f>
        <v/>
      </c>
      <c r="G207" s="32" t="str">
        <f>IF($A207="","",N(INDEX('PI Furnizor'!$E:$E,ROW()-3)))</f>
        <v/>
      </c>
      <c r="H207" s="33" t="str">
        <f t="shared" si="39"/>
        <v/>
      </c>
      <c r="I207" s="34" t="str">
        <f>IF($Y207&lt;&gt;1,"",IFERROR($AE207/INDEX(Comenzi!$AN:$AN,$X207),0))</f>
        <v/>
      </c>
      <c r="J207" s="33" t="str">
        <f>IF($Y207&lt;&gt;1,"",INDEX(Comenzi!$AG:$AG,$X207)*$I207/$E207)</f>
        <v/>
      </c>
      <c r="K207" s="33" t="str">
        <f t="shared" si="40"/>
        <v/>
      </c>
      <c r="L207" s="33" t="str">
        <f>IF($Y207&lt;&gt;1,"",$K207*$AD207+INDEX(Comenzi!$AJ:$AJ,$X207)*$I207/$E207)</f>
        <v/>
      </c>
      <c r="M207" s="33" t="str">
        <f t="shared" si="41"/>
        <v/>
      </c>
      <c r="N207" s="33" t="str">
        <f t="shared" si="42"/>
        <v/>
      </c>
      <c r="O207" s="33" t="str">
        <f>IF($Y207&lt;&gt;1,"",(INDEX(Comenzi!$AK:$AK,$X207)+N(INDEX(Comenzi!$T:$T,$X207)))*$I207/$E207)</f>
        <v/>
      </c>
      <c r="P207" s="35" t="str">
        <f t="shared" si="43"/>
        <v/>
      </c>
      <c r="Q207" s="36" t="str">
        <f t="shared" si="44"/>
        <v/>
      </c>
      <c r="R207" s="37" t="str">
        <f t="shared" si="45"/>
        <v/>
      </c>
      <c r="S207" s="38" t="str">
        <f t="shared" si="46"/>
        <v/>
      </c>
      <c r="T207" s="39" t="str">
        <f t="shared" si="47"/>
        <v/>
      </c>
      <c r="U207" s="40" t="str">
        <f t="shared" si="48"/>
        <v/>
      </c>
      <c r="V207" s="33" t="str">
        <f t="shared" si="49"/>
        <v/>
      </c>
      <c r="W207" s="33" t="str">
        <f t="shared" si="50"/>
        <v/>
      </c>
      <c r="X207" s="41" t="str">
        <f>IF($A207="","",IFERROR(MATCH($A207,Comenzi!$A$9:$A$108,0)+8,""))</f>
        <v/>
      </c>
      <c r="Y207" s="41" t="str">
        <f t="shared" si="51"/>
        <v/>
      </c>
      <c r="Z207" s="42" t="str">
        <f>IF($A207="","",IF($A207="?","Lipseste ID-ul comenzii (col. A din PI Furnizor)",IF(NOT(ISNUMBER($X207)),"ID comanda negasit in foaia Comenzi",IF(N($E207)&lt;=0,"Lipseste cantitatea",IF(N($G207)=0,"Pret unitar lipsa",IF($Y207&lt;&gt;1,"Curs sau moneda marfa lipsa (foaia Comenzi)",IF(INDEX(Comenzi!$AT:$AT,$X207)&lt;&gt;"OK","Avertisment comanda: "&amp;INDEX(Comenzi!$AT:$AT,$X207),"OK")))))))</f>
        <v/>
      </c>
      <c r="AA207" s="43" t="str">
        <f>IF(ISNUMBER($X207),INDEX(Comenzi!$H:$H,$X207),"")</f>
        <v/>
      </c>
      <c r="AB207" s="43" t="str">
        <f>IF(ISNUMBER($X207),INDEX(Comenzi!$I:$I,$X207),"")</f>
        <v/>
      </c>
      <c r="AC207" s="44" t="str">
        <f>IF(ISNUMBER($X207),IF(INDEX(Comenzi!$V:$V,$X207)="",Comenzi!$D$3,INDEX(Comenzi!$V:$V,$X207)),"")</f>
        <v/>
      </c>
      <c r="AD207" s="44" t="str">
        <f>IF(ISNUMBER($X207),IF(INDEX(Comenzi!$U:$U,$X207)="",Comenzi!$D$4,INDEX(Comenzi!$U:$U,$X207)),"")</f>
        <v/>
      </c>
      <c r="AE207" s="45" t="str">
        <f>IF($Y207&lt;&gt;1,"",IF(INDEX(Comenzi!$AM:$AM,$X207)="Greutate",INDEX('PI Furnizor'!$O:$O,ROW()-3),IF(INDEX(Comenzi!$AM:$AM,$X207)="Volum (CBM)",INDEX('PI Furnizor'!$Q:$Q,ROW()-3),IF(INDEX(Comenzi!$AM:$AM,$X207)="Valoare marfa",INDEX('PI Furnizor'!$N:$N,ROW()-3),$E207))))</f>
        <v/>
      </c>
    </row>
    <row r="208" spans="1:31" x14ac:dyDescent="0.3">
      <c r="A208" s="28" t="str">
        <f>IF(COUNTA(INDEX('PI Furnizor'!$A:$E,ROW()-3,0))=0,"",IF(INDEX('PI Furnizor'!$A:$A,ROW()-3)="","?",INDEX('PI Furnizor'!$A:$A,ROW()-3)))</f>
        <v/>
      </c>
      <c r="B208" s="29" t="str">
        <f>IF(ISNUMBER($X208),INDEX(Comenzi!$B:$B,$X208),"")</f>
        <v/>
      </c>
      <c r="C208" s="28" t="str">
        <f>IF($A208="","",INDEX('PI Furnizor'!$B:$B,ROW()-3)&amp;"")</f>
        <v/>
      </c>
      <c r="D208" s="28" t="str">
        <f>IF($A208="","",INDEX('PI Furnizor'!$C:$C,ROW()-3)&amp;"")</f>
        <v/>
      </c>
      <c r="E208" s="30" t="str">
        <f>IF($A208="","",N(INDEX('PI Furnizor'!$D:$D,ROW()-3)))</f>
        <v/>
      </c>
      <c r="F208" s="31" t="str">
        <f>IF(ISNUMBER($X208),INDEX(Comenzi!$G:$G,$X208),"")</f>
        <v/>
      </c>
      <c r="G208" s="32" t="str">
        <f>IF($A208="","",N(INDEX('PI Furnizor'!$E:$E,ROW()-3)))</f>
        <v/>
      </c>
      <c r="H208" s="33" t="str">
        <f t="shared" si="39"/>
        <v/>
      </c>
      <c r="I208" s="34" t="str">
        <f>IF($Y208&lt;&gt;1,"",IFERROR($AE208/INDEX(Comenzi!$AN:$AN,$X208),0))</f>
        <v/>
      </c>
      <c r="J208" s="33" t="str">
        <f>IF($Y208&lt;&gt;1,"",INDEX(Comenzi!$AG:$AG,$X208)*$I208/$E208)</f>
        <v/>
      </c>
      <c r="K208" s="33" t="str">
        <f t="shared" si="40"/>
        <v/>
      </c>
      <c r="L208" s="33" t="str">
        <f>IF($Y208&lt;&gt;1,"",$K208*$AD208+INDEX(Comenzi!$AJ:$AJ,$X208)*$I208/$E208)</f>
        <v/>
      </c>
      <c r="M208" s="33" t="str">
        <f t="shared" si="41"/>
        <v/>
      </c>
      <c r="N208" s="33" t="str">
        <f t="shared" si="42"/>
        <v/>
      </c>
      <c r="O208" s="33" t="str">
        <f>IF($Y208&lt;&gt;1,"",(INDEX(Comenzi!$AK:$AK,$X208)+N(INDEX(Comenzi!$T:$T,$X208)))*$I208/$E208)</f>
        <v/>
      </c>
      <c r="P208" s="35" t="str">
        <f t="shared" si="43"/>
        <v/>
      </c>
      <c r="Q208" s="36" t="str">
        <f t="shared" si="44"/>
        <v/>
      </c>
      <c r="R208" s="37" t="str">
        <f t="shared" si="45"/>
        <v/>
      </c>
      <c r="S208" s="38" t="str">
        <f t="shared" si="46"/>
        <v/>
      </c>
      <c r="T208" s="39" t="str">
        <f t="shared" si="47"/>
        <v/>
      </c>
      <c r="U208" s="40" t="str">
        <f t="shared" si="48"/>
        <v/>
      </c>
      <c r="V208" s="33" t="str">
        <f t="shared" si="49"/>
        <v/>
      </c>
      <c r="W208" s="33" t="str">
        <f t="shared" si="50"/>
        <v/>
      </c>
      <c r="X208" s="41" t="str">
        <f>IF($A208="","",IFERROR(MATCH($A208,Comenzi!$A$9:$A$108,0)+8,""))</f>
        <v/>
      </c>
      <c r="Y208" s="41" t="str">
        <f t="shared" si="51"/>
        <v/>
      </c>
      <c r="Z208" s="42" t="str">
        <f>IF($A208="","",IF($A208="?","Lipseste ID-ul comenzii (col. A din PI Furnizor)",IF(NOT(ISNUMBER($X208)),"ID comanda negasit in foaia Comenzi",IF(N($E208)&lt;=0,"Lipseste cantitatea",IF(N($G208)=0,"Pret unitar lipsa",IF($Y208&lt;&gt;1,"Curs sau moneda marfa lipsa (foaia Comenzi)",IF(INDEX(Comenzi!$AT:$AT,$X208)&lt;&gt;"OK","Avertisment comanda: "&amp;INDEX(Comenzi!$AT:$AT,$X208),"OK")))))))</f>
        <v/>
      </c>
      <c r="AA208" s="43" t="str">
        <f>IF(ISNUMBER($X208),INDEX(Comenzi!$H:$H,$X208),"")</f>
        <v/>
      </c>
      <c r="AB208" s="43" t="str">
        <f>IF(ISNUMBER($X208),INDEX(Comenzi!$I:$I,$X208),"")</f>
        <v/>
      </c>
      <c r="AC208" s="44" t="str">
        <f>IF(ISNUMBER($X208),IF(INDEX(Comenzi!$V:$V,$X208)="",Comenzi!$D$3,INDEX(Comenzi!$V:$V,$X208)),"")</f>
        <v/>
      </c>
      <c r="AD208" s="44" t="str">
        <f>IF(ISNUMBER($X208),IF(INDEX(Comenzi!$U:$U,$X208)="",Comenzi!$D$4,INDEX(Comenzi!$U:$U,$X208)),"")</f>
        <v/>
      </c>
      <c r="AE208" s="45" t="str">
        <f>IF($Y208&lt;&gt;1,"",IF(INDEX(Comenzi!$AM:$AM,$X208)="Greutate",INDEX('PI Furnizor'!$O:$O,ROW()-3),IF(INDEX(Comenzi!$AM:$AM,$X208)="Volum (CBM)",INDEX('PI Furnizor'!$Q:$Q,ROW()-3),IF(INDEX(Comenzi!$AM:$AM,$X208)="Valoare marfa",INDEX('PI Furnizor'!$N:$N,ROW()-3),$E208))))</f>
        <v/>
      </c>
    </row>
    <row r="209" spans="1:31" x14ac:dyDescent="0.3">
      <c r="A209" s="28" t="str">
        <f>IF(COUNTA(INDEX('PI Furnizor'!$A:$E,ROW()-3,0))=0,"",IF(INDEX('PI Furnizor'!$A:$A,ROW()-3)="","?",INDEX('PI Furnizor'!$A:$A,ROW()-3)))</f>
        <v/>
      </c>
      <c r="B209" s="29" t="str">
        <f>IF(ISNUMBER($X209),INDEX(Comenzi!$B:$B,$X209),"")</f>
        <v/>
      </c>
      <c r="C209" s="28" t="str">
        <f>IF($A209="","",INDEX('PI Furnizor'!$B:$B,ROW()-3)&amp;"")</f>
        <v/>
      </c>
      <c r="D209" s="28" t="str">
        <f>IF($A209="","",INDEX('PI Furnizor'!$C:$C,ROW()-3)&amp;"")</f>
        <v/>
      </c>
      <c r="E209" s="30" t="str">
        <f>IF($A209="","",N(INDEX('PI Furnizor'!$D:$D,ROW()-3)))</f>
        <v/>
      </c>
      <c r="F209" s="31" t="str">
        <f>IF(ISNUMBER($X209),INDEX(Comenzi!$G:$G,$X209),"")</f>
        <v/>
      </c>
      <c r="G209" s="32" t="str">
        <f>IF($A209="","",N(INDEX('PI Furnizor'!$E:$E,ROW()-3)))</f>
        <v/>
      </c>
      <c r="H209" s="33" t="str">
        <f t="shared" si="39"/>
        <v/>
      </c>
      <c r="I209" s="34" t="str">
        <f>IF($Y209&lt;&gt;1,"",IFERROR($AE209/INDEX(Comenzi!$AN:$AN,$X209),0))</f>
        <v/>
      </c>
      <c r="J209" s="33" t="str">
        <f>IF($Y209&lt;&gt;1,"",INDEX(Comenzi!$AG:$AG,$X209)*$I209/$E209)</f>
        <v/>
      </c>
      <c r="K209" s="33" t="str">
        <f t="shared" si="40"/>
        <v/>
      </c>
      <c r="L209" s="33" t="str">
        <f>IF($Y209&lt;&gt;1,"",$K209*$AD209+INDEX(Comenzi!$AJ:$AJ,$X209)*$I209/$E209)</f>
        <v/>
      </c>
      <c r="M209" s="33" t="str">
        <f t="shared" si="41"/>
        <v/>
      </c>
      <c r="N209" s="33" t="str">
        <f t="shared" si="42"/>
        <v/>
      </c>
      <c r="O209" s="33" t="str">
        <f>IF($Y209&lt;&gt;1,"",(INDEX(Comenzi!$AK:$AK,$X209)+N(INDEX(Comenzi!$T:$T,$X209)))*$I209/$E209)</f>
        <v/>
      </c>
      <c r="P209" s="35" t="str">
        <f t="shared" si="43"/>
        <v/>
      </c>
      <c r="Q209" s="36" t="str">
        <f t="shared" si="44"/>
        <v/>
      </c>
      <c r="R209" s="37" t="str">
        <f t="shared" si="45"/>
        <v/>
      </c>
      <c r="S209" s="38" t="str">
        <f t="shared" si="46"/>
        <v/>
      </c>
      <c r="T209" s="39" t="str">
        <f t="shared" si="47"/>
        <v/>
      </c>
      <c r="U209" s="40" t="str">
        <f t="shared" si="48"/>
        <v/>
      </c>
      <c r="V209" s="33" t="str">
        <f t="shared" si="49"/>
        <v/>
      </c>
      <c r="W209" s="33" t="str">
        <f t="shared" si="50"/>
        <v/>
      </c>
      <c r="X209" s="41" t="str">
        <f>IF($A209="","",IFERROR(MATCH($A209,Comenzi!$A$9:$A$108,0)+8,""))</f>
        <v/>
      </c>
      <c r="Y209" s="41" t="str">
        <f t="shared" si="51"/>
        <v/>
      </c>
      <c r="Z209" s="42" t="str">
        <f>IF($A209="","",IF($A209="?","Lipseste ID-ul comenzii (col. A din PI Furnizor)",IF(NOT(ISNUMBER($X209)),"ID comanda negasit in foaia Comenzi",IF(N($E209)&lt;=0,"Lipseste cantitatea",IF(N($G209)=0,"Pret unitar lipsa",IF($Y209&lt;&gt;1,"Curs sau moneda marfa lipsa (foaia Comenzi)",IF(INDEX(Comenzi!$AT:$AT,$X209)&lt;&gt;"OK","Avertisment comanda: "&amp;INDEX(Comenzi!$AT:$AT,$X209),"OK")))))))</f>
        <v/>
      </c>
      <c r="AA209" s="43" t="str">
        <f>IF(ISNUMBER($X209),INDEX(Comenzi!$H:$H,$X209),"")</f>
        <v/>
      </c>
      <c r="AB209" s="43" t="str">
        <f>IF(ISNUMBER($X209),INDEX(Comenzi!$I:$I,$X209),"")</f>
        <v/>
      </c>
      <c r="AC209" s="44" t="str">
        <f>IF(ISNUMBER($X209),IF(INDEX(Comenzi!$V:$V,$X209)="",Comenzi!$D$3,INDEX(Comenzi!$V:$V,$X209)),"")</f>
        <v/>
      </c>
      <c r="AD209" s="44" t="str">
        <f>IF(ISNUMBER($X209),IF(INDEX(Comenzi!$U:$U,$X209)="",Comenzi!$D$4,INDEX(Comenzi!$U:$U,$X209)),"")</f>
        <v/>
      </c>
      <c r="AE209" s="45" t="str">
        <f>IF($Y209&lt;&gt;1,"",IF(INDEX(Comenzi!$AM:$AM,$X209)="Greutate",INDEX('PI Furnizor'!$O:$O,ROW()-3),IF(INDEX(Comenzi!$AM:$AM,$X209)="Volum (CBM)",INDEX('PI Furnizor'!$Q:$Q,ROW()-3),IF(INDEX(Comenzi!$AM:$AM,$X209)="Valoare marfa",INDEX('PI Furnizor'!$N:$N,ROW()-3),$E209))))</f>
        <v/>
      </c>
    </row>
    <row r="210" spans="1:31" x14ac:dyDescent="0.3">
      <c r="A210" s="28" t="str">
        <f>IF(COUNTA(INDEX('PI Furnizor'!$A:$E,ROW()-3,0))=0,"",IF(INDEX('PI Furnizor'!$A:$A,ROW()-3)="","?",INDEX('PI Furnizor'!$A:$A,ROW()-3)))</f>
        <v/>
      </c>
      <c r="B210" s="29" t="str">
        <f>IF(ISNUMBER($X210),INDEX(Comenzi!$B:$B,$X210),"")</f>
        <v/>
      </c>
      <c r="C210" s="28" t="str">
        <f>IF($A210="","",INDEX('PI Furnizor'!$B:$B,ROW()-3)&amp;"")</f>
        <v/>
      </c>
      <c r="D210" s="28" t="str">
        <f>IF($A210="","",INDEX('PI Furnizor'!$C:$C,ROW()-3)&amp;"")</f>
        <v/>
      </c>
      <c r="E210" s="30" t="str">
        <f>IF($A210="","",N(INDEX('PI Furnizor'!$D:$D,ROW()-3)))</f>
        <v/>
      </c>
      <c r="F210" s="31" t="str">
        <f>IF(ISNUMBER($X210),INDEX(Comenzi!$G:$G,$X210),"")</f>
        <v/>
      </c>
      <c r="G210" s="32" t="str">
        <f>IF($A210="","",N(INDEX('PI Furnizor'!$E:$E,ROW()-3)))</f>
        <v/>
      </c>
      <c r="H210" s="33" t="str">
        <f t="shared" si="39"/>
        <v/>
      </c>
      <c r="I210" s="34" t="str">
        <f>IF($Y210&lt;&gt;1,"",IFERROR($AE210/INDEX(Comenzi!$AN:$AN,$X210),0))</f>
        <v/>
      </c>
      <c r="J210" s="33" t="str">
        <f>IF($Y210&lt;&gt;1,"",INDEX(Comenzi!$AG:$AG,$X210)*$I210/$E210)</f>
        <v/>
      </c>
      <c r="K210" s="33" t="str">
        <f t="shared" si="40"/>
        <v/>
      </c>
      <c r="L210" s="33" t="str">
        <f>IF($Y210&lt;&gt;1,"",$K210*$AD210+INDEX(Comenzi!$AJ:$AJ,$X210)*$I210/$E210)</f>
        <v/>
      </c>
      <c r="M210" s="33" t="str">
        <f t="shared" si="41"/>
        <v/>
      </c>
      <c r="N210" s="33" t="str">
        <f t="shared" si="42"/>
        <v/>
      </c>
      <c r="O210" s="33" t="str">
        <f>IF($Y210&lt;&gt;1,"",(INDEX(Comenzi!$AK:$AK,$X210)+N(INDEX(Comenzi!$T:$T,$X210)))*$I210/$E210)</f>
        <v/>
      </c>
      <c r="P210" s="35" t="str">
        <f t="shared" si="43"/>
        <v/>
      </c>
      <c r="Q210" s="36" t="str">
        <f t="shared" si="44"/>
        <v/>
      </c>
      <c r="R210" s="37" t="str">
        <f t="shared" si="45"/>
        <v/>
      </c>
      <c r="S210" s="38" t="str">
        <f t="shared" si="46"/>
        <v/>
      </c>
      <c r="T210" s="39" t="str">
        <f t="shared" si="47"/>
        <v/>
      </c>
      <c r="U210" s="40" t="str">
        <f t="shared" si="48"/>
        <v/>
      </c>
      <c r="V210" s="33" t="str">
        <f t="shared" si="49"/>
        <v/>
      </c>
      <c r="W210" s="33" t="str">
        <f t="shared" si="50"/>
        <v/>
      </c>
      <c r="X210" s="41" t="str">
        <f>IF($A210="","",IFERROR(MATCH($A210,Comenzi!$A$9:$A$108,0)+8,""))</f>
        <v/>
      </c>
      <c r="Y210" s="41" t="str">
        <f t="shared" si="51"/>
        <v/>
      </c>
      <c r="Z210" s="42" t="str">
        <f>IF($A210="","",IF($A210="?","Lipseste ID-ul comenzii (col. A din PI Furnizor)",IF(NOT(ISNUMBER($X210)),"ID comanda negasit in foaia Comenzi",IF(N($E210)&lt;=0,"Lipseste cantitatea",IF(N($G210)=0,"Pret unitar lipsa",IF($Y210&lt;&gt;1,"Curs sau moneda marfa lipsa (foaia Comenzi)",IF(INDEX(Comenzi!$AT:$AT,$X210)&lt;&gt;"OK","Avertisment comanda: "&amp;INDEX(Comenzi!$AT:$AT,$X210),"OK")))))))</f>
        <v/>
      </c>
      <c r="AA210" s="43" t="str">
        <f>IF(ISNUMBER($X210),INDEX(Comenzi!$H:$H,$X210),"")</f>
        <v/>
      </c>
      <c r="AB210" s="43" t="str">
        <f>IF(ISNUMBER($X210),INDEX(Comenzi!$I:$I,$X210),"")</f>
        <v/>
      </c>
      <c r="AC210" s="44" t="str">
        <f>IF(ISNUMBER($X210),IF(INDEX(Comenzi!$V:$V,$X210)="",Comenzi!$D$3,INDEX(Comenzi!$V:$V,$X210)),"")</f>
        <v/>
      </c>
      <c r="AD210" s="44" t="str">
        <f>IF(ISNUMBER($X210),IF(INDEX(Comenzi!$U:$U,$X210)="",Comenzi!$D$4,INDEX(Comenzi!$U:$U,$X210)),"")</f>
        <v/>
      </c>
      <c r="AE210" s="45" t="str">
        <f>IF($Y210&lt;&gt;1,"",IF(INDEX(Comenzi!$AM:$AM,$X210)="Greutate",INDEX('PI Furnizor'!$O:$O,ROW()-3),IF(INDEX(Comenzi!$AM:$AM,$X210)="Volum (CBM)",INDEX('PI Furnizor'!$Q:$Q,ROW()-3),IF(INDEX(Comenzi!$AM:$AM,$X210)="Valoare marfa",INDEX('PI Furnizor'!$N:$N,ROW()-3),$E210))))</f>
        <v/>
      </c>
    </row>
    <row r="211" spans="1:31" x14ac:dyDescent="0.3">
      <c r="A211" s="28" t="str">
        <f>IF(COUNTA(INDEX('PI Furnizor'!$A:$E,ROW()-3,0))=0,"",IF(INDEX('PI Furnizor'!$A:$A,ROW()-3)="","?",INDEX('PI Furnizor'!$A:$A,ROW()-3)))</f>
        <v/>
      </c>
      <c r="B211" s="29" t="str">
        <f>IF(ISNUMBER($X211),INDEX(Comenzi!$B:$B,$X211),"")</f>
        <v/>
      </c>
      <c r="C211" s="28" t="str">
        <f>IF($A211="","",INDEX('PI Furnizor'!$B:$B,ROW()-3)&amp;"")</f>
        <v/>
      </c>
      <c r="D211" s="28" t="str">
        <f>IF($A211="","",INDEX('PI Furnizor'!$C:$C,ROW()-3)&amp;"")</f>
        <v/>
      </c>
      <c r="E211" s="30" t="str">
        <f>IF($A211="","",N(INDEX('PI Furnizor'!$D:$D,ROW()-3)))</f>
        <v/>
      </c>
      <c r="F211" s="31" t="str">
        <f>IF(ISNUMBER($X211),INDEX(Comenzi!$G:$G,$X211),"")</f>
        <v/>
      </c>
      <c r="G211" s="32" t="str">
        <f>IF($A211="","",N(INDEX('PI Furnizor'!$E:$E,ROW()-3)))</f>
        <v/>
      </c>
      <c r="H211" s="33" t="str">
        <f t="shared" si="39"/>
        <v/>
      </c>
      <c r="I211" s="34" t="str">
        <f>IF($Y211&lt;&gt;1,"",IFERROR($AE211/INDEX(Comenzi!$AN:$AN,$X211),0))</f>
        <v/>
      </c>
      <c r="J211" s="33" t="str">
        <f>IF($Y211&lt;&gt;1,"",INDEX(Comenzi!$AG:$AG,$X211)*$I211/$E211)</f>
        <v/>
      </c>
      <c r="K211" s="33" t="str">
        <f t="shared" si="40"/>
        <v/>
      </c>
      <c r="L211" s="33" t="str">
        <f>IF($Y211&lt;&gt;1,"",$K211*$AD211+INDEX(Comenzi!$AJ:$AJ,$X211)*$I211/$E211)</f>
        <v/>
      </c>
      <c r="M211" s="33" t="str">
        <f t="shared" si="41"/>
        <v/>
      </c>
      <c r="N211" s="33" t="str">
        <f t="shared" si="42"/>
        <v/>
      </c>
      <c r="O211" s="33" t="str">
        <f>IF($Y211&lt;&gt;1,"",(INDEX(Comenzi!$AK:$AK,$X211)+N(INDEX(Comenzi!$T:$T,$X211)))*$I211/$E211)</f>
        <v/>
      </c>
      <c r="P211" s="35" t="str">
        <f t="shared" si="43"/>
        <v/>
      </c>
      <c r="Q211" s="36" t="str">
        <f t="shared" si="44"/>
        <v/>
      </c>
      <c r="R211" s="37" t="str">
        <f t="shared" si="45"/>
        <v/>
      </c>
      <c r="S211" s="38" t="str">
        <f t="shared" si="46"/>
        <v/>
      </c>
      <c r="T211" s="39" t="str">
        <f t="shared" si="47"/>
        <v/>
      </c>
      <c r="U211" s="40" t="str">
        <f t="shared" si="48"/>
        <v/>
      </c>
      <c r="V211" s="33" t="str">
        <f t="shared" si="49"/>
        <v/>
      </c>
      <c r="W211" s="33" t="str">
        <f t="shared" si="50"/>
        <v/>
      </c>
      <c r="X211" s="41" t="str">
        <f>IF($A211="","",IFERROR(MATCH($A211,Comenzi!$A$9:$A$108,0)+8,""))</f>
        <v/>
      </c>
      <c r="Y211" s="41" t="str">
        <f t="shared" si="51"/>
        <v/>
      </c>
      <c r="Z211" s="42" t="str">
        <f>IF($A211="","",IF($A211="?","Lipseste ID-ul comenzii (col. A din PI Furnizor)",IF(NOT(ISNUMBER($X211)),"ID comanda negasit in foaia Comenzi",IF(N($E211)&lt;=0,"Lipseste cantitatea",IF(N($G211)=0,"Pret unitar lipsa",IF($Y211&lt;&gt;1,"Curs sau moneda marfa lipsa (foaia Comenzi)",IF(INDEX(Comenzi!$AT:$AT,$X211)&lt;&gt;"OK","Avertisment comanda: "&amp;INDEX(Comenzi!$AT:$AT,$X211),"OK")))))))</f>
        <v/>
      </c>
      <c r="AA211" s="43" t="str">
        <f>IF(ISNUMBER($X211),INDEX(Comenzi!$H:$H,$X211),"")</f>
        <v/>
      </c>
      <c r="AB211" s="43" t="str">
        <f>IF(ISNUMBER($X211),INDEX(Comenzi!$I:$I,$X211),"")</f>
        <v/>
      </c>
      <c r="AC211" s="44" t="str">
        <f>IF(ISNUMBER($X211),IF(INDEX(Comenzi!$V:$V,$X211)="",Comenzi!$D$3,INDEX(Comenzi!$V:$V,$X211)),"")</f>
        <v/>
      </c>
      <c r="AD211" s="44" t="str">
        <f>IF(ISNUMBER($X211),IF(INDEX(Comenzi!$U:$U,$X211)="",Comenzi!$D$4,INDEX(Comenzi!$U:$U,$X211)),"")</f>
        <v/>
      </c>
      <c r="AE211" s="45" t="str">
        <f>IF($Y211&lt;&gt;1,"",IF(INDEX(Comenzi!$AM:$AM,$X211)="Greutate",INDEX('PI Furnizor'!$O:$O,ROW()-3),IF(INDEX(Comenzi!$AM:$AM,$X211)="Volum (CBM)",INDEX('PI Furnizor'!$Q:$Q,ROW()-3),IF(INDEX(Comenzi!$AM:$AM,$X211)="Valoare marfa",INDEX('PI Furnizor'!$N:$N,ROW()-3),$E211))))</f>
        <v/>
      </c>
    </row>
    <row r="212" spans="1:31" x14ac:dyDescent="0.3">
      <c r="A212" s="28" t="str">
        <f>IF(COUNTA(INDEX('PI Furnizor'!$A:$E,ROW()-3,0))=0,"",IF(INDEX('PI Furnizor'!$A:$A,ROW()-3)="","?",INDEX('PI Furnizor'!$A:$A,ROW()-3)))</f>
        <v/>
      </c>
      <c r="B212" s="29" t="str">
        <f>IF(ISNUMBER($X212),INDEX(Comenzi!$B:$B,$X212),"")</f>
        <v/>
      </c>
      <c r="C212" s="28" t="str">
        <f>IF($A212="","",INDEX('PI Furnizor'!$B:$B,ROW()-3)&amp;"")</f>
        <v/>
      </c>
      <c r="D212" s="28" t="str">
        <f>IF($A212="","",INDEX('PI Furnizor'!$C:$C,ROW()-3)&amp;"")</f>
        <v/>
      </c>
      <c r="E212" s="30" t="str">
        <f>IF($A212="","",N(INDEX('PI Furnizor'!$D:$D,ROW()-3)))</f>
        <v/>
      </c>
      <c r="F212" s="31" t="str">
        <f>IF(ISNUMBER($X212),INDEX(Comenzi!$G:$G,$X212),"")</f>
        <v/>
      </c>
      <c r="G212" s="32" t="str">
        <f>IF($A212="","",N(INDEX('PI Furnizor'!$E:$E,ROW()-3)))</f>
        <v/>
      </c>
      <c r="H212" s="33" t="str">
        <f t="shared" si="39"/>
        <v/>
      </c>
      <c r="I212" s="34" t="str">
        <f>IF($Y212&lt;&gt;1,"",IFERROR($AE212/INDEX(Comenzi!$AN:$AN,$X212),0))</f>
        <v/>
      </c>
      <c r="J212" s="33" t="str">
        <f>IF($Y212&lt;&gt;1,"",INDEX(Comenzi!$AG:$AG,$X212)*$I212/$E212)</f>
        <v/>
      </c>
      <c r="K212" s="33" t="str">
        <f t="shared" si="40"/>
        <v/>
      </c>
      <c r="L212" s="33" t="str">
        <f>IF($Y212&lt;&gt;1,"",$K212*$AD212+INDEX(Comenzi!$AJ:$AJ,$X212)*$I212/$E212)</f>
        <v/>
      </c>
      <c r="M212" s="33" t="str">
        <f t="shared" si="41"/>
        <v/>
      </c>
      <c r="N212" s="33" t="str">
        <f t="shared" si="42"/>
        <v/>
      </c>
      <c r="O212" s="33" t="str">
        <f>IF($Y212&lt;&gt;1,"",(INDEX(Comenzi!$AK:$AK,$X212)+N(INDEX(Comenzi!$T:$T,$X212)))*$I212/$E212)</f>
        <v/>
      </c>
      <c r="P212" s="35" t="str">
        <f t="shared" si="43"/>
        <v/>
      </c>
      <c r="Q212" s="36" t="str">
        <f t="shared" si="44"/>
        <v/>
      </c>
      <c r="R212" s="37" t="str">
        <f t="shared" si="45"/>
        <v/>
      </c>
      <c r="S212" s="38" t="str">
        <f t="shared" si="46"/>
        <v/>
      </c>
      <c r="T212" s="39" t="str">
        <f t="shared" si="47"/>
        <v/>
      </c>
      <c r="U212" s="40" t="str">
        <f t="shared" si="48"/>
        <v/>
      </c>
      <c r="V212" s="33" t="str">
        <f t="shared" si="49"/>
        <v/>
      </c>
      <c r="W212" s="33" t="str">
        <f t="shared" si="50"/>
        <v/>
      </c>
      <c r="X212" s="41" t="str">
        <f>IF($A212="","",IFERROR(MATCH($A212,Comenzi!$A$9:$A$108,0)+8,""))</f>
        <v/>
      </c>
      <c r="Y212" s="41" t="str">
        <f t="shared" si="51"/>
        <v/>
      </c>
      <c r="Z212" s="42" t="str">
        <f>IF($A212="","",IF($A212="?","Lipseste ID-ul comenzii (col. A din PI Furnizor)",IF(NOT(ISNUMBER($X212)),"ID comanda negasit in foaia Comenzi",IF(N($E212)&lt;=0,"Lipseste cantitatea",IF(N($G212)=0,"Pret unitar lipsa",IF($Y212&lt;&gt;1,"Curs sau moneda marfa lipsa (foaia Comenzi)",IF(INDEX(Comenzi!$AT:$AT,$X212)&lt;&gt;"OK","Avertisment comanda: "&amp;INDEX(Comenzi!$AT:$AT,$X212),"OK")))))))</f>
        <v/>
      </c>
      <c r="AA212" s="43" t="str">
        <f>IF(ISNUMBER($X212),INDEX(Comenzi!$H:$H,$X212),"")</f>
        <v/>
      </c>
      <c r="AB212" s="43" t="str">
        <f>IF(ISNUMBER($X212),INDEX(Comenzi!$I:$I,$X212),"")</f>
        <v/>
      </c>
      <c r="AC212" s="44" t="str">
        <f>IF(ISNUMBER($X212),IF(INDEX(Comenzi!$V:$V,$X212)="",Comenzi!$D$3,INDEX(Comenzi!$V:$V,$X212)),"")</f>
        <v/>
      </c>
      <c r="AD212" s="44" t="str">
        <f>IF(ISNUMBER($X212),IF(INDEX(Comenzi!$U:$U,$X212)="",Comenzi!$D$4,INDEX(Comenzi!$U:$U,$X212)),"")</f>
        <v/>
      </c>
      <c r="AE212" s="45" t="str">
        <f>IF($Y212&lt;&gt;1,"",IF(INDEX(Comenzi!$AM:$AM,$X212)="Greutate",INDEX('PI Furnizor'!$O:$O,ROW()-3),IF(INDEX(Comenzi!$AM:$AM,$X212)="Volum (CBM)",INDEX('PI Furnizor'!$Q:$Q,ROW()-3),IF(INDEX(Comenzi!$AM:$AM,$X212)="Valoare marfa",INDEX('PI Furnizor'!$N:$N,ROW()-3),$E212))))</f>
        <v/>
      </c>
    </row>
    <row r="213" spans="1:31" x14ac:dyDescent="0.3">
      <c r="A213" s="28" t="str">
        <f>IF(COUNTA(INDEX('PI Furnizor'!$A:$E,ROW()-3,0))=0,"",IF(INDEX('PI Furnizor'!$A:$A,ROW()-3)="","?",INDEX('PI Furnizor'!$A:$A,ROW()-3)))</f>
        <v/>
      </c>
      <c r="B213" s="29" t="str">
        <f>IF(ISNUMBER($X213),INDEX(Comenzi!$B:$B,$X213),"")</f>
        <v/>
      </c>
      <c r="C213" s="28" t="str">
        <f>IF($A213="","",INDEX('PI Furnizor'!$B:$B,ROW()-3)&amp;"")</f>
        <v/>
      </c>
      <c r="D213" s="28" t="str">
        <f>IF($A213="","",INDEX('PI Furnizor'!$C:$C,ROW()-3)&amp;"")</f>
        <v/>
      </c>
      <c r="E213" s="30" t="str">
        <f>IF($A213="","",N(INDEX('PI Furnizor'!$D:$D,ROW()-3)))</f>
        <v/>
      </c>
      <c r="F213" s="31" t="str">
        <f>IF(ISNUMBER($X213),INDEX(Comenzi!$G:$G,$X213),"")</f>
        <v/>
      </c>
      <c r="G213" s="32" t="str">
        <f>IF($A213="","",N(INDEX('PI Furnizor'!$E:$E,ROW()-3)))</f>
        <v/>
      </c>
      <c r="H213" s="33" t="str">
        <f t="shared" si="39"/>
        <v/>
      </c>
      <c r="I213" s="34" t="str">
        <f>IF($Y213&lt;&gt;1,"",IFERROR($AE213/INDEX(Comenzi!$AN:$AN,$X213),0))</f>
        <v/>
      </c>
      <c r="J213" s="33" t="str">
        <f>IF($Y213&lt;&gt;1,"",INDEX(Comenzi!$AG:$AG,$X213)*$I213/$E213)</f>
        <v/>
      </c>
      <c r="K213" s="33" t="str">
        <f t="shared" si="40"/>
        <v/>
      </c>
      <c r="L213" s="33" t="str">
        <f>IF($Y213&lt;&gt;1,"",$K213*$AD213+INDEX(Comenzi!$AJ:$AJ,$X213)*$I213/$E213)</f>
        <v/>
      </c>
      <c r="M213" s="33" t="str">
        <f t="shared" si="41"/>
        <v/>
      </c>
      <c r="N213" s="33" t="str">
        <f t="shared" si="42"/>
        <v/>
      </c>
      <c r="O213" s="33" t="str">
        <f>IF($Y213&lt;&gt;1,"",(INDEX(Comenzi!$AK:$AK,$X213)+N(INDEX(Comenzi!$T:$T,$X213)))*$I213/$E213)</f>
        <v/>
      </c>
      <c r="P213" s="35" t="str">
        <f t="shared" si="43"/>
        <v/>
      </c>
      <c r="Q213" s="36" t="str">
        <f t="shared" si="44"/>
        <v/>
      </c>
      <c r="R213" s="37" t="str">
        <f t="shared" si="45"/>
        <v/>
      </c>
      <c r="S213" s="38" t="str">
        <f t="shared" si="46"/>
        <v/>
      </c>
      <c r="T213" s="39" t="str">
        <f t="shared" si="47"/>
        <v/>
      </c>
      <c r="U213" s="40" t="str">
        <f t="shared" si="48"/>
        <v/>
      </c>
      <c r="V213" s="33" t="str">
        <f t="shared" si="49"/>
        <v/>
      </c>
      <c r="W213" s="33" t="str">
        <f t="shared" si="50"/>
        <v/>
      </c>
      <c r="X213" s="41" t="str">
        <f>IF($A213="","",IFERROR(MATCH($A213,Comenzi!$A$9:$A$108,0)+8,""))</f>
        <v/>
      </c>
      <c r="Y213" s="41" t="str">
        <f t="shared" si="51"/>
        <v/>
      </c>
      <c r="Z213" s="42" t="str">
        <f>IF($A213="","",IF($A213="?","Lipseste ID-ul comenzii (col. A din PI Furnizor)",IF(NOT(ISNUMBER($X213)),"ID comanda negasit in foaia Comenzi",IF(N($E213)&lt;=0,"Lipseste cantitatea",IF(N($G213)=0,"Pret unitar lipsa",IF($Y213&lt;&gt;1,"Curs sau moneda marfa lipsa (foaia Comenzi)",IF(INDEX(Comenzi!$AT:$AT,$X213)&lt;&gt;"OK","Avertisment comanda: "&amp;INDEX(Comenzi!$AT:$AT,$X213),"OK")))))))</f>
        <v/>
      </c>
      <c r="AA213" s="43" t="str">
        <f>IF(ISNUMBER($X213),INDEX(Comenzi!$H:$H,$X213),"")</f>
        <v/>
      </c>
      <c r="AB213" s="43" t="str">
        <f>IF(ISNUMBER($X213),INDEX(Comenzi!$I:$I,$X213),"")</f>
        <v/>
      </c>
      <c r="AC213" s="44" t="str">
        <f>IF(ISNUMBER($X213),IF(INDEX(Comenzi!$V:$V,$X213)="",Comenzi!$D$3,INDEX(Comenzi!$V:$V,$X213)),"")</f>
        <v/>
      </c>
      <c r="AD213" s="44" t="str">
        <f>IF(ISNUMBER($X213),IF(INDEX(Comenzi!$U:$U,$X213)="",Comenzi!$D$4,INDEX(Comenzi!$U:$U,$X213)),"")</f>
        <v/>
      </c>
      <c r="AE213" s="45" t="str">
        <f>IF($Y213&lt;&gt;1,"",IF(INDEX(Comenzi!$AM:$AM,$X213)="Greutate",INDEX('PI Furnizor'!$O:$O,ROW()-3),IF(INDEX(Comenzi!$AM:$AM,$X213)="Volum (CBM)",INDEX('PI Furnizor'!$Q:$Q,ROW()-3),IF(INDEX(Comenzi!$AM:$AM,$X213)="Valoare marfa",INDEX('PI Furnizor'!$N:$N,ROW()-3),$E213))))</f>
        <v/>
      </c>
    </row>
    <row r="214" spans="1:31" x14ac:dyDescent="0.3">
      <c r="A214" s="28" t="str">
        <f>IF(COUNTA(INDEX('PI Furnizor'!$A:$E,ROW()-3,0))=0,"",IF(INDEX('PI Furnizor'!$A:$A,ROW()-3)="","?",INDEX('PI Furnizor'!$A:$A,ROW()-3)))</f>
        <v/>
      </c>
      <c r="B214" s="29" t="str">
        <f>IF(ISNUMBER($X214),INDEX(Comenzi!$B:$B,$X214),"")</f>
        <v/>
      </c>
      <c r="C214" s="28" t="str">
        <f>IF($A214="","",INDEX('PI Furnizor'!$B:$B,ROW()-3)&amp;"")</f>
        <v/>
      </c>
      <c r="D214" s="28" t="str">
        <f>IF($A214="","",INDEX('PI Furnizor'!$C:$C,ROW()-3)&amp;"")</f>
        <v/>
      </c>
      <c r="E214" s="30" t="str">
        <f>IF($A214="","",N(INDEX('PI Furnizor'!$D:$D,ROW()-3)))</f>
        <v/>
      </c>
      <c r="F214" s="31" t="str">
        <f>IF(ISNUMBER($X214),INDEX(Comenzi!$G:$G,$X214),"")</f>
        <v/>
      </c>
      <c r="G214" s="32" t="str">
        <f>IF($A214="","",N(INDEX('PI Furnizor'!$E:$E,ROW()-3)))</f>
        <v/>
      </c>
      <c r="H214" s="33" t="str">
        <f t="shared" si="39"/>
        <v/>
      </c>
      <c r="I214" s="34" t="str">
        <f>IF($Y214&lt;&gt;1,"",IFERROR($AE214/INDEX(Comenzi!$AN:$AN,$X214),0))</f>
        <v/>
      </c>
      <c r="J214" s="33" t="str">
        <f>IF($Y214&lt;&gt;1,"",INDEX(Comenzi!$AG:$AG,$X214)*$I214/$E214)</f>
        <v/>
      </c>
      <c r="K214" s="33" t="str">
        <f t="shared" si="40"/>
        <v/>
      </c>
      <c r="L214" s="33" t="str">
        <f>IF($Y214&lt;&gt;1,"",$K214*$AD214+INDEX(Comenzi!$AJ:$AJ,$X214)*$I214/$E214)</f>
        <v/>
      </c>
      <c r="M214" s="33" t="str">
        <f t="shared" si="41"/>
        <v/>
      </c>
      <c r="N214" s="33" t="str">
        <f t="shared" si="42"/>
        <v/>
      </c>
      <c r="O214" s="33" t="str">
        <f>IF($Y214&lt;&gt;1,"",(INDEX(Comenzi!$AK:$AK,$X214)+N(INDEX(Comenzi!$T:$T,$X214)))*$I214/$E214)</f>
        <v/>
      </c>
      <c r="P214" s="35" t="str">
        <f t="shared" si="43"/>
        <v/>
      </c>
      <c r="Q214" s="36" t="str">
        <f t="shared" si="44"/>
        <v/>
      </c>
      <c r="R214" s="37" t="str">
        <f t="shared" si="45"/>
        <v/>
      </c>
      <c r="S214" s="38" t="str">
        <f t="shared" si="46"/>
        <v/>
      </c>
      <c r="T214" s="39" t="str">
        <f t="shared" si="47"/>
        <v/>
      </c>
      <c r="U214" s="40" t="str">
        <f t="shared" si="48"/>
        <v/>
      </c>
      <c r="V214" s="33" t="str">
        <f t="shared" si="49"/>
        <v/>
      </c>
      <c r="W214" s="33" t="str">
        <f t="shared" si="50"/>
        <v/>
      </c>
      <c r="X214" s="41" t="str">
        <f>IF($A214="","",IFERROR(MATCH($A214,Comenzi!$A$9:$A$108,0)+8,""))</f>
        <v/>
      </c>
      <c r="Y214" s="41" t="str">
        <f t="shared" si="51"/>
        <v/>
      </c>
      <c r="Z214" s="42" t="str">
        <f>IF($A214="","",IF($A214="?","Lipseste ID-ul comenzii (col. A din PI Furnizor)",IF(NOT(ISNUMBER($X214)),"ID comanda negasit in foaia Comenzi",IF(N($E214)&lt;=0,"Lipseste cantitatea",IF(N($G214)=0,"Pret unitar lipsa",IF($Y214&lt;&gt;1,"Curs sau moneda marfa lipsa (foaia Comenzi)",IF(INDEX(Comenzi!$AT:$AT,$X214)&lt;&gt;"OK","Avertisment comanda: "&amp;INDEX(Comenzi!$AT:$AT,$X214),"OK")))))))</f>
        <v/>
      </c>
      <c r="AA214" s="43" t="str">
        <f>IF(ISNUMBER($X214),INDEX(Comenzi!$H:$H,$X214),"")</f>
        <v/>
      </c>
      <c r="AB214" s="43" t="str">
        <f>IF(ISNUMBER($X214),INDEX(Comenzi!$I:$I,$X214),"")</f>
        <v/>
      </c>
      <c r="AC214" s="44" t="str">
        <f>IF(ISNUMBER($X214),IF(INDEX(Comenzi!$V:$V,$X214)="",Comenzi!$D$3,INDEX(Comenzi!$V:$V,$X214)),"")</f>
        <v/>
      </c>
      <c r="AD214" s="44" t="str">
        <f>IF(ISNUMBER($X214),IF(INDEX(Comenzi!$U:$U,$X214)="",Comenzi!$D$4,INDEX(Comenzi!$U:$U,$X214)),"")</f>
        <v/>
      </c>
      <c r="AE214" s="45" t="str">
        <f>IF($Y214&lt;&gt;1,"",IF(INDEX(Comenzi!$AM:$AM,$X214)="Greutate",INDEX('PI Furnizor'!$O:$O,ROW()-3),IF(INDEX(Comenzi!$AM:$AM,$X214)="Volum (CBM)",INDEX('PI Furnizor'!$Q:$Q,ROW()-3),IF(INDEX(Comenzi!$AM:$AM,$X214)="Valoare marfa",INDEX('PI Furnizor'!$N:$N,ROW()-3),$E214))))</f>
        <v/>
      </c>
    </row>
    <row r="215" spans="1:31" x14ac:dyDescent="0.3">
      <c r="A215" s="28" t="str">
        <f>IF(COUNTA(INDEX('PI Furnizor'!$A:$E,ROW()-3,0))=0,"",IF(INDEX('PI Furnizor'!$A:$A,ROW()-3)="","?",INDEX('PI Furnizor'!$A:$A,ROW()-3)))</f>
        <v/>
      </c>
      <c r="B215" s="29" t="str">
        <f>IF(ISNUMBER($X215),INDEX(Comenzi!$B:$B,$X215),"")</f>
        <v/>
      </c>
      <c r="C215" s="28" t="str">
        <f>IF($A215="","",INDEX('PI Furnizor'!$B:$B,ROW()-3)&amp;"")</f>
        <v/>
      </c>
      <c r="D215" s="28" t="str">
        <f>IF($A215="","",INDEX('PI Furnizor'!$C:$C,ROW()-3)&amp;"")</f>
        <v/>
      </c>
      <c r="E215" s="30" t="str">
        <f>IF($A215="","",N(INDEX('PI Furnizor'!$D:$D,ROW()-3)))</f>
        <v/>
      </c>
      <c r="F215" s="31" t="str">
        <f>IF(ISNUMBER($X215),INDEX(Comenzi!$G:$G,$X215),"")</f>
        <v/>
      </c>
      <c r="G215" s="32" t="str">
        <f>IF($A215="","",N(INDEX('PI Furnizor'!$E:$E,ROW()-3)))</f>
        <v/>
      </c>
      <c r="H215" s="33" t="str">
        <f t="shared" si="39"/>
        <v/>
      </c>
      <c r="I215" s="34" t="str">
        <f>IF($Y215&lt;&gt;1,"",IFERROR($AE215/INDEX(Comenzi!$AN:$AN,$X215),0))</f>
        <v/>
      </c>
      <c r="J215" s="33" t="str">
        <f>IF($Y215&lt;&gt;1,"",INDEX(Comenzi!$AG:$AG,$X215)*$I215/$E215)</f>
        <v/>
      </c>
      <c r="K215" s="33" t="str">
        <f t="shared" si="40"/>
        <v/>
      </c>
      <c r="L215" s="33" t="str">
        <f>IF($Y215&lt;&gt;1,"",$K215*$AD215+INDEX(Comenzi!$AJ:$AJ,$X215)*$I215/$E215)</f>
        <v/>
      </c>
      <c r="M215" s="33" t="str">
        <f t="shared" si="41"/>
        <v/>
      </c>
      <c r="N215" s="33" t="str">
        <f t="shared" si="42"/>
        <v/>
      </c>
      <c r="O215" s="33" t="str">
        <f>IF($Y215&lt;&gt;1,"",(INDEX(Comenzi!$AK:$AK,$X215)+N(INDEX(Comenzi!$T:$T,$X215)))*$I215/$E215)</f>
        <v/>
      </c>
      <c r="P215" s="35" t="str">
        <f t="shared" si="43"/>
        <v/>
      </c>
      <c r="Q215" s="36" t="str">
        <f t="shared" si="44"/>
        <v/>
      </c>
      <c r="R215" s="37" t="str">
        <f t="shared" si="45"/>
        <v/>
      </c>
      <c r="S215" s="38" t="str">
        <f t="shared" si="46"/>
        <v/>
      </c>
      <c r="T215" s="39" t="str">
        <f t="shared" si="47"/>
        <v/>
      </c>
      <c r="U215" s="40" t="str">
        <f t="shared" si="48"/>
        <v/>
      </c>
      <c r="V215" s="33" t="str">
        <f t="shared" si="49"/>
        <v/>
      </c>
      <c r="W215" s="33" t="str">
        <f t="shared" si="50"/>
        <v/>
      </c>
      <c r="X215" s="41" t="str">
        <f>IF($A215="","",IFERROR(MATCH($A215,Comenzi!$A$9:$A$108,0)+8,""))</f>
        <v/>
      </c>
      <c r="Y215" s="41" t="str">
        <f t="shared" si="51"/>
        <v/>
      </c>
      <c r="Z215" s="42" t="str">
        <f>IF($A215="","",IF($A215="?","Lipseste ID-ul comenzii (col. A din PI Furnizor)",IF(NOT(ISNUMBER($X215)),"ID comanda negasit in foaia Comenzi",IF(N($E215)&lt;=0,"Lipseste cantitatea",IF(N($G215)=0,"Pret unitar lipsa",IF($Y215&lt;&gt;1,"Curs sau moneda marfa lipsa (foaia Comenzi)",IF(INDEX(Comenzi!$AT:$AT,$X215)&lt;&gt;"OK","Avertisment comanda: "&amp;INDEX(Comenzi!$AT:$AT,$X215),"OK")))))))</f>
        <v/>
      </c>
      <c r="AA215" s="43" t="str">
        <f>IF(ISNUMBER($X215),INDEX(Comenzi!$H:$H,$X215),"")</f>
        <v/>
      </c>
      <c r="AB215" s="43" t="str">
        <f>IF(ISNUMBER($X215),INDEX(Comenzi!$I:$I,$X215),"")</f>
        <v/>
      </c>
      <c r="AC215" s="44" t="str">
        <f>IF(ISNUMBER($X215),IF(INDEX(Comenzi!$V:$V,$X215)="",Comenzi!$D$3,INDEX(Comenzi!$V:$V,$X215)),"")</f>
        <v/>
      </c>
      <c r="AD215" s="44" t="str">
        <f>IF(ISNUMBER($X215),IF(INDEX(Comenzi!$U:$U,$X215)="",Comenzi!$D$4,INDEX(Comenzi!$U:$U,$X215)),"")</f>
        <v/>
      </c>
      <c r="AE215" s="45" t="str">
        <f>IF($Y215&lt;&gt;1,"",IF(INDEX(Comenzi!$AM:$AM,$X215)="Greutate",INDEX('PI Furnizor'!$O:$O,ROW()-3),IF(INDEX(Comenzi!$AM:$AM,$X215)="Volum (CBM)",INDEX('PI Furnizor'!$Q:$Q,ROW()-3),IF(INDEX(Comenzi!$AM:$AM,$X215)="Valoare marfa",INDEX('PI Furnizor'!$N:$N,ROW()-3),$E215))))</f>
        <v/>
      </c>
    </row>
    <row r="216" spans="1:31" x14ac:dyDescent="0.3">
      <c r="A216" s="28" t="str">
        <f>IF(COUNTA(INDEX('PI Furnizor'!$A:$E,ROW()-3,0))=0,"",IF(INDEX('PI Furnizor'!$A:$A,ROW()-3)="","?",INDEX('PI Furnizor'!$A:$A,ROW()-3)))</f>
        <v/>
      </c>
      <c r="B216" s="29" t="str">
        <f>IF(ISNUMBER($X216),INDEX(Comenzi!$B:$B,$X216),"")</f>
        <v/>
      </c>
      <c r="C216" s="28" t="str">
        <f>IF($A216="","",INDEX('PI Furnizor'!$B:$B,ROW()-3)&amp;"")</f>
        <v/>
      </c>
      <c r="D216" s="28" t="str">
        <f>IF($A216="","",INDEX('PI Furnizor'!$C:$C,ROW()-3)&amp;"")</f>
        <v/>
      </c>
      <c r="E216" s="30" t="str">
        <f>IF($A216="","",N(INDEX('PI Furnizor'!$D:$D,ROW()-3)))</f>
        <v/>
      </c>
      <c r="F216" s="31" t="str">
        <f>IF(ISNUMBER($X216),INDEX(Comenzi!$G:$G,$X216),"")</f>
        <v/>
      </c>
      <c r="G216" s="32" t="str">
        <f>IF($A216="","",N(INDEX('PI Furnizor'!$E:$E,ROW()-3)))</f>
        <v/>
      </c>
      <c r="H216" s="33" t="str">
        <f t="shared" si="39"/>
        <v/>
      </c>
      <c r="I216" s="34" t="str">
        <f>IF($Y216&lt;&gt;1,"",IFERROR($AE216/INDEX(Comenzi!$AN:$AN,$X216),0))</f>
        <v/>
      </c>
      <c r="J216" s="33" t="str">
        <f>IF($Y216&lt;&gt;1,"",INDEX(Comenzi!$AG:$AG,$X216)*$I216/$E216)</f>
        <v/>
      </c>
      <c r="K216" s="33" t="str">
        <f t="shared" si="40"/>
        <v/>
      </c>
      <c r="L216" s="33" t="str">
        <f>IF($Y216&lt;&gt;1,"",$K216*$AD216+INDEX(Comenzi!$AJ:$AJ,$X216)*$I216/$E216)</f>
        <v/>
      </c>
      <c r="M216" s="33" t="str">
        <f t="shared" si="41"/>
        <v/>
      </c>
      <c r="N216" s="33" t="str">
        <f t="shared" si="42"/>
        <v/>
      </c>
      <c r="O216" s="33" t="str">
        <f>IF($Y216&lt;&gt;1,"",(INDEX(Comenzi!$AK:$AK,$X216)+N(INDEX(Comenzi!$T:$T,$X216)))*$I216/$E216)</f>
        <v/>
      </c>
      <c r="P216" s="35" t="str">
        <f t="shared" si="43"/>
        <v/>
      </c>
      <c r="Q216" s="36" t="str">
        <f t="shared" si="44"/>
        <v/>
      </c>
      <c r="R216" s="37" t="str">
        <f t="shared" si="45"/>
        <v/>
      </c>
      <c r="S216" s="38" t="str">
        <f t="shared" si="46"/>
        <v/>
      </c>
      <c r="T216" s="39" t="str">
        <f t="shared" si="47"/>
        <v/>
      </c>
      <c r="U216" s="40" t="str">
        <f t="shared" si="48"/>
        <v/>
      </c>
      <c r="V216" s="33" t="str">
        <f t="shared" si="49"/>
        <v/>
      </c>
      <c r="W216" s="33" t="str">
        <f t="shared" si="50"/>
        <v/>
      </c>
      <c r="X216" s="41" t="str">
        <f>IF($A216="","",IFERROR(MATCH($A216,Comenzi!$A$9:$A$108,0)+8,""))</f>
        <v/>
      </c>
      <c r="Y216" s="41" t="str">
        <f t="shared" si="51"/>
        <v/>
      </c>
      <c r="Z216" s="42" t="str">
        <f>IF($A216="","",IF($A216="?","Lipseste ID-ul comenzii (col. A din PI Furnizor)",IF(NOT(ISNUMBER($X216)),"ID comanda negasit in foaia Comenzi",IF(N($E216)&lt;=0,"Lipseste cantitatea",IF(N($G216)=0,"Pret unitar lipsa",IF($Y216&lt;&gt;1,"Curs sau moneda marfa lipsa (foaia Comenzi)",IF(INDEX(Comenzi!$AT:$AT,$X216)&lt;&gt;"OK","Avertisment comanda: "&amp;INDEX(Comenzi!$AT:$AT,$X216),"OK")))))))</f>
        <v/>
      </c>
      <c r="AA216" s="43" t="str">
        <f>IF(ISNUMBER($X216),INDEX(Comenzi!$H:$H,$X216),"")</f>
        <v/>
      </c>
      <c r="AB216" s="43" t="str">
        <f>IF(ISNUMBER($X216),INDEX(Comenzi!$I:$I,$X216),"")</f>
        <v/>
      </c>
      <c r="AC216" s="44" t="str">
        <f>IF(ISNUMBER($X216),IF(INDEX(Comenzi!$V:$V,$X216)="",Comenzi!$D$3,INDEX(Comenzi!$V:$V,$X216)),"")</f>
        <v/>
      </c>
      <c r="AD216" s="44" t="str">
        <f>IF(ISNUMBER($X216),IF(INDEX(Comenzi!$U:$U,$X216)="",Comenzi!$D$4,INDEX(Comenzi!$U:$U,$X216)),"")</f>
        <v/>
      </c>
      <c r="AE216" s="45" t="str">
        <f>IF($Y216&lt;&gt;1,"",IF(INDEX(Comenzi!$AM:$AM,$X216)="Greutate",INDEX('PI Furnizor'!$O:$O,ROW()-3),IF(INDEX(Comenzi!$AM:$AM,$X216)="Volum (CBM)",INDEX('PI Furnizor'!$Q:$Q,ROW()-3),IF(INDEX(Comenzi!$AM:$AM,$X216)="Valoare marfa",INDEX('PI Furnizor'!$N:$N,ROW()-3),$E216))))</f>
        <v/>
      </c>
    </row>
    <row r="217" spans="1:31" x14ac:dyDescent="0.3">
      <c r="A217" s="28" t="str">
        <f>IF(COUNTA(INDEX('PI Furnizor'!$A:$E,ROW()-3,0))=0,"",IF(INDEX('PI Furnizor'!$A:$A,ROW()-3)="","?",INDEX('PI Furnizor'!$A:$A,ROW()-3)))</f>
        <v/>
      </c>
      <c r="B217" s="29" t="str">
        <f>IF(ISNUMBER($X217),INDEX(Comenzi!$B:$B,$X217),"")</f>
        <v/>
      </c>
      <c r="C217" s="28" t="str">
        <f>IF($A217="","",INDEX('PI Furnizor'!$B:$B,ROW()-3)&amp;"")</f>
        <v/>
      </c>
      <c r="D217" s="28" t="str">
        <f>IF($A217="","",INDEX('PI Furnizor'!$C:$C,ROW()-3)&amp;"")</f>
        <v/>
      </c>
      <c r="E217" s="30" t="str">
        <f>IF($A217="","",N(INDEX('PI Furnizor'!$D:$D,ROW()-3)))</f>
        <v/>
      </c>
      <c r="F217" s="31" t="str">
        <f>IF(ISNUMBER($X217),INDEX(Comenzi!$G:$G,$X217),"")</f>
        <v/>
      </c>
      <c r="G217" s="32" t="str">
        <f>IF($A217="","",N(INDEX('PI Furnizor'!$E:$E,ROW()-3)))</f>
        <v/>
      </c>
      <c r="H217" s="33" t="str">
        <f t="shared" si="39"/>
        <v/>
      </c>
      <c r="I217" s="34" t="str">
        <f>IF($Y217&lt;&gt;1,"",IFERROR($AE217/INDEX(Comenzi!$AN:$AN,$X217),0))</f>
        <v/>
      </c>
      <c r="J217" s="33" t="str">
        <f>IF($Y217&lt;&gt;1,"",INDEX(Comenzi!$AG:$AG,$X217)*$I217/$E217)</f>
        <v/>
      </c>
      <c r="K217" s="33" t="str">
        <f t="shared" si="40"/>
        <v/>
      </c>
      <c r="L217" s="33" t="str">
        <f>IF($Y217&lt;&gt;1,"",$K217*$AD217+INDEX(Comenzi!$AJ:$AJ,$X217)*$I217/$E217)</f>
        <v/>
      </c>
      <c r="M217" s="33" t="str">
        <f t="shared" si="41"/>
        <v/>
      </c>
      <c r="N217" s="33" t="str">
        <f t="shared" si="42"/>
        <v/>
      </c>
      <c r="O217" s="33" t="str">
        <f>IF($Y217&lt;&gt;1,"",(INDEX(Comenzi!$AK:$AK,$X217)+N(INDEX(Comenzi!$T:$T,$X217)))*$I217/$E217)</f>
        <v/>
      </c>
      <c r="P217" s="35" t="str">
        <f t="shared" si="43"/>
        <v/>
      </c>
      <c r="Q217" s="36" t="str">
        <f t="shared" si="44"/>
        <v/>
      </c>
      <c r="R217" s="37" t="str">
        <f t="shared" si="45"/>
        <v/>
      </c>
      <c r="S217" s="38" t="str">
        <f t="shared" si="46"/>
        <v/>
      </c>
      <c r="T217" s="39" t="str">
        <f t="shared" si="47"/>
        <v/>
      </c>
      <c r="U217" s="40" t="str">
        <f t="shared" si="48"/>
        <v/>
      </c>
      <c r="V217" s="33" t="str">
        <f t="shared" si="49"/>
        <v/>
      </c>
      <c r="W217" s="33" t="str">
        <f t="shared" si="50"/>
        <v/>
      </c>
      <c r="X217" s="41" t="str">
        <f>IF($A217="","",IFERROR(MATCH($A217,Comenzi!$A$9:$A$108,0)+8,""))</f>
        <v/>
      </c>
      <c r="Y217" s="41" t="str">
        <f t="shared" si="51"/>
        <v/>
      </c>
      <c r="Z217" s="42" t="str">
        <f>IF($A217="","",IF($A217="?","Lipseste ID-ul comenzii (col. A din PI Furnizor)",IF(NOT(ISNUMBER($X217)),"ID comanda negasit in foaia Comenzi",IF(N($E217)&lt;=0,"Lipseste cantitatea",IF(N($G217)=0,"Pret unitar lipsa",IF($Y217&lt;&gt;1,"Curs sau moneda marfa lipsa (foaia Comenzi)",IF(INDEX(Comenzi!$AT:$AT,$X217)&lt;&gt;"OK","Avertisment comanda: "&amp;INDEX(Comenzi!$AT:$AT,$X217),"OK")))))))</f>
        <v/>
      </c>
      <c r="AA217" s="43" t="str">
        <f>IF(ISNUMBER($X217),INDEX(Comenzi!$H:$H,$X217),"")</f>
        <v/>
      </c>
      <c r="AB217" s="43" t="str">
        <f>IF(ISNUMBER($X217),INDEX(Comenzi!$I:$I,$X217),"")</f>
        <v/>
      </c>
      <c r="AC217" s="44" t="str">
        <f>IF(ISNUMBER($X217),IF(INDEX(Comenzi!$V:$V,$X217)="",Comenzi!$D$3,INDEX(Comenzi!$V:$V,$X217)),"")</f>
        <v/>
      </c>
      <c r="AD217" s="44" t="str">
        <f>IF(ISNUMBER($X217),IF(INDEX(Comenzi!$U:$U,$X217)="",Comenzi!$D$4,INDEX(Comenzi!$U:$U,$X217)),"")</f>
        <v/>
      </c>
      <c r="AE217" s="45" t="str">
        <f>IF($Y217&lt;&gt;1,"",IF(INDEX(Comenzi!$AM:$AM,$X217)="Greutate",INDEX('PI Furnizor'!$O:$O,ROW()-3),IF(INDEX(Comenzi!$AM:$AM,$X217)="Volum (CBM)",INDEX('PI Furnizor'!$Q:$Q,ROW()-3),IF(INDEX(Comenzi!$AM:$AM,$X217)="Valoare marfa",INDEX('PI Furnizor'!$N:$N,ROW()-3),$E217))))</f>
        <v/>
      </c>
    </row>
    <row r="218" spans="1:31" x14ac:dyDescent="0.3">
      <c r="A218" s="28" t="str">
        <f>IF(COUNTA(INDEX('PI Furnizor'!$A:$E,ROW()-3,0))=0,"",IF(INDEX('PI Furnizor'!$A:$A,ROW()-3)="","?",INDEX('PI Furnizor'!$A:$A,ROW()-3)))</f>
        <v/>
      </c>
      <c r="B218" s="29" t="str">
        <f>IF(ISNUMBER($X218),INDEX(Comenzi!$B:$B,$X218),"")</f>
        <v/>
      </c>
      <c r="C218" s="28" t="str">
        <f>IF($A218="","",INDEX('PI Furnizor'!$B:$B,ROW()-3)&amp;"")</f>
        <v/>
      </c>
      <c r="D218" s="28" t="str">
        <f>IF($A218="","",INDEX('PI Furnizor'!$C:$C,ROW()-3)&amp;"")</f>
        <v/>
      </c>
      <c r="E218" s="30" t="str">
        <f>IF($A218="","",N(INDEX('PI Furnizor'!$D:$D,ROW()-3)))</f>
        <v/>
      </c>
      <c r="F218" s="31" t="str">
        <f>IF(ISNUMBER($X218),INDEX(Comenzi!$G:$G,$X218),"")</f>
        <v/>
      </c>
      <c r="G218" s="32" t="str">
        <f>IF($A218="","",N(INDEX('PI Furnizor'!$E:$E,ROW()-3)))</f>
        <v/>
      </c>
      <c r="H218" s="33" t="str">
        <f t="shared" si="39"/>
        <v/>
      </c>
      <c r="I218" s="34" t="str">
        <f>IF($Y218&lt;&gt;1,"",IFERROR($AE218/INDEX(Comenzi!$AN:$AN,$X218),0))</f>
        <v/>
      </c>
      <c r="J218" s="33" t="str">
        <f>IF($Y218&lt;&gt;1,"",INDEX(Comenzi!$AG:$AG,$X218)*$I218/$E218)</f>
        <v/>
      </c>
      <c r="K218" s="33" t="str">
        <f t="shared" si="40"/>
        <v/>
      </c>
      <c r="L218" s="33" t="str">
        <f>IF($Y218&lt;&gt;1,"",$K218*$AD218+INDEX(Comenzi!$AJ:$AJ,$X218)*$I218/$E218)</f>
        <v/>
      </c>
      <c r="M218" s="33" t="str">
        <f t="shared" si="41"/>
        <v/>
      </c>
      <c r="N218" s="33" t="str">
        <f t="shared" si="42"/>
        <v/>
      </c>
      <c r="O218" s="33" t="str">
        <f>IF($Y218&lt;&gt;1,"",(INDEX(Comenzi!$AK:$AK,$X218)+N(INDEX(Comenzi!$T:$T,$X218)))*$I218/$E218)</f>
        <v/>
      </c>
      <c r="P218" s="35" t="str">
        <f t="shared" si="43"/>
        <v/>
      </c>
      <c r="Q218" s="36" t="str">
        <f t="shared" si="44"/>
        <v/>
      </c>
      <c r="R218" s="37" t="str">
        <f t="shared" si="45"/>
        <v/>
      </c>
      <c r="S218" s="38" t="str">
        <f t="shared" si="46"/>
        <v/>
      </c>
      <c r="T218" s="39" t="str">
        <f t="shared" si="47"/>
        <v/>
      </c>
      <c r="U218" s="40" t="str">
        <f t="shared" si="48"/>
        <v/>
      </c>
      <c r="V218" s="33" t="str">
        <f t="shared" si="49"/>
        <v/>
      </c>
      <c r="W218" s="33" t="str">
        <f t="shared" si="50"/>
        <v/>
      </c>
      <c r="X218" s="41" t="str">
        <f>IF($A218="","",IFERROR(MATCH($A218,Comenzi!$A$9:$A$108,0)+8,""))</f>
        <v/>
      </c>
      <c r="Y218" s="41" t="str">
        <f t="shared" si="51"/>
        <v/>
      </c>
      <c r="Z218" s="42" t="str">
        <f>IF($A218="","",IF($A218="?","Lipseste ID-ul comenzii (col. A din PI Furnizor)",IF(NOT(ISNUMBER($X218)),"ID comanda negasit in foaia Comenzi",IF(N($E218)&lt;=0,"Lipseste cantitatea",IF(N($G218)=0,"Pret unitar lipsa",IF($Y218&lt;&gt;1,"Curs sau moneda marfa lipsa (foaia Comenzi)",IF(INDEX(Comenzi!$AT:$AT,$X218)&lt;&gt;"OK","Avertisment comanda: "&amp;INDEX(Comenzi!$AT:$AT,$X218),"OK")))))))</f>
        <v/>
      </c>
      <c r="AA218" s="43" t="str">
        <f>IF(ISNUMBER($X218),INDEX(Comenzi!$H:$H,$X218),"")</f>
        <v/>
      </c>
      <c r="AB218" s="43" t="str">
        <f>IF(ISNUMBER($X218),INDEX(Comenzi!$I:$I,$X218),"")</f>
        <v/>
      </c>
      <c r="AC218" s="44" t="str">
        <f>IF(ISNUMBER($X218),IF(INDEX(Comenzi!$V:$V,$X218)="",Comenzi!$D$3,INDEX(Comenzi!$V:$V,$X218)),"")</f>
        <v/>
      </c>
      <c r="AD218" s="44" t="str">
        <f>IF(ISNUMBER($X218),IF(INDEX(Comenzi!$U:$U,$X218)="",Comenzi!$D$4,INDEX(Comenzi!$U:$U,$X218)),"")</f>
        <v/>
      </c>
      <c r="AE218" s="45" t="str">
        <f>IF($Y218&lt;&gt;1,"",IF(INDEX(Comenzi!$AM:$AM,$X218)="Greutate",INDEX('PI Furnizor'!$O:$O,ROW()-3),IF(INDEX(Comenzi!$AM:$AM,$X218)="Volum (CBM)",INDEX('PI Furnizor'!$Q:$Q,ROW()-3),IF(INDEX(Comenzi!$AM:$AM,$X218)="Valoare marfa",INDEX('PI Furnizor'!$N:$N,ROW()-3),$E218))))</f>
        <v/>
      </c>
    </row>
    <row r="219" spans="1:31" x14ac:dyDescent="0.3">
      <c r="A219" s="28" t="str">
        <f>IF(COUNTA(INDEX('PI Furnizor'!$A:$E,ROW()-3,0))=0,"",IF(INDEX('PI Furnizor'!$A:$A,ROW()-3)="","?",INDEX('PI Furnizor'!$A:$A,ROW()-3)))</f>
        <v/>
      </c>
      <c r="B219" s="29" t="str">
        <f>IF(ISNUMBER($X219),INDEX(Comenzi!$B:$B,$X219),"")</f>
        <v/>
      </c>
      <c r="C219" s="28" t="str">
        <f>IF($A219="","",INDEX('PI Furnizor'!$B:$B,ROW()-3)&amp;"")</f>
        <v/>
      </c>
      <c r="D219" s="28" t="str">
        <f>IF($A219="","",INDEX('PI Furnizor'!$C:$C,ROW()-3)&amp;"")</f>
        <v/>
      </c>
      <c r="E219" s="30" t="str">
        <f>IF($A219="","",N(INDEX('PI Furnizor'!$D:$D,ROW()-3)))</f>
        <v/>
      </c>
      <c r="F219" s="31" t="str">
        <f>IF(ISNUMBER($X219),INDEX(Comenzi!$G:$G,$X219),"")</f>
        <v/>
      </c>
      <c r="G219" s="32" t="str">
        <f>IF($A219="","",N(INDEX('PI Furnizor'!$E:$E,ROW()-3)))</f>
        <v/>
      </c>
      <c r="H219" s="33" t="str">
        <f t="shared" si="39"/>
        <v/>
      </c>
      <c r="I219" s="34" t="str">
        <f>IF($Y219&lt;&gt;1,"",IFERROR($AE219/INDEX(Comenzi!$AN:$AN,$X219),0))</f>
        <v/>
      </c>
      <c r="J219" s="33" t="str">
        <f>IF($Y219&lt;&gt;1,"",INDEX(Comenzi!$AG:$AG,$X219)*$I219/$E219)</f>
        <v/>
      </c>
      <c r="K219" s="33" t="str">
        <f t="shared" si="40"/>
        <v/>
      </c>
      <c r="L219" s="33" t="str">
        <f>IF($Y219&lt;&gt;1,"",$K219*$AD219+INDEX(Comenzi!$AJ:$AJ,$X219)*$I219/$E219)</f>
        <v/>
      </c>
      <c r="M219" s="33" t="str">
        <f t="shared" si="41"/>
        <v/>
      </c>
      <c r="N219" s="33" t="str">
        <f t="shared" si="42"/>
        <v/>
      </c>
      <c r="O219" s="33" t="str">
        <f>IF($Y219&lt;&gt;1,"",(INDEX(Comenzi!$AK:$AK,$X219)+N(INDEX(Comenzi!$T:$T,$X219)))*$I219/$E219)</f>
        <v/>
      </c>
      <c r="P219" s="35" t="str">
        <f t="shared" si="43"/>
        <v/>
      </c>
      <c r="Q219" s="36" t="str">
        <f t="shared" si="44"/>
        <v/>
      </c>
      <c r="R219" s="37" t="str">
        <f t="shared" si="45"/>
        <v/>
      </c>
      <c r="S219" s="38" t="str">
        <f t="shared" si="46"/>
        <v/>
      </c>
      <c r="T219" s="39" t="str">
        <f t="shared" si="47"/>
        <v/>
      </c>
      <c r="U219" s="40" t="str">
        <f t="shared" si="48"/>
        <v/>
      </c>
      <c r="V219" s="33" t="str">
        <f t="shared" si="49"/>
        <v/>
      </c>
      <c r="W219" s="33" t="str">
        <f t="shared" si="50"/>
        <v/>
      </c>
      <c r="X219" s="41" t="str">
        <f>IF($A219="","",IFERROR(MATCH($A219,Comenzi!$A$9:$A$108,0)+8,""))</f>
        <v/>
      </c>
      <c r="Y219" s="41" t="str">
        <f t="shared" si="51"/>
        <v/>
      </c>
      <c r="Z219" s="42" t="str">
        <f>IF($A219="","",IF($A219="?","Lipseste ID-ul comenzii (col. A din PI Furnizor)",IF(NOT(ISNUMBER($X219)),"ID comanda negasit in foaia Comenzi",IF(N($E219)&lt;=0,"Lipseste cantitatea",IF(N($G219)=0,"Pret unitar lipsa",IF($Y219&lt;&gt;1,"Curs sau moneda marfa lipsa (foaia Comenzi)",IF(INDEX(Comenzi!$AT:$AT,$X219)&lt;&gt;"OK","Avertisment comanda: "&amp;INDEX(Comenzi!$AT:$AT,$X219),"OK")))))))</f>
        <v/>
      </c>
      <c r="AA219" s="43" t="str">
        <f>IF(ISNUMBER($X219),INDEX(Comenzi!$H:$H,$X219),"")</f>
        <v/>
      </c>
      <c r="AB219" s="43" t="str">
        <f>IF(ISNUMBER($X219),INDEX(Comenzi!$I:$I,$X219),"")</f>
        <v/>
      </c>
      <c r="AC219" s="44" t="str">
        <f>IF(ISNUMBER($X219),IF(INDEX(Comenzi!$V:$V,$X219)="",Comenzi!$D$3,INDEX(Comenzi!$V:$V,$X219)),"")</f>
        <v/>
      </c>
      <c r="AD219" s="44" t="str">
        <f>IF(ISNUMBER($X219),IF(INDEX(Comenzi!$U:$U,$X219)="",Comenzi!$D$4,INDEX(Comenzi!$U:$U,$X219)),"")</f>
        <v/>
      </c>
      <c r="AE219" s="45" t="str">
        <f>IF($Y219&lt;&gt;1,"",IF(INDEX(Comenzi!$AM:$AM,$X219)="Greutate",INDEX('PI Furnizor'!$O:$O,ROW()-3),IF(INDEX(Comenzi!$AM:$AM,$X219)="Volum (CBM)",INDEX('PI Furnizor'!$Q:$Q,ROW()-3),IF(INDEX(Comenzi!$AM:$AM,$X219)="Valoare marfa",INDEX('PI Furnizor'!$N:$N,ROW()-3),$E219))))</f>
        <v/>
      </c>
    </row>
    <row r="220" spans="1:31" x14ac:dyDescent="0.3">
      <c r="A220" s="28" t="str">
        <f>IF(COUNTA(INDEX('PI Furnizor'!$A:$E,ROW()-3,0))=0,"",IF(INDEX('PI Furnizor'!$A:$A,ROW()-3)="","?",INDEX('PI Furnizor'!$A:$A,ROW()-3)))</f>
        <v/>
      </c>
      <c r="B220" s="29" t="str">
        <f>IF(ISNUMBER($X220),INDEX(Comenzi!$B:$B,$X220),"")</f>
        <v/>
      </c>
      <c r="C220" s="28" t="str">
        <f>IF($A220="","",INDEX('PI Furnizor'!$B:$B,ROW()-3)&amp;"")</f>
        <v/>
      </c>
      <c r="D220" s="28" t="str">
        <f>IF($A220="","",INDEX('PI Furnizor'!$C:$C,ROW()-3)&amp;"")</f>
        <v/>
      </c>
      <c r="E220" s="30" t="str">
        <f>IF($A220="","",N(INDEX('PI Furnizor'!$D:$D,ROW()-3)))</f>
        <v/>
      </c>
      <c r="F220" s="31" t="str">
        <f>IF(ISNUMBER($X220),INDEX(Comenzi!$G:$G,$X220),"")</f>
        <v/>
      </c>
      <c r="G220" s="32" t="str">
        <f>IF($A220="","",N(INDEX('PI Furnizor'!$E:$E,ROW()-3)))</f>
        <v/>
      </c>
      <c r="H220" s="33" t="str">
        <f t="shared" si="39"/>
        <v/>
      </c>
      <c r="I220" s="34" t="str">
        <f>IF($Y220&lt;&gt;1,"",IFERROR($AE220/INDEX(Comenzi!$AN:$AN,$X220),0))</f>
        <v/>
      </c>
      <c r="J220" s="33" t="str">
        <f>IF($Y220&lt;&gt;1,"",INDEX(Comenzi!$AG:$AG,$X220)*$I220/$E220)</f>
        <v/>
      </c>
      <c r="K220" s="33" t="str">
        <f t="shared" si="40"/>
        <v/>
      </c>
      <c r="L220" s="33" t="str">
        <f>IF($Y220&lt;&gt;1,"",$K220*$AD220+INDEX(Comenzi!$AJ:$AJ,$X220)*$I220/$E220)</f>
        <v/>
      </c>
      <c r="M220" s="33" t="str">
        <f t="shared" si="41"/>
        <v/>
      </c>
      <c r="N220" s="33" t="str">
        <f t="shared" si="42"/>
        <v/>
      </c>
      <c r="O220" s="33" t="str">
        <f>IF($Y220&lt;&gt;1,"",(INDEX(Comenzi!$AK:$AK,$X220)+N(INDEX(Comenzi!$T:$T,$X220)))*$I220/$E220)</f>
        <v/>
      </c>
      <c r="P220" s="35" t="str">
        <f t="shared" si="43"/>
        <v/>
      </c>
      <c r="Q220" s="36" t="str">
        <f t="shared" si="44"/>
        <v/>
      </c>
      <c r="R220" s="37" t="str">
        <f t="shared" si="45"/>
        <v/>
      </c>
      <c r="S220" s="38" t="str">
        <f t="shared" si="46"/>
        <v/>
      </c>
      <c r="T220" s="39" t="str">
        <f t="shared" si="47"/>
        <v/>
      </c>
      <c r="U220" s="40" t="str">
        <f t="shared" si="48"/>
        <v/>
      </c>
      <c r="V220" s="33" t="str">
        <f t="shared" si="49"/>
        <v/>
      </c>
      <c r="W220" s="33" t="str">
        <f t="shared" si="50"/>
        <v/>
      </c>
      <c r="X220" s="41" t="str">
        <f>IF($A220="","",IFERROR(MATCH($A220,Comenzi!$A$9:$A$108,0)+8,""))</f>
        <v/>
      </c>
      <c r="Y220" s="41" t="str">
        <f t="shared" si="51"/>
        <v/>
      </c>
      <c r="Z220" s="42" t="str">
        <f>IF($A220="","",IF($A220="?","Lipseste ID-ul comenzii (col. A din PI Furnizor)",IF(NOT(ISNUMBER($X220)),"ID comanda negasit in foaia Comenzi",IF(N($E220)&lt;=0,"Lipseste cantitatea",IF(N($G220)=0,"Pret unitar lipsa",IF($Y220&lt;&gt;1,"Curs sau moneda marfa lipsa (foaia Comenzi)",IF(INDEX(Comenzi!$AT:$AT,$X220)&lt;&gt;"OK","Avertisment comanda: "&amp;INDEX(Comenzi!$AT:$AT,$X220),"OK")))))))</f>
        <v/>
      </c>
      <c r="AA220" s="43" t="str">
        <f>IF(ISNUMBER($X220),INDEX(Comenzi!$H:$H,$X220),"")</f>
        <v/>
      </c>
      <c r="AB220" s="43" t="str">
        <f>IF(ISNUMBER($X220),INDEX(Comenzi!$I:$I,$X220),"")</f>
        <v/>
      </c>
      <c r="AC220" s="44" t="str">
        <f>IF(ISNUMBER($X220),IF(INDEX(Comenzi!$V:$V,$X220)="",Comenzi!$D$3,INDEX(Comenzi!$V:$V,$X220)),"")</f>
        <v/>
      </c>
      <c r="AD220" s="44" t="str">
        <f>IF(ISNUMBER($X220),IF(INDEX(Comenzi!$U:$U,$X220)="",Comenzi!$D$4,INDEX(Comenzi!$U:$U,$X220)),"")</f>
        <v/>
      </c>
      <c r="AE220" s="45" t="str">
        <f>IF($Y220&lt;&gt;1,"",IF(INDEX(Comenzi!$AM:$AM,$X220)="Greutate",INDEX('PI Furnizor'!$O:$O,ROW()-3),IF(INDEX(Comenzi!$AM:$AM,$X220)="Volum (CBM)",INDEX('PI Furnizor'!$Q:$Q,ROW()-3),IF(INDEX(Comenzi!$AM:$AM,$X220)="Valoare marfa",INDEX('PI Furnizor'!$N:$N,ROW()-3),$E220))))</f>
        <v/>
      </c>
    </row>
    <row r="221" spans="1:31" x14ac:dyDescent="0.3">
      <c r="A221" s="28" t="str">
        <f>IF(COUNTA(INDEX('PI Furnizor'!$A:$E,ROW()-3,0))=0,"",IF(INDEX('PI Furnizor'!$A:$A,ROW()-3)="","?",INDEX('PI Furnizor'!$A:$A,ROW()-3)))</f>
        <v/>
      </c>
      <c r="B221" s="29" t="str">
        <f>IF(ISNUMBER($X221),INDEX(Comenzi!$B:$B,$X221),"")</f>
        <v/>
      </c>
      <c r="C221" s="28" t="str">
        <f>IF($A221="","",INDEX('PI Furnizor'!$B:$B,ROW()-3)&amp;"")</f>
        <v/>
      </c>
      <c r="D221" s="28" t="str">
        <f>IF($A221="","",INDEX('PI Furnizor'!$C:$C,ROW()-3)&amp;"")</f>
        <v/>
      </c>
      <c r="E221" s="30" t="str">
        <f>IF($A221="","",N(INDEX('PI Furnizor'!$D:$D,ROW()-3)))</f>
        <v/>
      </c>
      <c r="F221" s="31" t="str">
        <f>IF(ISNUMBER($X221),INDEX(Comenzi!$G:$G,$X221),"")</f>
        <v/>
      </c>
      <c r="G221" s="32" t="str">
        <f>IF($A221="","",N(INDEX('PI Furnizor'!$E:$E,ROW()-3)))</f>
        <v/>
      </c>
      <c r="H221" s="33" t="str">
        <f t="shared" si="39"/>
        <v/>
      </c>
      <c r="I221" s="34" t="str">
        <f>IF($Y221&lt;&gt;1,"",IFERROR($AE221/INDEX(Comenzi!$AN:$AN,$X221),0))</f>
        <v/>
      </c>
      <c r="J221" s="33" t="str">
        <f>IF($Y221&lt;&gt;1,"",INDEX(Comenzi!$AG:$AG,$X221)*$I221/$E221)</f>
        <v/>
      </c>
      <c r="K221" s="33" t="str">
        <f t="shared" si="40"/>
        <v/>
      </c>
      <c r="L221" s="33" t="str">
        <f>IF($Y221&lt;&gt;1,"",$K221*$AD221+INDEX(Comenzi!$AJ:$AJ,$X221)*$I221/$E221)</f>
        <v/>
      </c>
      <c r="M221" s="33" t="str">
        <f t="shared" si="41"/>
        <v/>
      </c>
      <c r="N221" s="33" t="str">
        <f t="shared" si="42"/>
        <v/>
      </c>
      <c r="O221" s="33" t="str">
        <f>IF($Y221&lt;&gt;1,"",(INDEX(Comenzi!$AK:$AK,$X221)+N(INDEX(Comenzi!$T:$T,$X221)))*$I221/$E221)</f>
        <v/>
      </c>
      <c r="P221" s="35" t="str">
        <f t="shared" si="43"/>
        <v/>
      </c>
      <c r="Q221" s="36" t="str">
        <f t="shared" si="44"/>
        <v/>
      </c>
      <c r="R221" s="37" t="str">
        <f t="shared" si="45"/>
        <v/>
      </c>
      <c r="S221" s="38" t="str">
        <f t="shared" si="46"/>
        <v/>
      </c>
      <c r="T221" s="39" t="str">
        <f t="shared" si="47"/>
        <v/>
      </c>
      <c r="U221" s="40" t="str">
        <f t="shared" si="48"/>
        <v/>
      </c>
      <c r="V221" s="33" t="str">
        <f t="shared" si="49"/>
        <v/>
      </c>
      <c r="W221" s="33" t="str">
        <f t="shared" si="50"/>
        <v/>
      </c>
      <c r="X221" s="41" t="str">
        <f>IF($A221="","",IFERROR(MATCH($A221,Comenzi!$A$9:$A$108,0)+8,""))</f>
        <v/>
      </c>
      <c r="Y221" s="41" t="str">
        <f t="shared" si="51"/>
        <v/>
      </c>
      <c r="Z221" s="42" t="str">
        <f>IF($A221="","",IF($A221="?","Lipseste ID-ul comenzii (col. A din PI Furnizor)",IF(NOT(ISNUMBER($X221)),"ID comanda negasit in foaia Comenzi",IF(N($E221)&lt;=0,"Lipseste cantitatea",IF(N($G221)=0,"Pret unitar lipsa",IF($Y221&lt;&gt;1,"Curs sau moneda marfa lipsa (foaia Comenzi)",IF(INDEX(Comenzi!$AT:$AT,$X221)&lt;&gt;"OK","Avertisment comanda: "&amp;INDEX(Comenzi!$AT:$AT,$X221),"OK")))))))</f>
        <v/>
      </c>
      <c r="AA221" s="43" t="str">
        <f>IF(ISNUMBER($X221),INDEX(Comenzi!$H:$H,$X221),"")</f>
        <v/>
      </c>
      <c r="AB221" s="43" t="str">
        <f>IF(ISNUMBER($X221),INDEX(Comenzi!$I:$I,$X221),"")</f>
        <v/>
      </c>
      <c r="AC221" s="44" t="str">
        <f>IF(ISNUMBER($X221),IF(INDEX(Comenzi!$V:$V,$X221)="",Comenzi!$D$3,INDEX(Comenzi!$V:$V,$X221)),"")</f>
        <v/>
      </c>
      <c r="AD221" s="44" t="str">
        <f>IF(ISNUMBER($X221),IF(INDEX(Comenzi!$U:$U,$X221)="",Comenzi!$D$4,INDEX(Comenzi!$U:$U,$X221)),"")</f>
        <v/>
      </c>
      <c r="AE221" s="45" t="str">
        <f>IF($Y221&lt;&gt;1,"",IF(INDEX(Comenzi!$AM:$AM,$X221)="Greutate",INDEX('PI Furnizor'!$O:$O,ROW()-3),IF(INDEX(Comenzi!$AM:$AM,$X221)="Volum (CBM)",INDEX('PI Furnizor'!$Q:$Q,ROW()-3),IF(INDEX(Comenzi!$AM:$AM,$X221)="Valoare marfa",INDEX('PI Furnizor'!$N:$N,ROW()-3),$E221))))</f>
        <v/>
      </c>
    </row>
    <row r="222" spans="1:31" x14ac:dyDescent="0.3">
      <c r="A222" s="28" t="str">
        <f>IF(COUNTA(INDEX('PI Furnizor'!$A:$E,ROW()-3,0))=0,"",IF(INDEX('PI Furnizor'!$A:$A,ROW()-3)="","?",INDEX('PI Furnizor'!$A:$A,ROW()-3)))</f>
        <v/>
      </c>
      <c r="B222" s="29" t="str">
        <f>IF(ISNUMBER($X222),INDEX(Comenzi!$B:$B,$X222),"")</f>
        <v/>
      </c>
      <c r="C222" s="28" t="str">
        <f>IF($A222="","",INDEX('PI Furnizor'!$B:$B,ROW()-3)&amp;"")</f>
        <v/>
      </c>
      <c r="D222" s="28" t="str">
        <f>IF($A222="","",INDEX('PI Furnizor'!$C:$C,ROW()-3)&amp;"")</f>
        <v/>
      </c>
      <c r="E222" s="30" t="str">
        <f>IF($A222="","",N(INDEX('PI Furnizor'!$D:$D,ROW()-3)))</f>
        <v/>
      </c>
      <c r="F222" s="31" t="str">
        <f>IF(ISNUMBER($X222),INDEX(Comenzi!$G:$G,$X222),"")</f>
        <v/>
      </c>
      <c r="G222" s="32" t="str">
        <f>IF($A222="","",N(INDEX('PI Furnizor'!$E:$E,ROW()-3)))</f>
        <v/>
      </c>
      <c r="H222" s="33" t="str">
        <f t="shared" si="39"/>
        <v/>
      </c>
      <c r="I222" s="34" t="str">
        <f>IF($Y222&lt;&gt;1,"",IFERROR($AE222/INDEX(Comenzi!$AN:$AN,$X222),0))</f>
        <v/>
      </c>
      <c r="J222" s="33" t="str">
        <f>IF($Y222&lt;&gt;1,"",INDEX(Comenzi!$AG:$AG,$X222)*$I222/$E222)</f>
        <v/>
      </c>
      <c r="K222" s="33" t="str">
        <f t="shared" si="40"/>
        <v/>
      </c>
      <c r="L222" s="33" t="str">
        <f>IF($Y222&lt;&gt;1,"",$K222*$AD222+INDEX(Comenzi!$AJ:$AJ,$X222)*$I222/$E222)</f>
        <v/>
      </c>
      <c r="M222" s="33" t="str">
        <f t="shared" si="41"/>
        <v/>
      </c>
      <c r="N222" s="33" t="str">
        <f t="shared" si="42"/>
        <v/>
      </c>
      <c r="O222" s="33" t="str">
        <f>IF($Y222&lt;&gt;1,"",(INDEX(Comenzi!$AK:$AK,$X222)+N(INDEX(Comenzi!$T:$T,$X222)))*$I222/$E222)</f>
        <v/>
      </c>
      <c r="P222" s="35" t="str">
        <f t="shared" si="43"/>
        <v/>
      </c>
      <c r="Q222" s="36" t="str">
        <f t="shared" si="44"/>
        <v/>
      </c>
      <c r="R222" s="37" t="str">
        <f t="shared" si="45"/>
        <v/>
      </c>
      <c r="S222" s="38" t="str">
        <f t="shared" si="46"/>
        <v/>
      </c>
      <c r="T222" s="39" t="str">
        <f t="shared" si="47"/>
        <v/>
      </c>
      <c r="U222" s="40" t="str">
        <f t="shared" si="48"/>
        <v/>
      </c>
      <c r="V222" s="33" t="str">
        <f t="shared" si="49"/>
        <v/>
      </c>
      <c r="W222" s="33" t="str">
        <f t="shared" si="50"/>
        <v/>
      </c>
      <c r="X222" s="41" t="str">
        <f>IF($A222="","",IFERROR(MATCH($A222,Comenzi!$A$9:$A$108,0)+8,""))</f>
        <v/>
      </c>
      <c r="Y222" s="41" t="str">
        <f t="shared" si="51"/>
        <v/>
      </c>
      <c r="Z222" s="42" t="str">
        <f>IF($A222="","",IF($A222="?","Lipseste ID-ul comenzii (col. A din PI Furnizor)",IF(NOT(ISNUMBER($X222)),"ID comanda negasit in foaia Comenzi",IF(N($E222)&lt;=0,"Lipseste cantitatea",IF(N($G222)=0,"Pret unitar lipsa",IF($Y222&lt;&gt;1,"Curs sau moneda marfa lipsa (foaia Comenzi)",IF(INDEX(Comenzi!$AT:$AT,$X222)&lt;&gt;"OK","Avertisment comanda: "&amp;INDEX(Comenzi!$AT:$AT,$X222),"OK")))))))</f>
        <v/>
      </c>
      <c r="AA222" s="43" t="str">
        <f>IF(ISNUMBER($X222),INDEX(Comenzi!$H:$H,$X222),"")</f>
        <v/>
      </c>
      <c r="AB222" s="43" t="str">
        <f>IF(ISNUMBER($X222),INDEX(Comenzi!$I:$I,$X222),"")</f>
        <v/>
      </c>
      <c r="AC222" s="44" t="str">
        <f>IF(ISNUMBER($X222),IF(INDEX(Comenzi!$V:$V,$X222)="",Comenzi!$D$3,INDEX(Comenzi!$V:$V,$X222)),"")</f>
        <v/>
      </c>
      <c r="AD222" s="44" t="str">
        <f>IF(ISNUMBER($X222),IF(INDEX(Comenzi!$U:$U,$X222)="",Comenzi!$D$4,INDEX(Comenzi!$U:$U,$X222)),"")</f>
        <v/>
      </c>
      <c r="AE222" s="45" t="str">
        <f>IF($Y222&lt;&gt;1,"",IF(INDEX(Comenzi!$AM:$AM,$X222)="Greutate",INDEX('PI Furnizor'!$O:$O,ROW()-3),IF(INDEX(Comenzi!$AM:$AM,$X222)="Volum (CBM)",INDEX('PI Furnizor'!$Q:$Q,ROW()-3),IF(INDEX(Comenzi!$AM:$AM,$X222)="Valoare marfa",INDEX('PI Furnizor'!$N:$N,ROW()-3),$E222))))</f>
        <v/>
      </c>
    </row>
    <row r="223" spans="1:31" x14ac:dyDescent="0.3">
      <c r="A223" s="28" t="str">
        <f>IF(COUNTA(INDEX('PI Furnizor'!$A:$E,ROW()-3,0))=0,"",IF(INDEX('PI Furnizor'!$A:$A,ROW()-3)="","?",INDEX('PI Furnizor'!$A:$A,ROW()-3)))</f>
        <v/>
      </c>
      <c r="B223" s="29" t="str">
        <f>IF(ISNUMBER($X223),INDEX(Comenzi!$B:$B,$X223),"")</f>
        <v/>
      </c>
      <c r="C223" s="28" t="str">
        <f>IF($A223="","",INDEX('PI Furnizor'!$B:$B,ROW()-3)&amp;"")</f>
        <v/>
      </c>
      <c r="D223" s="28" t="str">
        <f>IF($A223="","",INDEX('PI Furnizor'!$C:$C,ROW()-3)&amp;"")</f>
        <v/>
      </c>
      <c r="E223" s="30" t="str">
        <f>IF($A223="","",N(INDEX('PI Furnizor'!$D:$D,ROW()-3)))</f>
        <v/>
      </c>
      <c r="F223" s="31" t="str">
        <f>IF(ISNUMBER($X223),INDEX(Comenzi!$G:$G,$X223),"")</f>
        <v/>
      </c>
      <c r="G223" s="32" t="str">
        <f>IF($A223="","",N(INDEX('PI Furnizor'!$E:$E,ROW()-3)))</f>
        <v/>
      </c>
      <c r="H223" s="33" t="str">
        <f t="shared" si="39"/>
        <v/>
      </c>
      <c r="I223" s="34" t="str">
        <f>IF($Y223&lt;&gt;1,"",IFERROR($AE223/INDEX(Comenzi!$AN:$AN,$X223),0))</f>
        <v/>
      </c>
      <c r="J223" s="33" t="str">
        <f>IF($Y223&lt;&gt;1,"",INDEX(Comenzi!$AG:$AG,$X223)*$I223/$E223)</f>
        <v/>
      </c>
      <c r="K223" s="33" t="str">
        <f t="shared" si="40"/>
        <v/>
      </c>
      <c r="L223" s="33" t="str">
        <f>IF($Y223&lt;&gt;1,"",$K223*$AD223+INDEX(Comenzi!$AJ:$AJ,$X223)*$I223/$E223)</f>
        <v/>
      </c>
      <c r="M223" s="33" t="str">
        <f t="shared" si="41"/>
        <v/>
      </c>
      <c r="N223" s="33" t="str">
        <f t="shared" si="42"/>
        <v/>
      </c>
      <c r="O223" s="33" t="str">
        <f>IF($Y223&lt;&gt;1,"",(INDEX(Comenzi!$AK:$AK,$X223)+N(INDEX(Comenzi!$T:$T,$X223)))*$I223/$E223)</f>
        <v/>
      </c>
      <c r="P223" s="35" t="str">
        <f t="shared" si="43"/>
        <v/>
      </c>
      <c r="Q223" s="36" t="str">
        <f t="shared" si="44"/>
        <v/>
      </c>
      <c r="R223" s="37" t="str">
        <f t="shared" si="45"/>
        <v/>
      </c>
      <c r="S223" s="38" t="str">
        <f t="shared" si="46"/>
        <v/>
      </c>
      <c r="T223" s="39" t="str">
        <f t="shared" si="47"/>
        <v/>
      </c>
      <c r="U223" s="40" t="str">
        <f t="shared" si="48"/>
        <v/>
      </c>
      <c r="V223" s="33" t="str">
        <f t="shared" si="49"/>
        <v/>
      </c>
      <c r="W223" s="33" t="str">
        <f t="shared" si="50"/>
        <v/>
      </c>
      <c r="X223" s="41" t="str">
        <f>IF($A223="","",IFERROR(MATCH($A223,Comenzi!$A$9:$A$108,0)+8,""))</f>
        <v/>
      </c>
      <c r="Y223" s="41" t="str">
        <f t="shared" si="51"/>
        <v/>
      </c>
      <c r="Z223" s="42" t="str">
        <f>IF($A223="","",IF($A223="?","Lipseste ID-ul comenzii (col. A din PI Furnizor)",IF(NOT(ISNUMBER($X223)),"ID comanda negasit in foaia Comenzi",IF(N($E223)&lt;=0,"Lipseste cantitatea",IF(N($G223)=0,"Pret unitar lipsa",IF($Y223&lt;&gt;1,"Curs sau moneda marfa lipsa (foaia Comenzi)",IF(INDEX(Comenzi!$AT:$AT,$X223)&lt;&gt;"OK","Avertisment comanda: "&amp;INDEX(Comenzi!$AT:$AT,$X223),"OK")))))))</f>
        <v/>
      </c>
      <c r="AA223" s="43" t="str">
        <f>IF(ISNUMBER($X223),INDEX(Comenzi!$H:$H,$X223),"")</f>
        <v/>
      </c>
      <c r="AB223" s="43" t="str">
        <f>IF(ISNUMBER($X223),INDEX(Comenzi!$I:$I,$X223),"")</f>
        <v/>
      </c>
      <c r="AC223" s="44" t="str">
        <f>IF(ISNUMBER($X223),IF(INDEX(Comenzi!$V:$V,$X223)="",Comenzi!$D$3,INDEX(Comenzi!$V:$V,$X223)),"")</f>
        <v/>
      </c>
      <c r="AD223" s="44" t="str">
        <f>IF(ISNUMBER($X223),IF(INDEX(Comenzi!$U:$U,$X223)="",Comenzi!$D$4,INDEX(Comenzi!$U:$U,$X223)),"")</f>
        <v/>
      </c>
      <c r="AE223" s="45" t="str">
        <f>IF($Y223&lt;&gt;1,"",IF(INDEX(Comenzi!$AM:$AM,$X223)="Greutate",INDEX('PI Furnizor'!$O:$O,ROW()-3),IF(INDEX(Comenzi!$AM:$AM,$X223)="Volum (CBM)",INDEX('PI Furnizor'!$Q:$Q,ROW()-3),IF(INDEX(Comenzi!$AM:$AM,$X223)="Valoare marfa",INDEX('PI Furnizor'!$N:$N,ROW()-3),$E223))))</f>
        <v/>
      </c>
    </row>
    <row r="224" spans="1:31" x14ac:dyDescent="0.3">
      <c r="A224" s="28" t="str">
        <f>IF(COUNTA(INDEX('PI Furnizor'!$A:$E,ROW()-3,0))=0,"",IF(INDEX('PI Furnizor'!$A:$A,ROW()-3)="","?",INDEX('PI Furnizor'!$A:$A,ROW()-3)))</f>
        <v/>
      </c>
      <c r="B224" s="29" t="str">
        <f>IF(ISNUMBER($X224),INDEX(Comenzi!$B:$B,$X224),"")</f>
        <v/>
      </c>
      <c r="C224" s="28" t="str">
        <f>IF($A224="","",INDEX('PI Furnizor'!$B:$B,ROW()-3)&amp;"")</f>
        <v/>
      </c>
      <c r="D224" s="28" t="str">
        <f>IF($A224="","",INDEX('PI Furnizor'!$C:$C,ROW()-3)&amp;"")</f>
        <v/>
      </c>
      <c r="E224" s="30" t="str">
        <f>IF($A224="","",N(INDEX('PI Furnizor'!$D:$D,ROW()-3)))</f>
        <v/>
      </c>
      <c r="F224" s="31" t="str">
        <f>IF(ISNUMBER($X224),INDEX(Comenzi!$G:$G,$X224),"")</f>
        <v/>
      </c>
      <c r="G224" s="32" t="str">
        <f>IF($A224="","",N(INDEX('PI Furnizor'!$E:$E,ROW()-3)))</f>
        <v/>
      </c>
      <c r="H224" s="33" t="str">
        <f t="shared" si="39"/>
        <v/>
      </c>
      <c r="I224" s="34" t="str">
        <f>IF($Y224&lt;&gt;1,"",IFERROR($AE224/INDEX(Comenzi!$AN:$AN,$X224),0))</f>
        <v/>
      </c>
      <c r="J224" s="33" t="str">
        <f>IF($Y224&lt;&gt;1,"",INDEX(Comenzi!$AG:$AG,$X224)*$I224/$E224)</f>
        <v/>
      </c>
      <c r="K224" s="33" t="str">
        <f t="shared" si="40"/>
        <v/>
      </c>
      <c r="L224" s="33" t="str">
        <f>IF($Y224&lt;&gt;1,"",$K224*$AD224+INDEX(Comenzi!$AJ:$AJ,$X224)*$I224/$E224)</f>
        <v/>
      </c>
      <c r="M224" s="33" t="str">
        <f t="shared" si="41"/>
        <v/>
      </c>
      <c r="N224" s="33" t="str">
        <f t="shared" si="42"/>
        <v/>
      </c>
      <c r="O224" s="33" t="str">
        <f>IF($Y224&lt;&gt;1,"",(INDEX(Comenzi!$AK:$AK,$X224)+N(INDEX(Comenzi!$T:$T,$X224)))*$I224/$E224)</f>
        <v/>
      </c>
      <c r="P224" s="35" t="str">
        <f t="shared" si="43"/>
        <v/>
      </c>
      <c r="Q224" s="36" t="str">
        <f t="shared" si="44"/>
        <v/>
      </c>
      <c r="R224" s="37" t="str">
        <f t="shared" si="45"/>
        <v/>
      </c>
      <c r="S224" s="38" t="str">
        <f t="shared" si="46"/>
        <v/>
      </c>
      <c r="T224" s="39" t="str">
        <f t="shared" si="47"/>
        <v/>
      </c>
      <c r="U224" s="40" t="str">
        <f t="shared" si="48"/>
        <v/>
      </c>
      <c r="V224" s="33" t="str">
        <f t="shared" si="49"/>
        <v/>
      </c>
      <c r="W224" s="33" t="str">
        <f t="shared" si="50"/>
        <v/>
      </c>
      <c r="X224" s="41" t="str">
        <f>IF($A224="","",IFERROR(MATCH($A224,Comenzi!$A$9:$A$108,0)+8,""))</f>
        <v/>
      </c>
      <c r="Y224" s="41" t="str">
        <f t="shared" si="51"/>
        <v/>
      </c>
      <c r="Z224" s="42" t="str">
        <f>IF($A224="","",IF($A224="?","Lipseste ID-ul comenzii (col. A din PI Furnizor)",IF(NOT(ISNUMBER($X224)),"ID comanda negasit in foaia Comenzi",IF(N($E224)&lt;=0,"Lipseste cantitatea",IF(N($G224)=0,"Pret unitar lipsa",IF($Y224&lt;&gt;1,"Curs sau moneda marfa lipsa (foaia Comenzi)",IF(INDEX(Comenzi!$AT:$AT,$X224)&lt;&gt;"OK","Avertisment comanda: "&amp;INDEX(Comenzi!$AT:$AT,$X224),"OK")))))))</f>
        <v/>
      </c>
      <c r="AA224" s="43" t="str">
        <f>IF(ISNUMBER($X224),INDEX(Comenzi!$H:$H,$X224),"")</f>
        <v/>
      </c>
      <c r="AB224" s="43" t="str">
        <f>IF(ISNUMBER($X224),INDEX(Comenzi!$I:$I,$X224),"")</f>
        <v/>
      </c>
      <c r="AC224" s="44" t="str">
        <f>IF(ISNUMBER($X224),IF(INDEX(Comenzi!$V:$V,$X224)="",Comenzi!$D$3,INDEX(Comenzi!$V:$V,$X224)),"")</f>
        <v/>
      </c>
      <c r="AD224" s="44" t="str">
        <f>IF(ISNUMBER($X224),IF(INDEX(Comenzi!$U:$U,$X224)="",Comenzi!$D$4,INDEX(Comenzi!$U:$U,$X224)),"")</f>
        <v/>
      </c>
      <c r="AE224" s="45" t="str">
        <f>IF($Y224&lt;&gt;1,"",IF(INDEX(Comenzi!$AM:$AM,$X224)="Greutate",INDEX('PI Furnizor'!$O:$O,ROW()-3),IF(INDEX(Comenzi!$AM:$AM,$X224)="Volum (CBM)",INDEX('PI Furnizor'!$Q:$Q,ROW()-3),IF(INDEX(Comenzi!$AM:$AM,$X224)="Valoare marfa",INDEX('PI Furnizor'!$N:$N,ROW()-3),$E224))))</f>
        <v/>
      </c>
    </row>
    <row r="225" spans="1:31" x14ac:dyDescent="0.3">
      <c r="A225" s="28" t="str">
        <f>IF(COUNTA(INDEX('PI Furnizor'!$A:$E,ROW()-3,0))=0,"",IF(INDEX('PI Furnizor'!$A:$A,ROW()-3)="","?",INDEX('PI Furnizor'!$A:$A,ROW()-3)))</f>
        <v/>
      </c>
      <c r="B225" s="29" t="str">
        <f>IF(ISNUMBER($X225),INDEX(Comenzi!$B:$B,$X225),"")</f>
        <v/>
      </c>
      <c r="C225" s="28" t="str">
        <f>IF($A225="","",INDEX('PI Furnizor'!$B:$B,ROW()-3)&amp;"")</f>
        <v/>
      </c>
      <c r="D225" s="28" t="str">
        <f>IF($A225="","",INDEX('PI Furnizor'!$C:$C,ROW()-3)&amp;"")</f>
        <v/>
      </c>
      <c r="E225" s="30" t="str">
        <f>IF($A225="","",N(INDEX('PI Furnizor'!$D:$D,ROW()-3)))</f>
        <v/>
      </c>
      <c r="F225" s="31" t="str">
        <f>IF(ISNUMBER($X225),INDEX(Comenzi!$G:$G,$X225),"")</f>
        <v/>
      </c>
      <c r="G225" s="32" t="str">
        <f>IF($A225="","",N(INDEX('PI Furnizor'!$E:$E,ROW()-3)))</f>
        <v/>
      </c>
      <c r="H225" s="33" t="str">
        <f t="shared" si="39"/>
        <v/>
      </c>
      <c r="I225" s="34" t="str">
        <f>IF($Y225&lt;&gt;1,"",IFERROR($AE225/INDEX(Comenzi!$AN:$AN,$X225),0))</f>
        <v/>
      </c>
      <c r="J225" s="33" t="str">
        <f>IF($Y225&lt;&gt;1,"",INDEX(Comenzi!$AG:$AG,$X225)*$I225/$E225)</f>
        <v/>
      </c>
      <c r="K225" s="33" t="str">
        <f t="shared" si="40"/>
        <v/>
      </c>
      <c r="L225" s="33" t="str">
        <f>IF($Y225&lt;&gt;1,"",$K225*$AD225+INDEX(Comenzi!$AJ:$AJ,$X225)*$I225/$E225)</f>
        <v/>
      </c>
      <c r="M225" s="33" t="str">
        <f t="shared" si="41"/>
        <v/>
      </c>
      <c r="N225" s="33" t="str">
        <f t="shared" si="42"/>
        <v/>
      </c>
      <c r="O225" s="33" t="str">
        <f>IF($Y225&lt;&gt;1,"",(INDEX(Comenzi!$AK:$AK,$X225)+N(INDEX(Comenzi!$T:$T,$X225)))*$I225/$E225)</f>
        <v/>
      </c>
      <c r="P225" s="35" t="str">
        <f t="shared" si="43"/>
        <v/>
      </c>
      <c r="Q225" s="36" t="str">
        <f t="shared" si="44"/>
        <v/>
      </c>
      <c r="R225" s="37" t="str">
        <f t="shared" si="45"/>
        <v/>
      </c>
      <c r="S225" s="38" t="str">
        <f t="shared" si="46"/>
        <v/>
      </c>
      <c r="T225" s="39" t="str">
        <f t="shared" si="47"/>
        <v/>
      </c>
      <c r="U225" s="40" t="str">
        <f t="shared" si="48"/>
        <v/>
      </c>
      <c r="V225" s="33" t="str">
        <f t="shared" si="49"/>
        <v/>
      </c>
      <c r="W225" s="33" t="str">
        <f t="shared" si="50"/>
        <v/>
      </c>
      <c r="X225" s="41" t="str">
        <f>IF($A225="","",IFERROR(MATCH($A225,Comenzi!$A$9:$A$108,0)+8,""))</f>
        <v/>
      </c>
      <c r="Y225" s="41" t="str">
        <f t="shared" si="51"/>
        <v/>
      </c>
      <c r="Z225" s="42" t="str">
        <f>IF($A225="","",IF($A225="?","Lipseste ID-ul comenzii (col. A din PI Furnizor)",IF(NOT(ISNUMBER($X225)),"ID comanda negasit in foaia Comenzi",IF(N($E225)&lt;=0,"Lipseste cantitatea",IF(N($G225)=0,"Pret unitar lipsa",IF($Y225&lt;&gt;1,"Curs sau moneda marfa lipsa (foaia Comenzi)",IF(INDEX(Comenzi!$AT:$AT,$X225)&lt;&gt;"OK","Avertisment comanda: "&amp;INDEX(Comenzi!$AT:$AT,$X225),"OK")))))))</f>
        <v/>
      </c>
      <c r="AA225" s="43" t="str">
        <f>IF(ISNUMBER($X225),INDEX(Comenzi!$H:$H,$X225),"")</f>
        <v/>
      </c>
      <c r="AB225" s="43" t="str">
        <f>IF(ISNUMBER($X225),INDEX(Comenzi!$I:$I,$X225),"")</f>
        <v/>
      </c>
      <c r="AC225" s="44" t="str">
        <f>IF(ISNUMBER($X225),IF(INDEX(Comenzi!$V:$V,$X225)="",Comenzi!$D$3,INDEX(Comenzi!$V:$V,$X225)),"")</f>
        <v/>
      </c>
      <c r="AD225" s="44" t="str">
        <f>IF(ISNUMBER($X225),IF(INDEX(Comenzi!$U:$U,$X225)="",Comenzi!$D$4,INDEX(Comenzi!$U:$U,$X225)),"")</f>
        <v/>
      </c>
      <c r="AE225" s="45" t="str">
        <f>IF($Y225&lt;&gt;1,"",IF(INDEX(Comenzi!$AM:$AM,$X225)="Greutate",INDEX('PI Furnizor'!$O:$O,ROW()-3),IF(INDEX(Comenzi!$AM:$AM,$X225)="Volum (CBM)",INDEX('PI Furnizor'!$Q:$Q,ROW()-3),IF(INDEX(Comenzi!$AM:$AM,$X225)="Valoare marfa",INDEX('PI Furnizor'!$N:$N,ROW()-3),$E225))))</f>
        <v/>
      </c>
    </row>
    <row r="226" spans="1:31" x14ac:dyDescent="0.3">
      <c r="A226" s="28" t="str">
        <f>IF(COUNTA(INDEX('PI Furnizor'!$A:$E,ROW()-3,0))=0,"",IF(INDEX('PI Furnizor'!$A:$A,ROW()-3)="","?",INDEX('PI Furnizor'!$A:$A,ROW()-3)))</f>
        <v/>
      </c>
      <c r="B226" s="29" t="str">
        <f>IF(ISNUMBER($X226),INDEX(Comenzi!$B:$B,$X226),"")</f>
        <v/>
      </c>
      <c r="C226" s="28" t="str">
        <f>IF($A226="","",INDEX('PI Furnizor'!$B:$B,ROW()-3)&amp;"")</f>
        <v/>
      </c>
      <c r="D226" s="28" t="str">
        <f>IF($A226="","",INDEX('PI Furnizor'!$C:$C,ROW()-3)&amp;"")</f>
        <v/>
      </c>
      <c r="E226" s="30" t="str">
        <f>IF($A226="","",N(INDEX('PI Furnizor'!$D:$D,ROW()-3)))</f>
        <v/>
      </c>
      <c r="F226" s="31" t="str">
        <f>IF(ISNUMBER($X226),INDEX(Comenzi!$G:$G,$X226),"")</f>
        <v/>
      </c>
      <c r="G226" s="32" t="str">
        <f>IF($A226="","",N(INDEX('PI Furnizor'!$E:$E,ROW()-3)))</f>
        <v/>
      </c>
      <c r="H226" s="33" t="str">
        <f t="shared" si="39"/>
        <v/>
      </c>
      <c r="I226" s="34" t="str">
        <f>IF($Y226&lt;&gt;1,"",IFERROR($AE226/INDEX(Comenzi!$AN:$AN,$X226),0))</f>
        <v/>
      </c>
      <c r="J226" s="33" t="str">
        <f>IF($Y226&lt;&gt;1,"",INDEX(Comenzi!$AG:$AG,$X226)*$I226/$E226)</f>
        <v/>
      </c>
      <c r="K226" s="33" t="str">
        <f t="shared" si="40"/>
        <v/>
      </c>
      <c r="L226" s="33" t="str">
        <f>IF($Y226&lt;&gt;1,"",$K226*$AD226+INDEX(Comenzi!$AJ:$AJ,$X226)*$I226/$E226)</f>
        <v/>
      </c>
      <c r="M226" s="33" t="str">
        <f t="shared" si="41"/>
        <v/>
      </c>
      <c r="N226" s="33" t="str">
        <f t="shared" si="42"/>
        <v/>
      </c>
      <c r="O226" s="33" t="str">
        <f>IF($Y226&lt;&gt;1,"",(INDEX(Comenzi!$AK:$AK,$X226)+N(INDEX(Comenzi!$T:$T,$X226)))*$I226/$E226)</f>
        <v/>
      </c>
      <c r="P226" s="35" t="str">
        <f t="shared" si="43"/>
        <v/>
      </c>
      <c r="Q226" s="36" t="str">
        <f t="shared" si="44"/>
        <v/>
      </c>
      <c r="R226" s="37" t="str">
        <f t="shared" si="45"/>
        <v/>
      </c>
      <c r="S226" s="38" t="str">
        <f t="shared" si="46"/>
        <v/>
      </c>
      <c r="T226" s="39" t="str">
        <f t="shared" si="47"/>
        <v/>
      </c>
      <c r="U226" s="40" t="str">
        <f t="shared" si="48"/>
        <v/>
      </c>
      <c r="V226" s="33" t="str">
        <f t="shared" si="49"/>
        <v/>
      </c>
      <c r="W226" s="33" t="str">
        <f t="shared" si="50"/>
        <v/>
      </c>
      <c r="X226" s="41" t="str">
        <f>IF($A226="","",IFERROR(MATCH($A226,Comenzi!$A$9:$A$108,0)+8,""))</f>
        <v/>
      </c>
      <c r="Y226" s="41" t="str">
        <f t="shared" si="51"/>
        <v/>
      </c>
      <c r="Z226" s="42" t="str">
        <f>IF($A226="","",IF($A226="?","Lipseste ID-ul comenzii (col. A din PI Furnizor)",IF(NOT(ISNUMBER($X226)),"ID comanda negasit in foaia Comenzi",IF(N($E226)&lt;=0,"Lipseste cantitatea",IF(N($G226)=0,"Pret unitar lipsa",IF($Y226&lt;&gt;1,"Curs sau moneda marfa lipsa (foaia Comenzi)",IF(INDEX(Comenzi!$AT:$AT,$X226)&lt;&gt;"OK","Avertisment comanda: "&amp;INDEX(Comenzi!$AT:$AT,$X226),"OK")))))))</f>
        <v/>
      </c>
      <c r="AA226" s="43" t="str">
        <f>IF(ISNUMBER($X226),INDEX(Comenzi!$H:$H,$X226),"")</f>
        <v/>
      </c>
      <c r="AB226" s="43" t="str">
        <f>IF(ISNUMBER($X226),INDEX(Comenzi!$I:$I,$X226),"")</f>
        <v/>
      </c>
      <c r="AC226" s="44" t="str">
        <f>IF(ISNUMBER($X226),IF(INDEX(Comenzi!$V:$V,$X226)="",Comenzi!$D$3,INDEX(Comenzi!$V:$V,$X226)),"")</f>
        <v/>
      </c>
      <c r="AD226" s="44" t="str">
        <f>IF(ISNUMBER($X226),IF(INDEX(Comenzi!$U:$U,$X226)="",Comenzi!$D$4,INDEX(Comenzi!$U:$U,$X226)),"")</f>
        <v/>
      </c>
      <c r="AE226" s="45" t="str">
        <f>IF($Y226&lt;&gt;1,"",IF(INDEX(Comenzi!$AM:$AM,$X226)="Greutate",INDEX('PI Furnizor'!$O:$O,ROW()-3),IF(INDEX(Comenzi!$AM:$AM,$X226)="Volum (CBM)",INDEX('PI Furnizor'!$Q:$Q,ROW()-3),IF(INDEX(Comenzi!$AM:$AM,$X226)="Valoare marfa",INDEX('PI Furnizor'!$N:$N,ROW()-3),$E226))))</f>
        <v/>
      </c>
    </row>
    <row r="227" spans="1:31" x14ac:dyDescent="0.3">
      <c r="A227" s="28" t="str">
        <f>IF(COUNTA(INDEX('PI Furnizor'!$A:$E,ROW()-3,0))=0,"",IF(INDEX('PI Furnizor'!$A:$A,ROW()-3)="","?",INDEX('PI Furnizor'!$A:$A,ROW()-3)))</f>
        <v/>
      </c>
      <c r="B227" s="29" t="str">
        <f>IF(ISNUMBER($X227),INDEX(Comenzi!$B:$B,$X227),"")</f>
        <v/>
      </c>
      <c r="C227" s="28" t="str">
        <f>IF($A227="","",INDEX('PI Furnizor'!$B:$B,ROW()-3)&amp;"")</f>
        <v/>
      </c>
      <c r="D227" s="28" t="str">
        <f>IF($A227="","",INDEX('PI Furnizor'!$C:$C,ROW()-3)&amp;"")</f>
        <v/>
      </c>
      <c r="E227" s="30" t="str">
        <f>IF($A227="","",N(INDEX('PI Furnizor'!$D:$D,ROW()-3)))</f>
        <v/>
      </c>
      <c r="F227" s="31" t="str">
        <f>IF(ISNUMBER($X227),INDEX(Comenzi!$G:$G,$X227),"")</f>
        <v/>
      </c>
      <c r="G227" s="32" t="str">
        <f>IF($A227="","",N(INDEX('PI Furnizor'!$E:$E,ROW()-3)))</f>
        <v/>
      </c>
      <c r="H227" s="33" t="str">
        <f t="shared" si="39"/>
        <v/>
      </c>
      <c r="I227" s="34" t="str">
        <f>IF($Y227&lt;&gt;1,"",IFERROR($AE227/INDEX(Comenzi!$AN:$AN,$X227),0))</f>
        <v/>
      </c>
      <c r="J227" s="33" t="str">
        <f>IF($Y227&lt;&gt;1,"",INDEX(Comenzi!$AG:$AG,$X227)*$I227/$E227)</f>
        <v/>
      </c>
      <c r="K227" s="33" t="str">
        <f t="shared" si="40"/>
        <v/>
      </c>
      <c r="L227" s="33" t="str">
        <f>IF($Y227&lt;&gt;1,"",$K227*$AD227+INDEX(Comenzi!$AJ:$AJ,$X227)*$I227/$E227)</f>
        <v/>
      </c>
      <c r="M227" s="33" t="str">
        <f t="shared" si="41"/>
        <v/>
      </c>
      <c r="N227" s="33" t="str">
        <f t="shared" si="42"/>
        <v/>
      </c>
      <c r="O227" s="33" t="str">
        <f>IF($Y227&lt;&gt;1,"",(INDEX(Comenzi!$AK:$AK,$X227)+N(INDEX(Comenzi!$T:$T,$X227)))*$I227/$E227)</f>
        <v/>
      </c>
      <c r="P227" s="35" t="str">
        <f t="shared" si="43"/>
        <v/>
      </c>
      <c r="Q227" s="36" t="str">
        <f t="shared" si="44"/>
        <v/>
      </c>
      <c r="R227" s="37" t="str">
        <f t="shared" si="45"/>
        <v/>
      </c>
      <c r="S227" s="38" t="str">
        <f t="shared" si="46"/>
        <v/>
      </c>
      <c r="T227" s="39" t="str">
        <f t="shared" si="47"/>
        <v/>
      </c>
      <c r="U227" s="40" t="str">
        <f t="shared" si="48"/>
        <v/>
      </c>
      <c r="V227" s="33" t="str">
        <f t="shared" si="49"/>
        <v/>
      </c>
      <c r="W227" s="33" t="str">
        <f t="shared" si="50"/>
        <v/>
      </c>
      <c r="X227" s="41" t="str">
        <f>IF($A227="","",IFERROR(MATCH($A227,Comenzi!$A$9:$A$108,0)+8,""))</f>
        <v/>
      </c>
      <c r="Y227" s="41" t="str">
        <f t="shared" si="51"/>
        <v/>
      </c>
      <c r="Z227" s="42" t="str">
        <f>IF($A227="","",IF($A227="?","Lipseste ID-ul comenzii (col. A din PI Furnizor)",IF(NOT(ISNUMBER($X227)),"ID comanda negasit in foaia Comenzi",IF(N($E227)&lt;=0,"Lipseste cantitatea",IF(N($G227)=0,"Pret unitar lipsa",IF($Y227&lt;&gt;1,"Curs sau moneda marfa lipsa (foaia Comenzi)",IF(INDEX(Comenzi!$AT:$AT,$X227)&lt;&gt;"OK","Avertisment comanda: "&amp;INDEX(Comenzi!$AT:$AT,$X227),"OK")))))))</f>
        <v/>
      </c>
      <c r="AA227" s="43" t="str">
        <f>IF(ISNUMBER($X227),INDEX(Comenzi!$H:$H,$X227),"")</f>
        <v/>
      </c>
      <c r="AB227" s="43" t="str">
        <f>IF(ISNUMBER($X227),INDEX(Comenzi!$I:$I,$X227),"")</f>
        <v/>
      </c>
      <c r="AC227" s="44" t="str">
        <f>IF(ISNUMBER($X227),IF(INDEX(Comenzi!$V:$V,$X227)="",Comenzi!$D$3,INDEX(Comenzi!$V:$V,$X227)),"")</f>
        <v/>
      </c>
      <c r="AD227" s="44" t="str">
        <f>IF(ISNUMBER($X227),IF(INDEX(Comenzi!$U:$U,$X227)="",Comenzi!$D$4,INDEX(Comenzi!$U:$U,$X227)),"")</f>
        <v/>
      </c>
      <c r="AE227" s="45" t="str">
        <f>IF($Y227&lt;&gt;1,"",IF(INDEX(Comenzi!$AM:$AM,$X227)="Greutate",INDEX('PI Furnizor'!$O:$O,ROW()-3),IF(INDEX(Comenzi!$AM:$AM,$X227)="Volum (CBM)",INDEX('PI Furnizor'!$Q:$Q,ROW()-3),IF(INDEX(Comenzi!$AM:$AM,$X227)="Valoare marfa",INDEX('PI Furnizor'!$N:$N,ROW()-3),$E227))))</f>
        <v/>
      </c>
    </row>
    <row r="228" spans="1:31" x14ac:dyDescent="0.3">
      <c r="A228" s="28" t="str">
        <f>IF(COUNTA(INDEX('PI Furnizor'!$A:$E,ROW()-3,0))=0,"",IF(INDEX('PI Furnizor'!$A:$A,ROW()-3)="","?",INDEX('PI Furnizor'!$A:$A,ROW()-3)))</f>
        <v/>
      </c>
      <c r="B228" s="29" t="str">
        <f>IF(ISNUMBER($X228),INDEX(Comenzi!$B:$B,$X228),"")</f>
        <v/>
      </c>
      <c r="C228" s="28" t="str">
        <f>IF($A228="","",INDEX('PI Furnizor'!$B:$B,ROW()-3)&amp;"")</f>
        <v/>
      </c>
      <c r="D228" s="28" t="str">
        <f>IF($A228="","",INDEX('PI Furnizor'!$C:$C,ROW()-3)&amp;"")</f>
        <v/>
      </c>
      <c r="E228" s="30" t="str">
        <f>IF($A228="","",N(INDEX('PI Furnizor'!$D:$D,ROW()-3)))</f>
        <v/>
      </c>
      <c r="F228" s="31" t="str">
        <f>IF(ISNUMBER($X228),INDEX(Comenzi!$G:$G,$X228),"")</f>
        <v/>
      </c>
      <c r="G228" s="32" t="str">
        <f>IF($A228="","",N(INDEX('PI Furnizor'!$E:$E,ROW()-3)))</f>
        <v/>
      </c>
      <c r="H228" s="33" t="str">
        <f t="shared" si="39"/>
        <v/>
      </c>
      <c r="I228" s="34" t="str">
        <f>IF($Y228&lt;&gt;1,"",IFERROR($AE228/INDEX(Comenzi!$AN:$AN,$X228),0))</f>
        <v/>
      </c>
      <c r="J228" s="33" t="str">
        <f>IF($Y228&lt;&gt;1,"",INDEX(Comenzi!$AG:$AG,$X228)*$I228/$E228)</f>
        <v/>
      </c>
      <c r="K228" s="33" t="str">
        <f t="shared" si="40"/>
        <v/>
      </c>
      <c r="L228" s="33" t="str">
        <f>IF($Y228&lt;&gt;1,"",$K228*$AD228+INDEX(Comenzi!$AJ:$AJ,$X228)*$I228/$E228)</f>
        <v/>
      </c>
      <c r="M228" s="33" t="str">
        <f t="shared" si="41"/>
        <v/>
      </c>
      <c r="N228" s="33" t="str">
        <f t="shared" si="42"/>
        <v/>
      </c>
      <c r="O228" s="33" t="str">
        <f>IF($Y228&lt;&gt;1,"",(INDEX(Comenzi!$AK:$AK,$X228)+N(INDEX(Comenzi!$T:$T,$X228)))*$I228/$E228)</f>
        <v/>
      </c>
      <c r="P228" s="35" t="str">
        <f t="shared" si="43"/>
        <v/>
      </c>
      <c r="Q228" s="36" t="str">
        <f t="shared" si="44"/>
        <v/>
      </c>
      <c r="R228" s="37" t="str">
        <f t="shared" si="45"/>
        <v/>
      </c>
      <c r="S228" s="38" t="str">
        <f t="shared" si="46"/>
        <v/>
      </c>
      <c r="T228" s="39" t="str">
        <f t="shared" si="47"/>
        <v/>
      </c>
      <c r="U228" s="40" t="str">
        <f t="shared" si="48"/>
        <v/>
      </c>
      <c r="V228" s="33" t="str">
        <f t="shared" si="49"/>
        <v/>
      </c>
      <c r="W228" s="33" t="str">
        <f t="shared" si="50"/>
        <v/>
      </c>
      <c r="X228" s="41" t="str">
        <f>IF($A228="","",IFERROR(MATCH($A228,Comenzi!$A$9:$A$108,0)+8,""))</f>
        <v/>
      </c>
      <c r="Y228" s="41" t="str">
        <f t="shared" si="51"/>
        <v/>
      </c>
      <c r="Z228" s="42" t="str">
        <f>IF($A228="","",IF($A228="?","Lipseste ID-ul comenzii (col. A din PI Furnizor)",IF(NOT(ISNUMBER($X228)),"ID comanda negasit in foaia Comenzi",IF(N($E228)&lt;=0,"Lipseste cantitatea",IF(N($G228)=0,"Pret unitar lipsa",IF($Y228&lt;&gt;1,"Curs sau moneda marfa lipsa (foaia Comenzi)",IF(INDEX(Comenzi!$AT:$AT,$X228)&lt;&gt;"OK","Avertisment comanda: "&amp;INDEX(Comenzi!$AT:$AT,$X228),"OK")))))))</f>
        <v/>
      </c>
      <c r="AA228" s="43" t="str">
        <f>IF(ISNUMBER($X228),INDEX(Comenzi!$H:$H,$X228),"")</f>
        <v/>
      </c>
      <c r="AB228" s="43" t="str">
        <f>IF(ISNUMBER($X228),INDEX(Comenzi!$I:$I,$X228),"")</f>
        <v/>
      </c>
      <c r="AC228" s="44" t="str">
        <f>IF(ISNUMBER($X228),IF(INDEX(Comenzi!$V:$V,$X228)="",Comenzi!$D$3,INDEX(Comenzi!$V:$V,$X228)),"")</f>
        <v/>
      </c>
      <c r="AD228" s="44" t="str">
        <f>IF(ISNUMBER($X228),IF(INDEX(Comenzi!$U:$U,$X228)="",Comenzi!$D$4,INDEX(Comenzi!$U:$U,$X228)),"")</f>
        <v/>
      </c>
      <c r="AE228" s="45" t="str">
        <f>IF($Y228&lt;&gt;1,"",IF(INDEX(Comenzi!$AM:$AM,$X228)="Greutate",INDEX('PI Furnizor'!$O:$O,ROW()-3),IF(INDEX(Comenzi!$AM:$AM,$X228)="Volum (CBM)",INDEX('PI Furnizor'!$Q:$Q,ROW()-3),IF(INDEX(Comenzi!$AM:$AM,$X228)="Valoare marfa",INDEX('PI Furnizor'!$N:$N,ROW()-3),$E228))))</f>
        <v/>
      </c>
    </row>
    <row r="229" spans="1:31" x14ac:dyDescent="0.3">
      <c r="A229" s="28" t="str">
        <f>IF(COUNTA(INDEX('PI Furnizor'!$A:$E,ROW()-3,0))=0,"",IF(INDEX('PI Furnizor'!$A:$A,ROW()-3)="","?",INDEX('PI Furnizor'!$A:$A,ROW()-3)))</f>
        <v/>
      </c>
      <c r="B229" s="29" t="str">
        <f>IF(ISNUMBER($X229),INDEX(Comenzi!$B:$B,$X229),"")</f>
        <v/>
      </c>
      <c r="C229" s="28" t="str">
        <f>IF($A229="","",INDEX('PI Furnizor'!$B:$B,ROW()-3)&amp;"")</f>
        <v/>
      </c>
      <c r="D229" s="28" t="str">
        <f>IF($A229="","",INDEX('PI Furnizor'!$C:$C,ROW()-3)&amp;"")</f>
        <v/>
      </c>
      <c r="E229" s="30" t="str">
        <f>IF($A229="","",N(INDEX('PI Furnizor'!$D:$D,ROW()-3)))</f>
        <v/>
      </c>
      <c r="F229" s="31" t="str">
        <f>IF(ISNUMBER($X229),INDEX(Comenzi!$G:$G,$X229),"")</f>
        <v/>
      </c>
      <c r="G229" s="32" t="str">
        <f>IF($A229="","",N(INDEX('PI Furnizor'!$E:$E,ROW()-3)))</f>
        <v/>
      </c>
      <c r="H229" s="33" t="str">
        <f t="shared" si="39"/>
        <v/>
      </c>
      <c r="I229" s="34" t="str">
        <f>IF($Y229&lt;&gt;1,"",IFERROR($AE229/INDEX(Comenzi!$AN:$AN,$X229),0))</f>
        <v/>
      </c>
      <c r="J229" s="33" t="str">
        <f>IF($Y229&lt;&gt;1,"",INDEX(Comenzi!$AG:$AG,$X229)*$I229/$E229)</f>
        <v/>
      </c>
      <c r="K229" s="33" t="str">
        <f t="shared" si="40"/>
        <v/>
      </c>
      <c r="L229" s="33" t="str">
        <f>IF($Y229&lt;&gt;1,"",$K229*$AD229+INDEX(Comenzi!$AJ:$AJ,$X229)*$I229/$E229)</f>
        <v/>
      </c>
      <c r="M229" s="33" t="str">
        <f t="shared" si="41"/>
        <v/>
      </c>
      <c r="N229" s="33" t="str">
        <f t="shared" si="42"/>
        <v/>
      </c>
      <c r="O229" s="33" t="str">
        <f>IF($Y229&lt;&gt;1,"",(INDEX(Comenzi!$AK:$AK,$X229)+N(INDEX(Comenzi!$T:$T,$X229)))*$I229/$E229)</f>
        <v/>
      </c>
      <c r="P229" s="35" t="str">
        <f t="shared" si="43"/>
        <v/>
      </c>
      <c r="Q229" s="36" t="str">
        <f t="shared" si="44"/>
        <v/>
      </c>
      <c r="R229" s="37" t="str">
        <f t="shared" si="45"/>
        <v/>
      </c>
      <c r="S229" s="38" t="str">
        <f t="shared" si="46"/>
        <v/>
      </c>
      <c r="T229" s="39" t="str">
        <f t="shared" si="47"/>
        <v/>
      </c>
      <c r="U229" s="40" t="str">
        <f t="shared" si="48"/>
        <v/>
      </c>
      <c r="V229" s="33" t="str">
        <f t="shared" si="49"/>
        <v/>
      </c>
      <c r="W229" s="33" t="str">
        <f t="shared" si="50"/>
        <v/>
      </c>
      <c r="X229" s="41" t="str">
        <f>IF($A229="","",IFERROR(MATCH($A229,Comenzi!$A$9:$A$108,0)+8,""))</f>
        <v/>
      </c>
      <c r="Y229" s="41" t="str">
        <f t="shared" si="51"/>
        <v/>
      </c>
      <c r="Z229" s="42" t="str">
        <f>IF($A229="","",IF($A229="?","Lipseste ID-ul comenzii (col. A din PI Furnizor)",IF(NOT(ISNUMBER($X229)),"ID comanda negasit in foaia Comenzi",IF(N($E229)&lt;=0,"Lipseste cantitatea",IF(N($G229)=0,"Pret unitar lipsa",IF($Y229&lt;&gt;1,"Curs sau moneda marfa lipsa (foaia Comenzi)",IF(INDEX(Comenzi!$AT:$AT,$X229)&lt;&gt;"OK","Avertisment comanda: "&amp;INDEX(Comenzi!$AT:$AT,$X229),"OK")))))))</f>
        <v/>
      </c>
      <c r="AA229" s="43" t="str">
        <f>IF(ISNUMBER($X229),INDEX(Comenzi!$H:$H,$X229),"")</f>
        <v/>
      </c>
      <c r="AB229" s="43" t="str">
        <f>IF(ISNUMBER($X229),INDEX(Comenzi!$I:$I,$X229),"")</f>
        <v/>
      </c>
      <c r="AC229" s="44" t="str">
        <f>IF(ISNUMBER($X229),IF(INDEX(Comenzi!$V:$V,$X229)="",Comenzi!$D$3,INDEX(Comenzi!$V:$V,$X229)),"")</f>
        <v/>
      </c>
      <c r="AD229" s="44" t="str">
        <f>IF(ISNUMBER($X229),IF(INDEX(Comenzi!$U:$U,$X229)="",Comenzi!$D$4,INDEX(Comenzi!$U:$U,$X229)),"")</f>
        <v/>
      </c>
      <c r="AE229" s="45" t="str">
        <f>IF($Y229&lt;&gt;1,"",IF(INDEX(Comenzi!$AM:$AM,$X229)="Greutate",INDEX('PI Furnizor'!$O:$O,ROW()-3),IF(INDEX(Comenzi!$AM:$AM,$X229)="Volum (CBM)",INDEX('PI Furnizor'!$Q:$Q,ROW()-3),IF(INDEX(Comenzi!$AM:$AM,$X229)="Valoare marfa",INDEX('PI Furnizor'!$N:$N,ROW()-3),$E229))))</f>
        <v/>
      </c>
    </row>
    <row r="230" spans="1:31" x14ac:dyDescent="0.3">
      <c r="A230" s="28" t="str">
        <f>IF(COUNTA(INDEX('PI Furnizor'!$A:$E,ROW()-3,0))=0,"",IF(INDEX('PI Furnizor'!$A:$A,ROW()-3)="","?",INDEX('PI Furnizor'!$A:$A,ROW()-3)))</f>
        <v/>
      </c>
      <c r="B230" s="29" t="str">
        <f>IF(ISNUMBER($X230),INDEX(Comenzi!$B:$B,$X230),"")</f>
        <v/>
      </c>
      <c r="C230" s="28" t="str">
        <f>IF($A230="","",INDEX('PI Furnizor'!$B:$B,ROW()-3)&amp;"")</f>
        <v/>
      </c>
      <c r="D230" s="28" t="str">
        <f>IF($A230="","",INDEX('PI Furnizor'!$C:$C,ROW()-3)&amp;"")</f>
        <v/>
      </c>
      <c r="E230" s="30" t="str">
        <f>IF($A230="","",N(INDEX('PI Furnizor'!$D:$D,ROW()-3)))</f>
        <v/>
      </c>
      <c r="F230" s="31" t="str">
        <f>IF(ISNUMBER($X230),INDEX(Comenzi!$G:$G,$X230),"")</f>
        <v/>
      </c>
      <c r="G230" s="32" t="str">
        <f>IF($A230="","",N(INDEX('PI Furnizor'!$E:$E,ROW()-3)))</f>
        <v/>
      </c>
      <c r="H230" s="33" t="str">
        <f t="shared" si="39"/>
        <v/>
      </c>
      <c r="I230" s="34" t="str">
        <f>IF($Y230&lt;&gt;1,"",IFERROR($AE230/INDEX(Comenzi!$AN:$AN,$X230),0))</f>
        <v/>
      </c>
      <c r="J230" s="33" t="str">
        <f>IF($Y230&lt;&gt;1,"",INDEX(Comenzi!$AG:$AG,$X230)*$I230/$E230)</f>
        <v/>
      </c>
      <c r="K230" s="33" t="str">
        <f t="shared" si="40"/>
        <v/>
      </c>
      <c r="L230" s="33" t="str">
        <f>IF($Y230&lt;&gt;1,"",$K230*$AD230+INDEX(Comenzi!$AJ:$AJ,$X230)*$I230/$E230)</f>
        <v/>
      </c>
      <c r="M230" s="33" t="str">
        <f t="shared" si="41"/>
        <v/>
      </c>
      <c r="N230" s="33" t="str">
        <f t="shared" si="42"/>
        <v/>
      </c>
      <c r="O230" s="33" t="str">
        <f>IF($Y230&lt;&gt;1,"",(INDEX(Comenzi!$AK:$AK,$X230)+N(INDEX(Comenzi!$T:$T,$X230)))*$I230/$E230)</f>
        <v/>
      </c>
      <c r="P230" s="35" t="str">
        <f t="shared" si="43"/>
        <v/>
      </c>
      <c r="Q230" s="36" t="str">
        <f t="shared" si="44"/>
        <v/>
      </c>
      <c r="R230" s="37" t="str">
        <f t="shared" si="45"/>
        <v/>
      </c>
      <c r="S230" s="38" t="str">
        <f t="shared" si="46"/>
        <v/>
      </c>
      <c r="T230" s="39" t="str">
        <f t="shared" si="47"/>
        <v/>
      </c>
      <c r="U230" s="40" t="str">
        <f t="shared" si="48"/>
        <v/>
      </c>
      <c r="V230" s="33" t="str">
        <f t="shared" si="49"/>
        <v/>
      </c>
      <c r="W230" s="33" t="str">
        <f t="shared" si="50"/>
        <v/>
      </c>
      <c r="X230" s="41" t="str">
        <f>IF($A230="","",IFERROR(MATCH($A230,Comenzi!$A$9:$A$108,0)+8,""))</f>
        <v/>
      </c>
      <c r="Y230" s="41" t="str">
        <f t="shared" si="51"/>
        <v/>
      </c>
      <c r="Z230" s="42" t="str">
        <f>IF($A230="","",IF($A230="?","Lipseste ID-ul comenzii (col. A din PI Furnizor)",IF(NOT(ISNUMBER($X230)),"ID comanda negasit in foaia Comenzi",IF(N($E230)&lt;=0,"Lipseste cantitatea",IF(N($G230)=0,"Pret unitar lipsa",IF($Y230&lt;&gt;1,"Curs sau moneda marfa lipsa (foaia Comenzi)",IF(INDEX(Comenzi!$AT:$AT,$X230)&lt;&gt;"OK","Avertisment comanda: "&amp;INDEX(Comenzi!$AT:$AT,$X230),"OK")))))))</f>
        <v/>
      </c>
      <c r="AA230" s="43" t="str">
        <f>IF(ISNUMBER($X230),INDEX(Comenzi!$H:$H,$X230),"")</f>
        <v/>
      </c>
      <c r="AB230" s="43" t="str">
        <f>IF(ISNUMBER($X230),INDEX(Comenzi!$I:$I,$X230),"")</f>
        <v/>
      </c>
      <c r="AC230" s="44" t="str">
        <f>IF(ISNUMBER($X230),IF(INDEX(Comenzi!$V:$V,$X230)="",Comenzi!$D$3,INDEX(Comenzi!$V:$V,$X230)),"")</f>
        <v/>
      </c>
      <c r="AD230" s="44" t="str">
        <f>IF(ISNUMBER($X230),IF(INDEX(Comenzi!$U:$U,$X230)="",Comenzi!$D$4,INDEX(Comenzi!$U:$U,$X230)),"")</f>
        <v/>
      </c>
      <c r="AE230" s="45" t="str">
        <f>IF($Y230&lt;&gt;1,"",IF(INDEX(Comenzi!$AM:$AM,$X230)="Greutate",INDEX('PI Furnizor'!$O:$O,ROW()-3),IF(INDEX(Comenzi!$AM:$AM,$X230)="Volum (CBM)",INDEX('PI Furnizor'!$Q:$Q,ROW()-3),IF(INDEX(Comenzi!$AM:$AM,$X230)="Valoare marfa",INDEX('PI Furnizor'!$N:$N,ROW()-3),$E230))))</f>
        <v/>
      </c>
    </row>
    <row r="231" spans="1:31" x14ac:dyDescent="0.3">
      <c r="A231" s="28" t="str">
        <f>IF(COUNTA(INDEX('PI Furnizor'!$A:$E,ROW()-3,0))=0,"",IF(INDEX('PI Furnizor'!$A:$A,ROW()-3)="","?",INDEX('PI Furnizor'!$A:$A,ROW()-3)))</f>
        <v/>
      </c>
      <c r="B231" s="29" t="str">
        <f>IF(ISNUMBER($X231),INDEX(Comenzi!$B:$B,$X231),"")</f>
        <v/>
      </c>
      <c r="C231" s="28" t="str">
        <f>IF($A231="","",INDEX('PI Furnizor'!$B:$B,ROW()-3)&amp;"")</f>
        <v/>
      </c>
      <c r="D231" s="28" t="str">
        <f>IF($A231="","",INDEX('PI Furnizor'!$C:$C,ROW()-3)&amp;"")</f>
        <v/>
      </c>
      <c r="E231" s="30" t="str">
        <f>IF($A231="","",N(INDEX('PI Furnizor'!$D:$D,ROW()-3)))</f>
        <v/>
      </c>
      <c r="F231" s="31" t="str">
        <f>IF(ISNUMBER($X231),INDEX(Comenzi!$G:$G,$X231),"")</f>
        <v/>
      </c>
      <c r="G231" s="32" t="str">
        <f>IF($A231="","",N(INDEX('PI Furnizor'!$E:$E,ROW()-3)))</f>
        <v/>
      </c>
      <c r="H231" s="33" t="str">
        <f t="shared" si="39"/>
        <v/>
      </c>
      <c r="I231" s="34" t="str">
        <f>IF($Y231&lt;&gt;1,"",IFERROR($AE231/INDEX(Comenzi!$AN:$AN,$X231),0))</f>
        <v/>
      </c>
      <c r="J231" s="33" t="str">
        <f>IF($Y231&lt;&gt;1,"",INDEX(Comenzi!$AG:$AG,$X231)*$I231/$E231)</f>
        <v/>
      </c>
      <c r="K231" s="33" t="str">
        <f t="shared" si="40"/>
        <v/>
      </c>
      <c r="L231" s="33" t="str">
        <f>IF($Y231&lt;&gt;1,"",$K231*$AD231+INDEX(Comenzi!$AJ:$AJ,$X231)*$I231/$E231)</f>
        <v/>
      </c>
      <c r="M231" s="33" t="str">
        <f t="shared" si="41"/>
        <v/>
      </c>
      <c r="N231" s="33" t="str">
        <f t="shared" si="42"/>
        <v/>
      </c>
      <c r="O231" s="33" t="str">
        <f>IF($Y231&lt;&gt;1,"",(INDEX(Comenzi!$AK:$AK,$X231)+N(INDEX(Comenzi!$T:$T,$X231)))*$I231/$E231)</f>
        <v/>
      </c>
      <c r="P231" s="35" t="str">
        <f t="shared" si="43"/>
        <v/>
      </c>
      <c r="Q231" s="36" t="str">
        <f t="shared" si="44"/>
        <v/>
      </c>
      <c r="R231" s="37" t="str">
        <f t="shared" si="45"/>
        <v/>
      </c>
      <c r="S231" s="38" t="str">
        <f t="shared" si="46"/>
        <v/>
      </c>
      <c r="T231" s="39" t="str">
        <f t="shared" si="47"/>
        <v/>
      </c>
      <c r="U231" s="40" t="str">
        <f t="shared" si="48"/>
        <v/>
      </c>
      <c r="V231" s="33" t="str">
        <f t="shared" si="49"/>
        <v/>
      </c>
      <c r="W231" s="33" t="str">
        <f t="shared" si="50"/>
        <v/>
      </c>
      <c r="X231" s="41" t="str">
        <f>IF($A231="","",IFERROR(MATCH($A231,Comenzi!$A$9:$A$108,0)+8,""))</f>
        <v/>
      </c>
      <c r="Y231" s="41" t="str">
        <f t="shared" si="51"/>
        <v/>
      </c>
      <c r="Z231" s="42" t="str">
        <f>IF($A231="","",IF($A231="?","Lipseste ID-ul comenzii (col. A din PI Furnizor)",IF(NOT(ISNUMBER($X231)),"ID comanda negasit in foaia Comenzi",IF(N($E231)&lt;=0,"Lipseste cantitatea",IF(N($G231)=0,"Pret unitar lipsa",IF($Y231&lt;&gt;1,"Curs sau moneda marfa lipsa (foaia Comenzi)",IF(INDEX(Comenzi!$AT:$AT,$X231)&lt;&gt;"OK","Avertisment comanda: "&amp;INDEX(Comenzi!$AT:$AT,$X231),"OK")))))))</f>
        <v/>
      </c>
      <c r="AA231" s="43" t="str">
        <f>IF(ISNUMBER($X231),INDEX(Comenzi!$H:$H,$X231),"")</f>
        <v/>
      </c>
      <c r="AB231" s="43" t="str">
        <f>IF(ISNUMBER($X231),INDEX(Comenzi!$I:$I,$X231),"")</f>
        <v/>
      </c>
      <c r="AC231" s="44" t="str">
        <f>IF(ISNUMBER($X231),IF(INDEX(Comenzi!$V:$V,$X231)="",Comenzi!$D$3,INDEX(Comenzi!$V:$V,$X231)),"")</f>
        <v/>
      </c>
      <c r="AD231" s="44" t="str">
        <f>IF(ISNUMBER($X231),IF(INDEX(Comenzi!$U:$U,$X231)="",Comenzi!$D$4,INDEX(Comenzi!$U:$U,$X231)),"")</f>
        <v/>
      </c>
      <c r="AE231" s="45" t="str">
        <f>IF($Y231&lt;&gt;1,"",IF(INDEX(Comenzi!$AM:$AM,$X231)="Greutate",INDEX('PI Furnizor'!$O:$O,ROW()-3),IF(INDEX(Comenzi!$AM:$AM,$X231)="Volum (CBM)",INDEX('PI Furnizor'!$Q:$Q,ROW()-3),IF(INDEX(Comenzi!$AM:$AM,$X231)="Valoare marfa",INDEX('PI Furnizor'!$N:$N,ROW()-3),$E231))))</f>
        <v/>
      </c>
    </row>
    <row r="232" spans="1:31" x14ac:dyDescent="0.3">
      <c r="A232" s="28" t="str">
        <f>IF(COUNTA(INDEX('PI Furnizor'!$A:$E,ROW()-3,0))=0,"",IF(INDEX('PI Furnizor'!$A:$A,ROW()-3)="","?",INDEX('PI Furnizor'!$A:$A,ROW()-3)))</f>
        <v/>
      </c>
      <c r="B232" s="29" t="str">
        <f>IF(ISNUMBER($X232),INDEX(Comenzi!$B:$B,$X232),"")</f>
        <v/>
      </c>
      <c r="C232" s="28" t="str">
        <f>IF($A232="","",INDEX('PI Furnizor'!$B:$B,ROW()-3)&amp;"")</f>
        <v/>
      </c>
      <c r="D232" s="28" t="str">
        <f>IF($A232="","",INDEX('PI Furnizor'!$C:$C,ROW()-3)&amp;"")</f>
        <v/>
      </c>
      <c r="E232" s="30" t="str">
        <f>IF($A232="","",N(INDEX('PI Furnizor'!$D:$D,ROW()-3)))</f>
        <v/>
      </c>
      <c r="F232" s="31" t="str">
        <f>IF(ISNUMBER($X232),INDEX(Comenzi!$G:$G,$X232),"")</f>
        <v/>
      </c>
      <c r="G232" s="32" t="str">
        <f>IF($A232="","",N(INDEX('PI Furnizor'!$E:$E,ROW()-3)))</f>
        <v/>
      </c>
      <c r="H232" s="33" t="str">
        <f t="shared" si="39"/>
        <v/>
      </c>
      <c r="I232" s="34" t="str">
        <f>IF($Y232&lt;&gt;1,"",IFERROR($AE232/INDEX(Comenzi!$AN:$AN,$X232),0))</f>
        <v/>
      </c>
      <c r="J232" s="33" t="str">
        <f>IF($Y232&lt;&gt;1,"",INDEX(Comenzi!$AG:$AG,$X232)*$I232/$E232)</f>
        <v/>
      </c>
      <c r="K232" s="33" t="str">
        <f t="shared" si="40"/>
        <v/>
      </c>
      <c r="L232" s="33" t="str">
        <f>IF($Y232&lt;&gt;1,"",$K232*$AD232+INDEX(Comenzi!$AJ:$AJ,$X232)*$I232/$E232)</f>
        <v/>
      </c>
      <c r="M232" s="33" t="str">
        <f t="shared" si="41"/>
        <v/>
      </c>
      <c r="N232" s="33" t="str">
        <f t="shared" si="42"/>
        <v/>
      </c>
      <c r="O232" s="33" t="str">
        <f>IF($Y232&lt;&gt;1,"",(INDEX(Comenzi!$AK:$AK,$X232)+N(INDEX(Comenzi!$T:$T,$X232)))*$I232/$E232)</f>
        <v/>
      </c>
      <c r="P232" s="35" t="str">
        <f t="shared" si="43"/>
        <v/>
      </c>
      <c r="Q232" s="36" t="str">
        <f t="shared" si="44"/>
        <v/>
      </c>
      <c r="R232" s="37" t="str">
        <f t="shared" si="45"/>
        <v/>
      </c>
      <c r="S232" s="38" t="str">
        <f t="shared" si="46"/>
        <v/>
      </c>
      <c r="T232" s="39" t="str">
        <f t="shared" si="47"/>
        <v/>
      </c>
      <c r="U232" s="40" t="str">
        <f t="shared" si="48"/>
        <v/>
      </c>
      <c r="V232" s="33" t="str">
        <f t="shared" si="49"/>
        <v/>
      </c>
      <c r="W232" s="33" t="str">
        <f t="shared" si="50"/>
        <v/>
      </c>
      <c r="X232" s="41" t="str">
        <f>IF($A232="","",IFERROR(MATCH($A232,Comenzi!$A$9:$A$108,0)+8,""))</f>
        <v/>
      </c>
      <c r="Y232" s="41" t="str">
        <f t="shared" si="51"/>
        <v/>
      </c>
      <c r="Z232" s="42" t="str">
        <f>IF($A232="","",IF($A232="?","Lipseste ID-ul comenzii (col. A din PI Furnizor)",IF(NOT(ISNUMBER($X232)),"ID comanda negasit in foaia Comenzi",IF(N($E232)&lt;=0,"Lipseste cantitatea",IF(N($G232)=0,"Pret unitar lipsa",IF($Y232&lt;&gt;1,"Curs sau moneda marfa lipsa (foaia Comenzi)",IF(INDEX(Comenzi!$AT:$AT,$X232)&lt;&gt;"OK","Avertisment comanda: "&amp;INDEX(Comenzi!$AT:$AT,$X232),"OK")))))))</f>
        <v/>
      </c>
      <c r="AA232" s="43" t="str">
        <f>IF(ISNUMBER($X232),INDEX(Comenzi!$H:$H,$X232),"")</f>
        <v/>
      </c>
      <c r="AB232" s="43" t="str">
        <f>IF(ISNUMBER($X232),INDEX(Comenzi!$I:$I,$X232),"")</f>
        <v/>
      </c>
      <c r="AC232" s="44" t="str">
        <f>IF(ISNUMBER($X232),IF(INDEX(Comenzi!$V:$V,$X232)="",Comenzi!$D$3,INDEX(Comenzi!$V:$V,$X232)),"")</f>
        <v/>
      </c>
      <c r="AD232" s="44" t="str">
        <f>IF(ISNUMBER($X232),IF(INDEX(Comenzi!$U:$U,$X232)="",Comenzi!$D$4,INDEX(Comenzi!$U:$U,$X232)),"")</f>
        <v/>
      </c>
      <c r="AE232" s="45" t="str">
        <f>IF($Y232&lt;&gt;1,"",IF(INDEX(Comenzi!$AM:$AM,$X232)="Greutate",INDEX('PI Furnizor'!$O:$O,ROW()-3),IF(INDEX(Comenzi!$AM:$AM,$X232)="Volum (CBM)",INDEX('PI Furnizor'!$Q:$Q,ROW()-3),IF(INDEX(Comenzi!$AM:$AM,$X232)="Valoare marfa",INDEX('PI Furnizor'!$N:$N,ROW()-3),$E232))))</f>
        <v/>
      </c>
    </row>
    <row r="233" spans="1:31" x14ac:dyDescent="0.3">
      <c r="A233" s="28" t="str">
        <f>IF(COUNTA(INDEX('PI Furnizor'!$A:$E,ROW()-3,0))=0,"",IF(INDEX('PI Furnizor'!$A:$A,ROW()-3)="","?",INDEX('PI Furnizor'!$A:$A,ROW()-3)))</f>
        <v/>
      </c>
      <c r="B233" s="29" t="str">
        <f>IF(ISNUMBER($X233),INDEX(Comenzi!$B:$B,$X233),"")</f>
        <v/>
      </c>
      <c r="C233" s="28" t="str">
        <f>IF($A233="","",INDEX('PI Furnizor'!$B:$B,ROW()-3)&amp;"")</f>
        <v/>
      </c>
      <c r="D233" s="28" t="str">
        <f>IF($A233="","",INDEX('PI Furnizor'!$C:$C,ROW()-3)&amp;"")</f>
        <v/>
      </c>
      <c r="E233" s="30" t="str">
        <f>IF($A233="","",N(INDEX('PI Furnizor'!$D:$D,ROW()-3)))</f>
        <v/>
      </c>
      <c r="F233" s="31" t="str">
        <f>IF(ISNUMBER($X233),INDEX(Comenzi!$G:$G,$X233),"")</f>
        <v/>
      </c>
      <c r="G233" s="32" t="str">
        <f>IF($A233="","",N(INDEX('PI Furnizor'!$E:$E,ROW()-3)))</f>
        <v/>
      </c>
      <c r="H233" s="33" t="str">
        <f t="shared" si="39"/>
        <v/>
      </c>
      <c r="I233" s="34" t="str">
        <f>IF($Y233&lt;&gt;1,"",IFERROR($AE233/INDEX(Comenzi!$AN:$AN,$X233),0))</f>
        <v/>
      </c>
      <c r="J233" s="33" t="str">
        <f>IF($Y233&lt;&gt;1,"",INDEX(Comenzi!$AG:$AG,$X233)*$I233/$E233)</f>
        <v/>
      </c>
      <c r="K233" s="33" t="str">
        <f t="shared" si="40"/>
        <v/>
      </c>
      <c r="L233" s="33" t="str">
        <f>IF($Y233&lt;&gt;1,"",$K233*$AD233+INDEX(Comenzi!$AJ:$AJ,$X233)*$I233/$E233)</f>
        <v/>
      </c>
      <c r="M233" s="33" t="str">
        <f t="shared" si="41"/>
        <v/>
      </c>
      <c r="N233" s="33" t="str">
        <f t="shared" si="42"/>
        <v/>
      </c>
      <c r="O233" s="33" t="str">
        <f>IF($Y233&lt;&gt;1,"",(INDEX(Comenzi!$AK:$AK,$X233)+N(INDEX(Comenzi!$T:$T,$X233)))*$I233/$E233)</f>
        <v/>
      </c>
      <c r="P233" s="35" t="str">
        <f t="shared" si="43"/>
        <v/>
      </c>
      <c r="Q233" s="36" t="str">
        <f t="shared" si="44"/>
        <v/>
      </c>
      <c r="R233" s="37" t="str">
        <f t="shared" si="45"/>
        <v/>
      </c>
      <c r="S233" s="38" t="str">
        <f t="shared" si="46"/>
        <v/>
      </c>
      <c r="T233" s="39" t="str">
        <f t="shared" si="47"/>
        <v/>
      </c>
      <c r="U233" s="40" t="str">
        <f t="shared" si="48"/>
        <v/>
      </c>
      <c r="V233" s="33" t="str">
        <f t="shared" si="49"/>
        <v/>
      </c>
      <c r="W233" s="33" t="str">
        <f t="shared" si="50"/>
        <v/>
      </c>
      <c r="X233" s="41" t="str">
        <f>IF($A233="","",IFERROR(MATCH($A233,Comenzi!$A$9:$A$108,0)+8,""))</f>
        <v/>
      </c>
      <c r="Y233" s="41" t="str">
        <f t="shared" si="51"/>
        <v/>
      </c>
      <c r="Z233" s="42" t="str">
        <f>IF($A233="","",IF($A233="?","Lipseste ID-ul comenzii (col. A din PI Furnizor)",IF(NOT(ISNUMBER($X233)),"ID comanda negasit in foaia Comenzi",IF(N($E233)&lt;=0,"Lipseste cantitatea",IF(N($G233)=0,"Pret unitar lipsa",IF($Y233&lt;&gt;1,"Curs sau moneda marfa lipsa (foaia Comenzi)",IF(INDEX(Comenzi!$AT:$AT,$X233)&lt;&gt;"OK","Avertisment comanda: "&amp;INDEX(Comenzi!$AT:$AT,$X233),"OK")))))))</f>
        <v/>
      </c>
      <c r="AA233" s="43" t="str">
        <f>IF(ISNUMBER($X233),INDEX(Comenzi!$H:$H,$X233),"")</f>
        <v/>
      </c>
      <c r="AB233" s="43" t="str">
        <f>IF(ISNUMBER($X233),INDEX(Comenzi!$I:$I,$X233),"")</f>
        <v/>
      </c>
      <c r="AC233" s="44" t="str">
        <f>IF(ISNUMBER($X233),IF(INDEX(Comenzi!$V:$V,$X233)="",Comenzi!$D$3,INDEX(Comenzi!$V:$V,$X233)),"")</f>
        <v/>
      </c>
      <c r="AD233" s="44" t="str">
        <f>IF(ISNUMBER($X233),IF(INDEX(Comenzi!$U:$U,$X233)="",Comenzi!$D$4,INDEX(Comenzi!$U:$U,$X233)),"")</f>
        <v/>
      </c>
      <c r="AE233" s="45" t="str">
        <f>IF($Y233&lt;&gt;1,"",IF(INDEX(Comenzi!$AM:$AM,$X233)="Greutate",INDEX('PI Furnizor'!$O:$O,ROW()-3),IF(INDEX(Comenzi!$AM:$AM,$X233)="Volum (CBM)",INDEX('PI Furnizor'!$Q:$Q,ROW()-3),IF(INDEX(Comenzi!$AM:$AM,$X233)="Valoare marfa",INDEX('PI Furnizor'!$N:$N,ROW()-3),$E233))))</f>
        <v/>
      </c>
    </row>
    <row r="234" spans="1:31" x14ac:dyDescent="0.3">
      <c r="A234" s="28" t="str">
        <f>IF(COUNTA(INDEX('PI Furnizor'!$A:$E,ROW()-3,0))=0,"",IF(INDEX('PI Furnizor'!$A:$A,ROW()-3)="","?",INDEX('PI Furnizor'!$A:$A,ROW()-3)))</f>
        <v/>
      </c>
      <c r="B234" s="29" t="str">
        <f>IF(ISNUMBER($X234),INDEX(Comenzi!$B:$B,$X234),"")</f>
        <v/>
      </c>
      <c r="C234" s="28" t="str">
        <f>IF($A234="","",INDEX('PI Furnizor'!$B:$B,ROW()-3)&amp;"")</f>
        <v/>
      </c>
      <c r="D234" s="28" t="str">
        <f>IF($A234="","",INDEX('PI Furnizor'!$C:$C,ROW()-3)&amp;"")</f>
        <v/>
      </c>
      <c r="E234" s="30" t="str">
        <f>IF($A234="","",N(INDEX('PI Furnizor'!$D:$D,ROW()-3)))</f>
        <v/>
      </c>
      <c r="F234" s="31" t="str">
        <f>IF(ISNUMBER($X234),INDEX(Comenzi!$G:$G,$X234),"")</f>
        <v/>
      </c>
      <c r="G234" s="32" t="str">
        <f>IF($A234="","",N(INDEX('PI Furnizor'!$E:$E,ROW()-3)))</f>
        <v/>
      </c>
      <c r="H234" s="33" t="str">
        <f t="shared" si="39"/>
        <v/>
      </c>
      <c r="I234" s="34" t="str">
        <f>IF($Y234&lt;&gt;1,"",IFERROR($AE234/INDEX(Comenzi!$AN:$AN,$X234),0))</f>
        <v/>
      </c>
      <c r="J234" s="33" t="str">
        <f>IF($Y234&lt;&gt;1,"",INDEX(Comenzi!$AG:$AG,$X234)*$I234/$E234)</f>
        <v/>
      </c>
      <c r="K234" s="33" t="str">
        <f t="shared" si="40"/>
        <v/>
      </c>
      <c r="L234" s="33" t="str">
        <f>IF($Y234&lt;&gt;1,"",$K234*$AD234+INDEX(Comenzi!$AJ:$AJ,$X234)*$I234/$E234)</f>
        <v/>
      </c>
      <c r="M234" s="33" t="str">
        <f t="shared" si="41"/>
        <v/>
      </c>
      <c r="N234" s="33" t="str">
        <f t="shared" si="42"/>
        <v/>
      </c>
      <c r="O234" s="33" t="str">
        <f>IF($Y234&lt;&gt;1,"",(INDEX(Comenzi!$AK:$AK,$X234)+N(INDEX(Comenzi!$T:$T,$X234)))*$I234/$E234)</f>
        <v/>
      </c>
      <c r="P234" s="35" t="str">
        <f t="shared" si="43"/>
        <v/>
      </c>
      <c r="Q234" s="36" t="str">
        <f t="shared" si="44"/>
        <v/>
      </c>
      <c r="R234" s="37" t="str">
        <f t="shared" si="45"/>
        <v/>
      </c>
      <c r="S234" s="38" t="str">
        <f t="shared" si="46"/>
        <v/>
      </c>
      <c r="T234" s="39" t="str">
        <f t="shared" si="47"/>
        <v/>
      </c>
      <c r="U234" s="40" t="str">
        <f t="shared" si="48"/>
        <v/>
      </c>
      <c r="V234" s="33" t="str">
        <f t="shared" si="49"/>
        <v/>
      </c>
      <c r="W234" s="33" t="str">
        <f t="shared" si="50"/>
        <v/>
      </c>
      <c r="X234" s="41" t="str">
        <f>IF($A234="","",IFERROR(MATCH($A234,Comenzi!$A$9:$A$108,0)+8,""))</f>
        <v/>
      </c>
      <c r="Y234" s="41" t="str">
        <f t="shared" si="51"/>
        <v/>
      </c>
      <c r="Z234" s="42" t="str">
        <f>IF($A234="","",IF($A234="?","Lipseste ID-ul comenzii (col. A din PI Furnizor)",IF(NOT(ISNUMBER($X234)),"ID comanda negasit in foaia Comenzi",IF(N($E234)&lt;=0,"Lipseste cantitatea",IF(N($G234)=0,"Pret unitar lipsa",IF($Y234&lt;&gt;1,"Curs sau moneda marfa lipsa (foaia Comenzi)",IF(INDEX(Comenzi!$AT:$AT,$X234)&lt;&gt;"OK","Avertisment comanda: "&amp;INDEX(Comenzi!$AT:$AT,$X234),"OK")))))))</f>
        <v/>
      </c>
      <c r="AA234" s="43" t="str">
        <f>IF(ISNUMBER($X234),INDEX(Comenzi!$H:$H,$X234),"")</f>
        <v/>
      </c>
      <c r="AB234" s="43" t="str">
        <f>IF(ISNUMBER($X234),INDEX(Comenzi!$I:$I,$X234),"")</f>
        <v/>
      </c>
      <c r="AC234" s="44" t="str">
        <f>IF(ISNUMBER($X234),IF(INDEX(Comenzi!$V:$V,$X234)="",Comenzi!$D$3,INDEX(Comenzi!$V:$V,$X234)),"")</f>
        <v/>
      </c>
      <c r="AD234" s="44" t="str">
        <f>IF(ISNUMBER($X234),IF(INDEX(Comenzi!$U:$U,$X234)="",Comenzi!$D$4,INDEX(Comenzi!$U:$U,$X234)),"")</f>
        <v/>
      </c>
      <c r="AE234" s="45" t="str">
        <f>IF($Y234&lt;&gt;1,"",IF(INDEX(Comenzi!$AM:$AM,$X234)="Greutate",INDEX('PI Furnizor'!$O:$O,ROW()-3),IF(INDEX(Comenzi!$AM:$AM,$X234)="Volum (CBM)",INDEX('PI Furnizor'!$Q:$Q,ROW()-3),IF(INDEX(Comenzi!$AM:$AM,$X234)="Valoare marfa",INDEX('PI Furnizor'!$N:$N,ROW()-3),$E234))))</f>
        <v/>
      </c>
    </row>
    <row r="235" spans="1:31" x14ac:dyDescent="0.3">
      <c r="A235" s="28" t="str">
        <f>IF(COUNTA(INDEX('PI Furnizor'!$A:$E,ROW()-3,0))=0,"",IF(INDEX('PI Furnizor'!$A:$A,ROW()-3)="","?",INDEX('PI Furnizor'!$A:$A,ROW()-3)))</f>
        <v/>
      </c>
      <c r="B235" s="29" t="str">
        <f>IF(ISNUMBER($X235),INDEX(Comenzi!$B:$B,$X235),"")</f>
        <v/>
      </c>
      <c r="C235" s="28" t="str">
        <f>IF($A235="","",INDEX('PI Furnizor'!$B:$B,ROW()-3)&amp;"")</f>
        <v/>
      </c>
      <c r="D235" s="28" t="str">
        <f>IF($A235="","",INDEX('PI Furnizor'!$C:$C,ROW()-3)&amp;"")</f>
        <v/>
      </c>
      <c r="E235" s="30" t="str">
        <f>IF($A235="","",N(INDEX('PI Furnizor'!$D:$D,ROW()-3)))</f>
        <v/>
      </c>
      <c r="F235" s="31" t="str">
        <f>IF(ISNUMBER($X235),INDEX(Comenzi!$G:$G,$X235),"")</f>
        <v/>
      </c>
      <c r="G235" s="32" t="str">
        <f>IF($A235="","",N(INDEX('PI Furnizor'!$E:$E,ROW()-3)))</f>
        <v/>
      </c>
      <c r="H235" s="33" t="str">
        <f t="shared" si="39"/>
        <v/>
      </c>
      <c r="I235" s="34" t="str">
        <f>IF($Y235&lt;&gt;1,"",IFERROR($AE235/INDEX(Comenzi!$AN:$AN,$X235),0))</f>
        <v/>
      </c>
      <c r="J235" s="33" t="str">
        <f>IF($Y235&lt;&gt;1,"",INDEX(Comenzi!$AG:$AG,$X235)*$I235/$E235)</f>
        <v/>
      </c>
      <c r="K235" s="33" t="str">
        <f t="shared" si="40"/>
        <v/>
      </c>
      <c r="L235" s="33" t="str">
        <f>IF($Y235&lt;&gt;1,"",$K235*$AD235+INDEX(Comenzi!$AJ:$AJ,$X235)*$I235/$E235)</f>
        <v/>
      </c>
      <c r="M235" s="33" t="str">
        <f t="shared" si="41"/>
        <v/>
      </c>
      <c r="N235" s="33" t="str">
        <f t="shared" si="42"/>
        <v/>
      </c>
      <c r="O235" s="33" t="str">
        <f>IF($Y235&lt;&gt;1,"",(INDEX(Comenzi!$AK:$AK,$X235)+N(INDEX(Comenzi!$T:$T,$X235)))*$I235/$E235)</f>
        <v/>
      </c>
      <c r="P235" s="35" t="str">
        <f t="shared" si="43"/>
        <v/>
      </c>
      <c r="Q235" s="36" t="str">
        <f t="shared" si="44"/>
        <v/>
      </c>
      <c r="R235" s="37" t="str">
        <f t="shared" si="45"/>
        <v/>
      </c>
      <c r="S235" s="38" t="str">
        <f t="shared" si="46"/>
        <v/>
      </c>
      <c r="T235" s="39" t="str">
        <f t="shared" si="47"/>
        <v/>
      </c>
      <c r="U235" s="40" t="str">
        <f t="shared" si="48"/>
        <v/>
      </c>
      <c r="V235" s="33" t="str">
        <f t="shared" si="49"/>
        <v/>
      </c>
      <c r="W235" s="33" t="str">
        <f t="shared" si="50"/>
        <v/>
      </c>
      <c r="X235" s="41" t="str">
        <f>IF($A235="","",IFERROR(MATCH($A235,Comenzi!$A$9:$A$108,0)+8,""))</f>
        <v/>
      </c>
      <c r="Y235" s="41" t="str">
        <f t="shared" si="51"/>
        <v/>
      </c>
      <c r="Z235" s="42" t="str">
        <f>IF($A235="","",IF($A235="?","Lipseste ID-ul comenzii (col. A din PI Furnizor)",IF(NOT(ISNUMBER($X235)),"ID comanda negasit in foaia Comenzi",IF(N($E235)&lt;=0,"Lipseste cantitatea",IF(N($G235)=0,"Pret unitar lipsa",IF($Y235&lt;&gt;1,"Curs sau moneda marfa lipsa (foaia Comenzi)",IF(INDEX(Comenzi!$AT:$AT,$X235)&lt;&gt;"OK","Avertisment comanda: "&amp;INDEX(Comenzi!$AT:$AT,$X235),"OK")))))))</f>
        <v/>
      </c>
      <c r="AA235" s="43" t="str">
        <f>IF(ISNUMBER($X235),INDEX(Comenzi!$H:$H,$X235),"")</f>
        <v/>
      </c>
      <c r="AB235" s="43" t="str">
        <f>IF(ISNUMBER($X235),INDEX(Comenzi!$I:$I,$X235),"")</f>
        <v/>
      </c>
      <c r="AC235" s="44" t="str">
        <f>IF(ISNUMBER($X235),IF(INDEX(Comenzi!$V:$V,$X235)="",Comenzi!$D$3,INDEX(Comenzi!$V:$V,$X235)),"")</f>
        <v/>
      </c>
      <c r="AD235" s="44" t="str">
        <f>IF(ISNUMBER($X235),IF(INDEX(Comenzi!$U:$U,$X235)="",Comenzi!$D$4,INDEX(Comenzi!$U:$U,$X235)),"")</f>
        <v/>
      </c>
      <c r="AE235" s="45" t="str">
        <f>IF($Y235&lt;&gt;1,"",IF(INDEX(Comenzi!$AM:$AM,$X235)="Greutate",INDEX('PI Furnizor'!$O:$O,ROW()-3),IF(INDEX(Comenzi!$AM:$AM,$X235)="Volum (CBM)",INDEX('PI Furnizor'!$Q:$Q,ROW()-3),IF(INDEX(Comenzi!$AM:$AM,$X235)="Valoare marfa",INDEX('PI Furnizor'!$N:$N,ROW()-3),$E235))))</f>
        <v/>
      </c>
    </row>
    <row r="236" spans="1:31" x14ac:dyDescent="0.3">
      <c r="A236" s="28" t="str">
        <f>IF(COUNTA(INDEX('PI Furnizor'!$A:$E,ROW()-3,0))=0,"",IF(INDEX('PI Furnizor'!$A:$A,ROW()-3)="","?",INDEX('PI Furnizor'!$A:$A,ROW()-3)))</f>
        <v/>
      </c>
      <c r="B236" s="29" t="str">
        <f>IF(ISNUMBER($X236),INDEX(Comenzi!$B:$B,$X236),"")</f>
        <v/>
      </c>
      <c r="C236" s="28" t="str">
        <f>IF($A236="","",INDEX('PI Furnizor'!$B:$B,ROW()-3)&amp;"")</f>
        <v/>
      </c>
      <c r="D236" s="28" t="str">
        <f>IF($A236="","",INDEX('PI Furnizor'!$C:$C,ROW()-3)&amp;"")</f>
        <v/>
      </c>
      <c r="E236" s="30" t="str">
        <f>IF($A236="","",N(INDEX('PI Furnizor'!$D:$D,ROW()-3)))</f>
        <v/>
      </c>
      <c r="F236" s="31" t="str">
        <f>IF(ISNUMBER($X236),INDEX(Comenzi!$G:$G,$X236),"")</f>
        <v/>
      </c>
      <c r="G236" s="32" t="str">
        <f>IF($A236="","",N(INDEX('PI Furnizor'!$E:$E,ROW()-3)))</f>
        <v/>
      </c>
      <c r="H236" s="33" t="str">
        <f t="shared" si="39"/>
        <v/>
      </c>
      <c r="I236" s="34" t="str">
        <f>IF($Y236&lt;&gt;1,"",IFERROR($AE236/INDEX(Comenzi!$AN:$AN,$X236),0))</f>
        <v/>
      </c>
      <c r="J236" s="33" t="str">
        <f>IF($Y236&lt;&gt;1,"",INDEX(Comenzi!$AG:$AG,$X236)*$I236/$E236)</f>
        <v/>
      </c>
      <c r="K236" s="33" t="str">
        <f t="shared" si="40"/>
        <v/>
      </c>
      <c r="L236" s="33" t="str">
        <f>IF($Y236&lt;&gt;1,"",$K236*$AD236+INDEX(Comenzi!$AJ:$AJ,$X236)*$I236/$E236)</f>
        <v/>
      </c>
      <c r="M236" s="33" t="str">
        <f t="shared" si="41"/>
        <v/>
      </c>
      <c r="N236" s="33" t="str">
        <f t="shared" si="42"/>
        <v/>
      </c>
      <c r="O236" s="33" t="str">
        <f>IF($Y236&lt;&gt;1,"",(INDEX(Comenzi!$AK:$AK,$X236)+N(INDEX(Comenzi!$T:$T,$X236)))*$I236/$E236)</f>
        <v/>
      </c>
      <c r="P236" s="35" t="str">
        <f t="shared" si="43"/>
        <v/>
      </c>
      <c r="Q236" s="36" t="str">
        <f t="shared" si="44"/>
        <v/>
      </c>
      <c r="R236" s="37" t="str">
        <f t="shared" si="45"/>
        <v/>
      </c>
      <c r="S236" s="38" t="str">
        <f t="shared" si="46"/>
        <v/>
      </c>
      <c r="T236" s="39" t="str">
        <f t="shared" si="47"/>
        <v/>
      </c>
      <c r="U236" s="40" t="str">
        <f t="shared" si="48"/>
        <v/>
      </c>
      <c r="V236" s="33" t="str">
        <f t="shared" si="49"/>
        <v/>
      </c>
      <c r="W236" s="33" t="str">
        <f t="shared" si="50"/>
        <v/>
      </c>
      <c r="X236" s="41" t="str">
        <f>IF($A236="","",IFERROR(MATCH($A236,Comenzi!$A$9:$A$108,0)+8,""))</f>
        <v/>
      </c>
      <c r="Y236" s="41" t="str">
        <f t="shared" si="51"/>
        <v/>
      </c>
      <c r="Z236" s="42" t="str">
        <f>IF($A236="","",IF($A236="?","Lipseste ID-ul comenzii (col. A din PI Furnizor)",IF(NOT(ISNUMBER($X236)),"ID comanda negasit in foaia Comenzi",IF(N($E236)&lt;=0,"Lipseste cantitatea",IF(N($G236)=0,"Pret unitar lipsa",IF($Y236&lt;&gt;1,"Curs sau moneda marfa lipsa (foaia Comenzi)",IF(INDEX(Comenzi!$AT:$AT,$X236)&lt;&gt;"OK","Avertisment comanda: "&amp;INDEX(Comenzi!$AT:$AT,$X236),"OK")))))))</f>
        <v/>
      </c>
      <c r="AA236" s="43" t="str">
        <f>IF(ISNUMBER($X236),INDEX(Comenzi!$H:$H,$X236),"")</f>
        <v/>
      </c>
      <c r="AB236" s="43" t="str">
        <f>IF(ISNUMBER($X236),INDEX(Comenzi!$I:$I,$X236),"")</f>
        <v/>
      </c>
      <c r="AC236" s="44" t="str">
        <f>IF(ISNUMBER($X236),IF(INDEX(Comenzi!$V:$V,$X236)="",Comenzi!$D$3,INDEX(Comenzi!$V:$V,$X236)),"")</f>
        <v/>
      </c>
      <c r="AD236" s="44" t="str">
        <f>IF(ISNUMBER($X236),IF(INDEX(Comenzi!$U:$U,$X236)="",Comenzi!$D$4,INDEX(Comenzi!$U:$U,$X236)),"")</f>
        <v/>
      </c>
      <c r="AE236" s="45" t="str">
        <f>IF($Y236&lt;&gt;1,"",IF(INDEX(Comenzi!$AM:$AM,$X236)="Greutate",INDEX('PI Furnizor'!$O:$O,ROW()-3),IF(INDEX(Comenzi!$AM:$AM,$X236)="Volum (CBM)",INDEX('PI Furnizor'!$Q:$Q,ROW()-3),IF(INDEX(Comenzi!$AM:$AM,$X236)="Valoare marfa",INDEX('PI Furnizor'!$N:$N,ROW()-3),$E236))))</f>
        <v/>
      </c>
    </row>
    <row r="237" spans="1:31" x14ac:dyDescent="0.3">
      <c r="A237" s="28" t="str">
        <f>IF(COUNTA(INDEX('PI Furnizor'!$A:$E,ROW()-3,0))=0,"",IF(INDEX('PI Furnizor'!$A:$A,ROW()-3)="","?",INDEX('PI Furnizor'!$A:$A,ROW()-3)))</f>
        <v/>
      </c>
      <c r="B237" s="29" t="str">
        <f>IF(ISNUMBER($X237),INDEX(Comenzi!$B:$B,$X237),"")</f>
        <v/>
      </c>
      <c r="C237" s="28" t="str">
        <f>IF($A237="","",INDEX('PI Furnizor'!$B:$B,ROW()-3)&amp;"")</f>
        <v/>
      </c>
      <c r="D237" s="28" t="str">
        <f>IF($A237="","",INDEX('PI Furnizor'!$C:$C,ROW()-3)&amp;"")</f>
        <v/>
      </c>
      <c r="E237" s="30" t="str">
        <f>IF($A237="","",N(INDEX('PI Furnizor'!$D:$D,ROW()-3)))</f>
        <v/>
      </c>
      <c r="F237" s="31" t="str">
        <f>IF(ISNUMBER($X237),INDEX(Comenzi!$G:$G,$X237),"")</f>
        <v/>
      </c>
      <c r="G237" s="32" t="str">
        <f>IF($A237="","",N(INDEX('PI Furnizor'!$E:$E,ROW()-3)))</f>
        <v/>
      </c>
      <c r="H237" s="33" t="str">
        <f t="shared" si="39"/>
        <v/>
      </c>
      <c r="I237" s="34" t="str">
        <f>IF($Y237&lt;&gt;1,"",IFERROR($AE237/INDEX(Comenzi!$AN:$AN,$X237),0))</f>
        <v/>
      </c>
      <c r="J237" s="33" t="str">
        <f>IF($Y237&lt;&gt;1,"",INDEX(Comenzi!$AG:$AG,$X237)*$I237/$E237)</f>
        <v/>
      </c>
      <c r="K237" s="33" t="str">
        <f t="shared" si="40"/>
        <v/>
      </c>
      <c r="L237" s="33" t="str">
        <f>IF($Y237&lt;&gt;1,"",$K237*$AD237+INDEX(Comenzi!$AJ:$AJ,$X237)*$I237/$E237)</f>
        <v/>
      </c>
      <c r="M237" s="33" t="str">
        <f t="shared" si="41"/>
        <v/>
      </c>
      <c r="N237" s="33" t="str">
        <f t="shared" si="42"/>
        <v/>
      </c>
      <c r="O237" s="33" t="str">
        <f>IF($Y237&lt;&gt;1,"",(INDEX(Comenzi!$AK:$AK,$X237)+N(INDEX(Comenzi!$T:$T,$X237)))*$I237/$E237)</f>
        <v/>
      </c>
      <c r="P237" s="35" t="str">
        <f t="shared" si="43"/>
        <v/>
      </c>
      <c r="Q237" s="36" t="str">
        <f t="shared" si="44"/>
        <v/>
      </c>
      <c r="R237" s="37" t="str">
        <f t="shared" si="45"/>
        <v/>
      </c>
      <c r="S237" s="38" t="str">
        <f t="shared" si="46"/>
        <v/>
      </c>
      <c r="T237" s="39" t="str">
        <f t="shared" si="47"/>
        <v/>
      </c>
      <c r="U237" s="40" t="str">
        <f t="shared" si="48"/>
        <v/>
      </c>
      <c r="V237" s="33" t="str">
        <f t="shared" si="49"/>
        <v/>
      </c>
      <c r="W237" s="33" t="str">
        <f t="shared" si="50"/>
        <v/>
      </c>
      <c r="X237" s="41" t="str">
        <f>IF($A237="","",IFERROR(MATCH($A237,Comenzi!$A$9:$A$108,0)+8,""))</f>
        <v/>
      </c>
      <c r="Y237" s="41" t="str">
        <f t="shared" si="51"/>
        <v/>
      </c>
      <c r="Z237" s="42" t="str">
        <f>IF($A237="","",IF($A237="?","Lipseste ID-ul comenzii (col. A din PI Furnizor)",IF(NOT(ISNUMBER($X237)),"ID comanda negasit in foaia Comenzi",IF(N($E237)&lt;=0,"Lipseste cantitatea",IF(N($G237)=0,"Pret unitar lipsa",IF($Y237&lt;&gt;1,"Curs sau moneda marfa lipsa (foaia Comenzi)",IF(INDEX(Comenzi!$AT:$AT,$X237)&lt;&gt;"OK","Avertisment comanda: "&amp;INDEX(Comenzi!$AT:$AT,$X237),"OK")))))))</f>
        <v/>
      </c>
      <c r="AA237" s="43" t="str">
        <f>IF(ISNUMBER($X237),INDEX(Comenzi!$H:$H,$X237),"")</f>
        <v/>
      </c>
      <c r="AB237" s="43" t="str">
        <f>IF(ISNUMBER($X237),INDEX(Comenzi!$I:$I,$X237),"")</f>
        <v/>
      </c>
      <c r="AC237" s="44" t="str">
        <f>IF(ISNUMBER($X237),IF(INDEX(Comenzi!$V:$V,$X237)="",Comenzi!$D$3,INDEX(Comenzi!$V:$V,$X237)),"")</f>
        <v/>
      </c>
      <c r="AD237" s="44" t="str">
        <f>IF(ISNUMBER($X237),IF(INDEX(Comenzi!$U:$U,$X237)="",Comenzi!$D$4,INDEX(Comenzi!$U:$U,$X237)),"")</f>
        <v/>
      </c>
      <c r="AE237" s="45" t="str">
        <f>IF($Y237&lt;&gt;1,"",IF(INDEX(Comenzi!$AM:$AM,$X237)="Greutate",INDEX('PI Furnizor'!$O:$O,ROW()-3),IF(INDEX(Comenzi!$AM:$AM,$X237)="Volum (CBM)",INDEX('PI Furnizor'!$Q:$Q,ROW()-3),IF(INDEX(Comenzi!$AM:$AM,$X237)="Valoare marfa",INDEX('PI Furnizor'!$N:$N,ROW()-3),$E237))))</f>
        <v/>
      </c>
    </row>
    <row r="238" spans="1:31" x14ac:dyDescent="0.3">
      <c r="A238" s="28" t="str">
        <f>IF(COUNTA(INDEX('PI Furnizor'!$A:$E,ROW()-3,0))=0,"",IF(INDEX('PI Furnizor'!$A:$A,ROW()-3)="","?",INDEX('PI Furnizor'!$A:$A,ROW()-3)))</f>
        <v/>
      </c>
      <c r="B238" s="29" t="str">
        <f>IF(ISNUMBER($X238),INDEX(Comenzi!$B:$B,$X238),"")</f>
        <v/>
      </c>
      <c r="C238" s="28" t="str">
        <f>IF($A238="","",INDEX('PI Furnizor'!$B:$B,ROW()-3)&amp;"")</f>
        <v/>
      </c>
      <c r="D238" s="28" t="str">
        <f>IF($A238="","",INDEX('PI Furnizor'!$C:$C,ROW()-3)&amp;"")</f>
        <v/>
      </c>
      <c r="E238" s="30" t="str">
        <f>IF($A238="","",N(INDEX('PI Furnizor'!$D:$D,ROW()-3)))</f>
        <v/>
      </c>
      <c r="F238" s="31" t="str">
        <f>IF(ISNUMBER($X238),INDEX(Comenzi!$G:$G,$X238),"")</f>
        <v/>
      </c>
      <c r="G238" s="32" t="str">
        <f>IF($A238="","",N(INDEX('PI Furnizor'!$E:$E,ROW()-3)))</f>
        <v/>
      </c>
      <c r="H238" s="33" t="str">
        <f t="shared" si="39"/>
        <v/>
      </c>
      <c r="I238" s="34" t="str">
        <f>IF($Y238&lt;&gt;1,"",IFERROR($AE238/INDEX(Comenzi!$AN:$AN,$X238),0))</f>
        <v/>
      </c>
      <c r="J238" s="33" t="str">
        <f>IF($Y238&lt;&gt;1,"",INDEX(Comenzi!$AG:$AG,$X238)*$I238/$E238)</f>
        <v/>
      </c>
      <c r="K238" s="33" t="str">
        <f t="shared" si="40"/>
        <v/>
      </c>
      <c r="L238" s="33" t="str">
        <f>IF($Y238&lt;&gt;1,"",$K238*$AD238+INDEX(Comenzi!$AJ:$AJ,$X238)*$I238/$E238)</f>
        <v/>
      </c>
      <c r="M238" s="33" t="str">
        <f t="shared" si="41"/>
        <v/>
      </c>
      <c r="N238" s="33" t="str">
        <f t="shared" si="42"/>
        <v/>
      </c>
      <c r="O238" s="33" t="str">
        <f>IF($Y238&lt;&gt;1,"",(INDEX(Comenzi!$AK:$AK,$X238)+N(INDEX(Comenzi!$T:$T,$X238)))*$I238/$E238)</f>
        <v/>
      </c>
      <c r="P238" s="35" t="str">
        <f t="shared" si="43"/>
        <v/>
      </c>
      <c r="Q238" s="36" t="str">
        <f t="shared" si="44"/>
        <v/>
      </c>
      <c r="R238" s="37" t="str">
        <f t="shared" si="45"/>
        <v/>
      </c>
      <c r="S238" s="38" t="str">
        <f t="shared" si="46"/>
        <v/>
      </c>
      <c r="T238" s="39" t="str">
        <f t="shared" si="47"/>
        <v/>
      </c>
      <c r="U238" s="40" t="str">
        <f t="shared" si="48"/>
        <v/>
      </c>
      <c r="V238" s="33" t="str">
        <f t="shared" si="49"/>
        <v/>
      </c>
      <c r="W238" s="33" t="str">
        <f t="shared" si="50"/>
        <v/>
      </c>
      <c r="X238" s="41" t="str">
        <f>IF($A238="","",IFERROR(MATCH($A238,Comenzi!$A$9:$A$108,0)+8,""))</f>
        <v/>
      </c>
      <c r="Y238" s="41" t="str">
        <f t="shared" si="51"/>
        <v/>
      </c>
      <c r="Z238" s="42" t="str">
        <f>IF($A238="","",IF($A238="?","Lipseste ID-ul comenzii (col. A din PI Furnizor)",IF(NOT(ISNUMBER($X238)),"ID comanda negasit in foaia Comenzi",IF(N($E238)&lt;=0,"Lipseste cantitatea",IF(N($G238)=0,"Pret unitar lipsa",IF($Y238&lt;&gt;1,"Curs sau moneda marfa lipsa (foaia Comenzi)",IF(INDEX(Comenzi!$AT:$AT,$X238)&lt;&gt;"OK","Avertisment comanda: "&amp;INDEX(Comenzi!$AT:$AT,$X238),"OK")))))))</f>
        <v/>
      </c>
      <c r="AA238" s="43" t="str">
        <f>IF(ISNUMBER($X238),INDEX(Comenzi!$H:$H,$X238),"")</f>
        <v/>
      </c>
      <c r="AB238" s="43" t="str">
        <f>IF(ISNUMBER($X238),INDEX(Comenzi!$I:$I,$X238),"")</f>
        <v/>
      </c>
      <c r="AC238" s="44" t="str">
        <f>IF(ISNUMBER($X238),IF(INDEX(Comenzi!$V:$V,$X238)="",Comenzi!$D$3,INDEX(Comenzi!$V:$V,$X238)),"")</f>
        <v/>
      </c>
      <c r="AD238" s="44" t="str">
        <f>IF(ISNUMBER($X238),IF(INDEX(Comenzi!$U:$U,$X238)="",Comenzi!$D$4,INDEX(Comenzi!$U:$U,$X238)),"")</f>
        <v/>
      </c>
      <c r="AE238" s="45" t="str">
        <f>IF($Y238&lt;&gt;1,"",IF(INDEX(Comenzi!$AM:$AM,$X238)="Greutate",INDEX('PI Furnizor'!$O:$O,ROW()-3),IF(INDEX(Comenzi!$AM:$AM,$X238)="Volum (CBM)",INDEX('PI Furnizor'!$Q:$Q,ROW()-3),IF(INDEX(Comenzi!$AM:$AM,$X238)="Valoare marfa",INDEX('PI Furnizor'!$N:$N,ROW()-3),$E238))))</f>
        <v/>
      </c>
    </row>
    <row r="239" spans="1:31" x14ac:dyDescent="0.3">
      <c r="A239" s="28" t="str">
        <f>IF(COUNTA(INDEX('PI Furnizor'!$A:$E,ROW()-3,0))=0,"",IF(INDEX('PI Furnizor'!$A:$A,ROW()-3)="","?",INDEX('PI Furnizor'!$A:$A,ROW()-3)))</f>
        <v/>
      </c>
      <c r="B239" s="29" t="str">
        <f>IF(ISNUMBER($X239),INDEX(Comenzi!$B:$B,$X239),"")</f>
        <v/>
      </c>
      <c r="C239" s="28" t="str">
        <f>IF($A239="","",INDEX('PI Furnizor'!$B:$B,ROW()-3)&amp;"")</f>
        <v/>
      </c>
      <c r="D239" s="28" t="str">
        <f>IF($A239="","",INDEX('PI Furnizor'!$C:$C,ROW()-3)&amp;"")</f>
        <v/>
      </c>
      <c r="E239" s="30" t="str">
        <f>IF($A239="","",N(INDEX('PI Furnizor'!$D:$D,ROW()-3)))</f>
        <v/>
      </c>
      <c r="F239" s="31" t="str">
        <f>IF(ISNUMBER($X239),INDEX(Comenzi!$G:$G,$X239),"")</f>
        <v/>
      </c>
      <c r="G239" s="32" t="str">
        <f>IF($A239="","",N(INDEX('PI Furnizor'!$E:$E,ROW()-3)))</f>
        <v/>
      </c>
      <c r="H239" s="33" t="str">
        <f t="shared" si="39"/>
        <v/>
      </c>
      <c r="I239" s="34" t="str">
        <f>IF($Y239&lt;&gt;1,"",IFERROR($AE239/INDEX(Comenzi!$AN:$AN,$X239),0))</f>
        <v/>
      </c>
      <c r="J239" s="33" t="str">
        <f>IF($Y239&lt;&gt;1,"",INDEX(Comenzi!$AG:$AG,$X239)*$I239/$E239)</f>
        <v/>
      </c>
      <c r="K239" s="33" t="str">
        <f t="shared" si="40"/>
        <v/>
      </c>
      <c r="L239" s="33" t="str">
        <f>IF($Y239&lt;&gt;1,"",$K239*$AD239+INDEX(Comenzi!$AJ:$AJ,$X239)*$I239/$E239)</f>
        <v/>
      </c>
      <c r="M239" s="33" t="str">
        <f t="shared" si="41"/>
        <v/>
      </c>
      <c r="N239" s="33" t="str">
        <f t="shared" si="42"/>
        <v/>
      </c>
      <c r="O239" s="33" t="str">
        <f>IF($Y239&lt;&gt;1,"",(INDEX(Comenzi!$AK:$AK,$X239)+N(INDEX(Comenzi!$T:$T,$X239)))*$I239/$E239)</f>
        <v/>
      </c>
      <c r="P239" s="35" t="str">
        <f t="shared" si="43"/>
        <v/>
      </c>
      <c r="Q239" s="36" t="str">
        <f t="shared" si="44"/>
        <v/>
      </c>
      <c r="R239" s="37" t="str">
        <f t="shared" si="45"/>
        <v/>
      </c>
      <c r="S239" s="38" t="str">
        <f t="shared" si="46"/>
        <v/>
      </c>
      <c r="T239" s="39" t="str">
        <f t="shared" si="47"/>
        <v/>
      </c>
      <c r="U239" s="40" t="str">
        <f t="shared" si="48"/>
        <v/>
      </c>
      <c r="V239" s="33" t="str">
        <f t="shared" si="49"/>
        <v/>
      </c>
      <c r="W239" s="33" t="str">
        <f t="shared" si="50"/>
        <v/>
      </c>
      <c r="X239" s="41" t="str">
        <f>IF($A239="","",IFERROR(MATCH($A239,Comenzi!$A$9:$A$108,0)+8,""))</f>
        <v/>
      </c>
      <c r="Y239" s="41" t="str">
        <f t="shared" si="51"/>
        <v/>
      </c>
      <c r="Z239" s="42" t="str">
        <f>IF($A239="","",IF($A239="?","Lipseste ID-ul comenzii (col. A din PI Furnizor)",IF(NOT(ISNUMBER($X239)),"ID comanda negasit in foaia Comenzi",IF(N($E239)&lt;=0,"Lipseste cantitatea",IF(N($G239)=0,"Pret unitar lipsa",IF($Y239&lt;&gt;1,"Curs sau moneda marfa lipsa (foaia Comenzi)",IF(INDEX(Comenzi!$AT:$AT,$X239)&lt;&gt;"OK","Avertisment comanda: "&amp;INDEX(Comenzi!$AT:$AT,$X239),"OK")))))))</f>
        <v/>
      </c>
      <c r="AA239" s="43" t="str">
        <f>IF(ISNUMBER($X239),INDEX(Comenzi!$H:$H,$X239),"")</f>
        <v/>
      </c>
      <c r="AB239" s="43" t="str">
        <f>IF(ISNUMBER($X239),INDEX(Comenzi!$I:$I,$X239),"")</f>
        <v/>
      </c>
      <c r="AC239" s="44" t="str">
        <f>IF(ISNUMBER($X239),IF(INDEX(Comenzi!$V:$V,$X239)="",Comenzi!$D$3,INDEX(Comenzi!$V:$V,$X239)),"")</f>
        <v/>
      </c>
      <c r="AD239" s="44" t="str">
        <f>IF(ISNUMBER($X239),IF(INDEX(Comenzi!$U:$U,$X239)="",Comenzi!$D$4,INDEX(Comenzi!$U:$U,$X239)),"")</f>
        <v/>
      </c>
      <c r="AE239" s="45" t="str">
        <f>IF($Y239&lt;&gt;1,"",IF(INDEX(Comenzi!$AM:$AM,$X239)="Greutate",INDEX('PI Furnizor'!$O:$O,ROW()-3),IF(INDEX(Comenzi!$AM:$AM,$X239)="Volum (CBM)",INDEX('PI Furnizor'!$Q:$Q,ROW()-3),IF(INDEX(Comenzi!$AM:$AM,$X239)="Valoare marfa",INDEX('PI Furnizor'!$N:$N,ROW()-3),$E239))))</f>
        <v/>
      </c>
    </row>
    <row r="240" spans="1:31" x14ac:dyDescent="0.3">
      <c r="A240" s="28" t="str">
        <f>IF(COUNTA(INDEX('PI Furnizor'!$A:$E,ROW()-3,0))=0,"",IF(INDEX('PI Furnizor'!$A:$A,ROW()-3)="","?",INDEX('PI Furnizor'!$A:$A,ROW()-3)))</f>
        <v/>
      </c>
      <c r="B240" s="29" t="str">
        <f>IF(ISNUMBER($X240),INDEX(Comenzi!$B:$B,$X240),"")</f>
        <v/>
      </c>
      <c r="C240" s="28" t="str">
        <f>IF($A240="","",INDEX('PI Furnizor'!$B:$B,ROW()-3)&amp;"")</f>
        <v/>
      </c>
      <c r="D240" s="28" t="str">
        <f>IF($A240="","",INDEX('PI Furnizor'!$C:$C,ROW()-3)&amp;"")</f>
        <v/>
      </c>
      <c r="E240" s="30" t="str">
        <f>IF($A240="","",N(INDEX('PI Furnizor'!$D:$D,ROW()-3)))</f>
        <v/>
      </c>
      <c r="F240" s="31" t="str">
        <f>IF(ISNUMBER($X240),INDEX(Comenzi!$G:$G,$X240),"")</f>
        <v/>
      </c>
      <c r="G240" s="32" t="str">
        <f>IF($A240="","",N(INDEX('PI Furnizor'!$E:$E,ROW()-3)))</f>
        <v/>
      </c>
      <c r="H240" s="33" t="str">
        <f t="shared" si="39"/>
        <v/>
      </c>
      <c r="I240" s="34" t="str">
        <f>IF($Y240&lt;&gt;1,"",IFERROR($AE240/INDEX(Comenzi!$AN:$AN,$X240),0))</f>
        <v/>
      </c>
      <c r="J240" s="33" t="str">
        <f>IF($Y240&lt;&gt;1,"",INDEX(Comenzi!$AG:$AG,$X240)*$I240/$E240)</f>
        <v/>
      </c>
      <c r="K240" s="33" t="str">
        <f t="shared" si="40"/>
        <v/>
      </c>
      <c r="L240" s="33" t="str">
        <f>IF($Y240&lt;&gt;1,"",$K240*$AD240+INDEX(Comenzi!$AJ:$AJ,$X240)*$I240/$E240)</f>
        <v/>
      </c>
      <c r="M240" s="33" t="str">
        <f t="shared" si="41"/>
        <v/>
      </c>
      <c r="N240" s="33" t="str">
        <f t="shared" si="42"/>
        <v/>
      </c>
      <c r="O240" s="33" t="str">
        <f>IF($Y240&lt;&gt;1,"",(INDEX(Comenzi!$AK:$AK,$X240)+N(INDEX(Comenzi!$T:$T,$X240)))*$I240/$E240)</f>
        <v/>
      </c>
      <c r="P240" s="35" t="str">
        <f t="shared" si="43"/>
        <v/>
      </c>
      <c r="Q240" s="36" t="str">
        <f t="shared" si="44"/>
        <v/>
      </c>
      <c r="R240" s="37" t="str">
        <f t="shared" si="45"/>
        <v/>
      </c>
      <c r="S240" s="38" t="str">
        <f t="shared" si="46"/>
        <v/>
      </c>
      <c r="T240" s="39" t="str">
        <f t="shared" si="47"/>
        <v/>
      </c>
      <c r="U240" s="40" t="str">
        <f t="shared" si="48"/>
        <v/>
      </c>
      <c r="V240" s="33" t="str">
        <f t="shared" si="49"/>
        <v/>
      </c>
      <c r="W240" s="33" t="str">
        <f t="shared" si="50"/>
        <v/>
      </c>
      <c r="X240" s="41" t="str">
        <f>IF($A240="","",IFERROR(MATCH($A240,Comenzi!$A$9:$A$108,0)+8,""))</f>
        <v/>
      </c>
      <c r="Y240" s="41" t="str">
        <f t="shared" si="51"/>
        <v/>
      </c>
      <c r="Z240" s="42" t="str">
        <f>IF($A240="","",IF($A240="?","Lipseste ID-ul comenzii (col. A din PI Furnizor)",IF(NOT(ISNUMBER($X240)),"ID comanda negasit in foaia Comenzi",IF(N($E240)&lt;=0,"Lipseste cantitatea",IF(N($G240)=0,"Pret unitar lipsa",IF($Y240&lt;&gt;1,"Curs sau moneda marfa lipsa (foaia Comenzi)",IF(INDEX(Comenzi!$AT:$AT,$X240)&lt;&gt;"OK","Avertisment comanda: "&amp;INDEX(Comenzi!$AT:$AT,$X240),"OK")))))))</f>
        <v/>
      </c>
      <c r="AA240" s="43" t="str">
        <f>IF(ISNUMBER($X240),INDEX(Comenzi!$H:$H,$X240),"")</f>
        <v/>
      </c>
      <c r="AB240" s="43" t="str">
        <f>IF(ISNUMBER($X240),INDEX(Comenzi!$I:$I,$X240),"")</f>
        <v/>
      </c>
      <c r="AC240" s="44" t="str">
        <f>IF(ISNUMBER($X240),IF(INDEX(Comenzi!$V:$V,$X240)="",Comenzi!$D$3,INDEX(Comenzi!$V:$V,$X240)),"")</f>
        <v/>
      </c>
      <c r="AD240" s="44" t="str">
        <f>IF(ISNUMBER($X240),IF(INDEX(Comenzi!$U:$U,$X240)="",Comenzi!$D$4,INDEX(Comenzi!$U:$U,$X240)),"")</f>
        <v/>
      </c>
      <c r="AE240" s="45" t="str">
        <f>IF($Y240&lt;&gt;1,"",IF(INDEX(Comenzi!$AM:$AM,$X240)="Greutate",INDEX('PI Furnizor'!$O:$O,ROW()-3),IF(INDEX(Comenzi!$AM:$AM,$X240)="Volum (CBM)",INDEX('PI Furnizor'!$Q:$Q,ROW()-3),IF(INDEX(Comenzi!$AM:$AM,$X240)="Valoare marfa",INDEX('PI Furnizor'!$N:$N,ROW()-3),$E240))))</f>
        <v/>
      </c>
    </row>
    <row r="241" spans="1:31" x14ac:dyDescent="0.3">
      <c r="A241" s="28" t="str">
        <f>IF(COUNTA(INDEX('PI Furnizor'!$A:$E,ROW()-3,0))=0,"",IF(INDEX('PI Furnizor'!$A:$A,ROW()-3)="","?",INDEX('PI Furnizor'!$A:$A,ROW()-3)))</f>
        <v/>
      </c>
      <c r="B241" s="29" t="str">
        <f>IF(ISNUMBER($X241),INDEX(Comenzi!$B:$B,$X241),"")</f>
        <v/>
      </c>
      <c r="C241" s="28" t="str">
        <f>IF($A241="","",INDEX('PI Furnizor'!$B:$B,ROW()-3)&amp;"")</f>
        <v/>
      </c>
      <c r="D241" s="28" t="str">
        <f>IF($A241="","",INDEX('PI Furnizor'!$C:$C,ROW()-3)&amp;"")</f>
        <v/>
      </c>
      <c r="E241" s="30" t="str">
        <f>IF($A241="","",N(INDEX('PI Furnizor'!$D:$D,ROW()-3)))</f>
        <v/>
      </c>
      <c r="F241" s="31" t="str">
        <f>IF(ISNUMBER($X241),INDEX(Comenzi!$G:$G,$X241),"")</f>
        <v/>
      </c>
      <c r="G241" s="32" t="str">
        <f>IF($A241="","",N(INDEX('PI Furnizor'!$E:$E,ROW()-3)))</f>
        <v/>
      </c>
      <c r="H241" s="33" t="str">
        <f t="shared" si="39"/>
        <v/>
      </c>
      <c r="I241" s="34" t="str">
        <f>IF($Y241&lt;&gt;1,"",IFERROR($AE241/INDEX(Comenzi!$AN:$AN,$X241),0))</f>
        <v/>
      </c>
      <c r="J241" s="33" t="str">
        <f>IF($Y241&lt;&gt;1,"",INDEX(Comenzi!$AG:$AG,$X241)*$I241/$E241)</f>
        <v/>
      </c>
      <c r="K241" s="33" t="str">
        <f t="shared" si="40"/>
        <v/>
      </c>
      <c r="L241" s="33" t="str">
        <f>IF($Y241&lt;&gt;1,"",$K241*$AD241+INDEX(Comenzi!$AJ:$AJ,$X241)*$I241/$E241)</f>
        <v/>
      </c>
      <c r="M241" s="33" t="str">
        <f t="shared" si="41"/>
        <v/>
      </c>
      <c r="N241" s="33" t="str">
        <f t="shared" si="42"/>
        <v/>
      </c>
      <c r="O241" s="33" t="str">
        <f>IF($Y241&lt;&gt;1,"",(INDEX(Comenzi!$AK:$AK,$X241)+N(INDEX(Comenzi!$T:$T,$X241)))*$I241/$E241)</f>
        <v/>
      </c>
      <c r="P241" s="35" t="str">
        <f t="shared" si="43"/>
        <v/>
      </c>
      <c r="Q241" s="36" t="str">
        <f t="shared" si="44"/>
        <v/>
      </c>
      <c r="R241" s="37" t="str">
        <f t="shared" si="45"/>
        <v/>
      </c>
      <c r="S241" s="38" t="str">
        <f t="shared" si="46"/>
        <v/>
      </c>
      <c r="T241" s="39" t="str">
        <f t="shared" si="47"/>
        <v/>
      </c>
      <c r="U241" s="40" t="str">
        <f t="shared" si="48"/>
        <v/>
      </c>
      <c r="V241" s="33" t="str">
        <f t="shared" si="49"/>
        <v/>
      </c>
      <c r="W241" s="33" t="str">
        <f t="shared" si="50"/>
        <v/>
      </c>
      <c r="X241" s="41" t="str">
        <f>IF($A241="","",IFERROR(MATCH($A241,Comenzi!$A$9:$A$108,0)+8,""))</f>
        <v/>
      </c>
      <c r="Y241" s="41" t="str">
        <f t="shared" si="51"/>
        <v/>
      </c>
      <c r="Z241" s="42" t="str">
        <f>IF($A241="","",IF($A241="?","Lipseste ID-ul comenzii (col. A din PI Furnizor)",IF(NOT(ISNUMBER($X241)),"ID comanda negasit in foaia Comenzi",IF(N($E241)&lt;=0,"Lipseste cantitatea",IF(N($G241)=0,"Pret unitar lipsa",IF($Y241&lt;&gt;1,"Curs sau moneda marfa lipsa (foaia Comenzi)",IF(INDEX(Comenzi!$AT:$AT,$X241)&lt;&gt;"OK","Avertisment comanda: "&amp;INDEX(Comenzi!$AT:$AT,$X241),"OK")))))))</f>
        <v/>
      </c>
      <c r="AA241" s="43" t="str">
        <f>IF(ISNUMBER($X241),INDEX(Comenzi!$H:$H,$X241),"")</f>
        <v/>
      </c>
      <c r="AB241" s="43" t="str">
        <f>IF(ISNUMBER($X241),INDEX(Comenzi!$I:$I,$X241),"")</f>
        <v/>
      </c>
      <c r="AC241" s="44" t="str">
        <f>IF(ISNUMBER($X241),IF(INDEX(Comenzi!$V:$V,$X241)="",Comenzi!$D$3,INDEX(Comenzi!$V:$V,$X241)),"")</f>
        <v/>
      </c>
      <c r="AD241" s="44" t="str">
        <f>IF(ISNUMBER($X241),IF(INDEX(Comenzi!$U:$U,$X241)="",Comenzi!$D$4,INDEX(Comenzi!$U:$U,$X241)),"")</f>
        <v/>
      </c>
      <c r="AE241" s="45" t="str">
        <f>IF($Y241&lt;&gt;1,"",IF(INDEX(Comenzi!$AM:$AM,$X241)="Greutate",INDEX('PI Furnizor'!$O:$O,ROW()-3),IF(INDEX(Comenzi!$AM:$AM,$X241)="Volum (CBM)",INDEX('PI Furnizor'!$Q:$Q,ROW()-3),IF(INDEX(Comenzi!$AM:$AM,$X241)="Valoare marfa",INDEX('PI Furnizor'!$N:$N,ROW()-3),$E241))))</f>
        <v/>
      </c>
    </row>
    <row r="242" spans="1:31" x14ac:dyDescent="0.3">
      <c r="A242" s="28" t="str">
        <f>IF(COUNTA(INDEX('PI Furnizor'!$A:$E,ROW()-3,0))=0,"",IF(INDEX('PI Furnizor'!$A:$A,ROW()-3)="","?",INDEX('PI Furnizor'!$A:$A,ROW()-3)))</f>
        <v/>
      </c>
      <c r="B242" s="29" t="str">
        <f>IF(ISNUMBER($X242),INDEX(Comenzi!$B:$B,$X242),"")</f>
        <v/>
      </c>
      <c r="C242" s="28" t="str">
        <f>IF($A242="","",INDEX('PI Furnizor'!$B:$B,ROW()-3)&amp;"")</f>
        <v/>
      </c>
      <c r="D242" s="28" t="str">
        <f>IF($A242="","",INDEX('PI Furnizor'!$C:$C,ROW()-3)&amp;"")</f>
        <v/>
      </c>
      <c r="E242" s="30" t="str">
        <f>IF($A242="","",N(INDEX('PI Furnizor'!$D:$D,ROW()-3)))</f>
        <v/>
      </c>
      <c r="F242" s="31" t="str">
        <f>IF(ISNUMBER($X242),INDEX(Comenzi!$G:$G,$X242),"")</f>
        <v/>
      </c>
      <c r="G242" s="32" t="str">
        <f>IF($A242="","",N(INDEX('PI Furnizor'!$E:$E,ROW()-3)))</f>
        <v/>
      </c>
      <c r="H242" s="33" t="str">
        <f t="shared" si="39"/>
        <v/>
      </c>
      <c r="I242" s="34" t="str">
        <f>IF($Y242&lt;&gt;1,"",IFERROR($AE242/INDEX(Comenzi!$AN:$AN,$X242),0))</f>
        <v/>
      </c>
      <c r="J242" s="33" t="str">
        <f>IF($Y242&lt;&gt;1,"",INDEX(Comenzi!$AG:$AG,$X242)*$I242/$E242)</f>
        <v/>
      </c>
      <c r="K242" s="33" t="str">
        <f t="shared" si="40"/>
        <v/>
      </c>
      <c r="L242" s="33" t="str">
        <f>IF($Y242&lt;&gt;1,"",$K242*$AD242+INDEX(Comenzi!$AJ:$AJ,$X242)*$I242/$E242)</f>
        <v/>
      </c>
      <c r="M242" s="33" t="str">
        <f t="shared" si="41"/>
        <v/>
      </c>
      <c r="N242" s="33" t="str">
        <f t="shared" si="42"/>
        <v/>
      </c>
      <c r="O242" s="33" t="str">
        <f>IF($Y242&lt;&gt;1,"",(INDEX(Comenzi!$AK:$AK,$X242)+N(INDEX(Comenzi!$T:$T,$X242)))*$I242/$E242)</f>
        <v/>
      </c>
      <c r="P242" s="35" t="str">
        <f t="shared" si="43"/>
        <v/>
      </c>
      <c r="Q242" s="36" t="str">
        <f t="shared" si="44"/>
        <v/>
      </c>
      <c r="R242" s="37" t="str">
        <f t="shared" si="45"/>
        <v/>
      </c>
      <c r="S242" s="38" t="str">
        <f t="shared" si="46"/>
        <v/>
      </c>
      <c r="T242" s="39" t="str">
        <f t="shared" si="47"/>
        <v/>
      </c>
      <c r="U242" s="40" t="str">
        <f t="shared" si="48"/>
        <v/>
      </c>
      <c r="V242" s="33" t="str">
        <f t="shared" si="49"/>
        <v/>
      </c>
      <c r="W242" s="33" t="str">
        <f t="shared" si="50"/>
        <v/>
      </c>
      <c r="X242" s="41" t="str">
        <f>IF($A242="","",IFERROR(MATCH($A242,Comenzi!$A$9:$A$108,0)+8,""))</f>
        <v/>
      </c>
      <c r="Y242" s="41" t="str">
        <f t="shared" si="51"/>
        <v/>
      </c>
      <c r="Z242" s="42" t="str">
        <f>IF($A242="","",IF($A242="?","Lipseste ID-ul comenzii (col. A din PI Furnizor)",IF(NOT(ISNUMBER($X242)),"ID comanda negasit in foaia Comenzi",IF(N($E242)&lt;=0,"Lipseste cantitatea",IF(N($G242)=0,"Pret unitar lipsa",IF($Y242&lt;&gt;1,"Curs sau moneda marfa lipsa (foaia Comenzi)",IF(INDEX(Comenzi!$AT:$AT,$X242)&lt;&gt;"OK","Avertisment comanda: "&amp;INDEX(Comenzi!$AT:$AT,$X242),"OK")))))))</f>
        <v/>
      </c>
      <c r="AA242" s="43" t="str">
        <f>IF(ISNUMBER($X242),INDEX(Comenzi!$H:$H,$X242),"")</f>
        <v/>
      </c>
      <c r="AB242" s="43" t="str">
        <f>IF(ISNUMBER($X242),INDEX(Comenzi!$I:$I,$X242),"")</f>
        <v/>
      </c>
      <c r="AC242" s="44" t="str">
        <f>IF(ISNUMBER($X242),IF(INDEX(Comenzi!$V:$V,$X242)="",Comenzi!$D$3,INDEX(Comenzi!$V:$V,$X242)),"")</f>
        <v/>
      </c>
      <c r="AD242" s="44" t="str">
        <f>IF(ISNUMBER($X242),IF(INDEX(Comenzi!$U:$U,$X242)="",Comenzi!$D$4,INDEX(Comenzi!$U:$U,$X242)),"")</f>
        <v/>
      </c>
      <c r="AE242" s="45" t="str">
        <f>IF($Y242&lt;&gt;1,"",IF(INDEX(Comenzi!$AM:$AM,$X242)="Greutate",INDEX('PI Furnizor'!$O:$O,ROW()-3),IF(INDEX(Comenzi!$AM:$AM,$X242)="Volum (CBM)",INDEX('PI Furnizor'!$Q:$Q,ROW()-3),IF(INDEX(Comenzi!$AM:$AM,$X242)="Valoare marfa",INDEX('PI Furnizor'!$N:$N,ROW()-3),$E242))))</f>
        <v/>
      </c>
    </row>
    <row r="243" spans="1:31" x14ac:dyDescent="0.3">
      <c r="A243" s="28" t="str">
        <f>IF(COUNTA(INDEX('PI Furnizor'!$A:$E,ROW()-3,0))=0,"",IF(INDEX('PI Furnizor'!$A:$A,ROW()-3)="","?",INDEX('PI Furnizor'!$A:$A,ROW()-3)))</f>
        <v/>
      </c>
      <c r="B243" s="29" t="str">
        <f>IF(ISNUMBER($X243),INDEX(Comenzi!$B:$B,$X243),"")</f>
        <v/>
      </c>
      <c r="C243" s="28" t="str">
        <f>IF($A243="","",INDEX('PI Furnizor'!$B:$B,ROW()-3)&amp;"")</f>
        <v/>
      </c>
      <c r="D243" s="28" t="str">
        <f>IF($A243="","",INDEX('PI Furnizor'!$C:$C,ROW()-3)&amp;"")</f>
        <v/>
      </c>
      <c r="E243" s="30" t="str">
        <f>IF($A243="","",N(INDEX('PI Furnizor'!$D:$D,ROW()-3)))</f>
        <v/>
      </c>
      <c r="F243" s="31" t="str">
        <f>IF(ISNUMBER($X243),INDEX(Comenzi!$G:$G,$X243),"")</f>
        <v/>
      </c>
      <c r="G243" s="32" t="str">
        <f>IF($A243="","",N(INDEX('PI Furnizor'!$E:$E,ROW()-3)))</f>
        <v/>
      </c>
      <c r="H243" s="33" t="str">
        <f t="shared" si="39"/>
        <v/>
      </c>
      <c r="I243" s="34" t="str">
        <f>IF($Y243&lt;&gt;1,"",IFERROR($AE243/INDEX(Comenzi!$AN:$AN,$X243),0))</f>
        <v/>
      </c>
      <c r="J243" s="33" t="str">
        <f>IF($Y243&lt;&gt;1,"",INDEX(Comenzi!$AG:$AG,$X243)*$I243/$E243)</f>
        <v/>
      </c>
      <c r="K243" s="33" t="str">
        <f t="shared" si="40"/>
        <v/>
      </c>
      <c r="L243" s="33" t="str">
        <f>IF($Y243&lt;&gt;1,"",$K243*$AD243+INDEX(Comenzi!$AJ:$AJ,$X243)*$I243/$E243)</f>
        <v/>
      </c>
      <c r="M243" s="33" t="str">
        <f t="shared" si="41"/>
        <v/>
      </c>
      <c r="N243" s="33" t="str">
        <f t="shared" si="42"/>
        <v/>
      </c>
      <c r="O243" s="33" t="str">
        <f>IF($Y243&lt;&gt;1,"",(INDEX(Comenzi!$AK:$AK,$X243)+N(INDEX(Comenzi!$T:$T,$X243)))*$I243/$E243)</f>
        <v/>
      </c>
      <c r="P243" s="35" t="str">
        <f t="shared" si="43"/>
        <v/>
      </c>
      <c r="Q243" s="36" t="str">
        <f t="shared" si="44"/>
        <v/>
      </c>
      <c r="R243" s="37" t="str">
        <f t="shared" si="45"/>
        <v/>
      </c>
      <c r="S243" s="38" t="str">
        <f t="shared" si="46"/>
        <v/>
      </c>
      <c r="T243" s="39" t="str">
        <f t="shared" si="47"/>
        <v/>
      </c>
      <c r="U243" s="40" t="str">
        <f t="shared" si="48"/>
        <v/>
      </c>
      <c r="V243" s="33" t="str">
        <f t="shared" si="49"/>
        <v/>
      </c>
      <c r="W243" s="33" t="str">
        <f t="shared" si="50"/>
        <v/>
      </c>
      <c r="X243" s="41" t="str">
        <f>IF($A243="","",IFERROR(MATCH($A243,Comenzi!$A$9:$A$108,0)+8,""))</f>
        <v/>
      </c>
      <c r="Y243" s="41" t="str">
        <f t="shared" si="51"/>
        <v/>
      </c>
      <c r="Z243" s="42" t="str">
        <f>IF($A243="","",IF($A243="?","Lipseste ID-ul comenzii (col. A din PI Furnizor)",IF(NOT(ISNUMBER($X243)),"ID comanda negasit in foaia Comenzi",IF(N($E243)&lt;=0,"Lipseste cantitatea",IF(N($G243)=0,"Pret unitar lipsa",IF($Y243&lt;&gt;1,"Curs sau moneda marfa lipsa (foaia Comenzi)",IF(INDEX(Comenzi!$AT:$AT,$X243)&lt;&gt;"OK","Avertisment comanda: "&amp;INDEX(Comenzi!$AT:$AT,$X243),"OK")))))))</f>
        <v/>
      </c>
      <c r="AA243" s="43" t="str">
        <f>IF(ISNUMBER($X243),INDEX(Comenzi!$H:$H,$X243),"")</f>
        <v/>
      </c>
      <c r="AB243" s="43" t="str">
        <f>IF(ISNUMBER($X243),INDEX(Comenzi!$I:$I,$X243),"")</f>
        <v/>
      </c>
      <c r="AC243" s="44" t="str">
        <f>IF(ISNUMBER($X243),IF(INDEX(Comenzi!$V:$V,$X243)="",Comenzi!$D$3,INDEX(Comenzi!$V:$V,$X243)),"")</f>
        <v/>
      </c>
      <c r="AD243" s="44" t="str">
        <f>IF(ISNUMBER($X243),IF(INDEX(Comenzi!$U:$U,$X243)="",Comenzi!$D$4,INDEX(Comenzi!$U:$U,$X243)),"")</f>
        <v/>
      </c>
      <c r="AE243" s="45" t="str">
        <f>IF($Y243&lt;&gt;1,"",IF(INDEX(Comenzi!$AM:$AM,$X243)="Greutate",INDEX('PI Furnizor'!$O:$O,ROW()-3),IF(INDEX(Comenzi!$AM:$AM,$X243)="Volum (CBM)",INDEX('PI Furnizor'!$Q:$Q,ROW()-3),IF(INDEX(Comenzi!$AM:$AM,$X243)="Valoare marfa",INDEX('PI Furnizor'!$N:$N,ROW()-3),$E243))))</f>
        <v/>
      </c>
    </row>
    <row r="244" spans="1:31" x14ac:dyDescent="0.3">
      <c r="A244" s="28" t="str">
        <f>IF(COUNTA(INDEX('PI Furnizor'!$A:$E,ROW()-3,0))=0,"",IF(INDEX('PI Furnizor'!$A:$A,ROW()-3)="","?",INDEX('PI Furnizor'!$A:$A,ROW()-3)))</f>
        <v/>
      </c>
      <c r="B244" s="29" t="str">
        <f>IF(ISNUMBER($X244),INDEX(Comenzi!$B:$B,$X244),"")</f>
        <v/>
      </c>
      <c r="C244" s="28" t="str">
        <f>IF($A244="","",INDEX('PI Furnizor'!$B:$B,ROW()-3)&amp;"")</f>
        <v/>
      </c>
      <c r="D244" s="28" t="str">
        <f>IF($A244="","",INDEX('PI Furnizor'!$C:$C,ROW()-3)&amp;"")</f>
        <v/>
      </c>
      <c r="E244" s="30" t="str">
        <f>IF($A244="","",N(INDEX('PI Furnizor'!$D:$D,ROW()-3)))</f>
        <v/>
      </c>
      <c r="F244" s="31" t="str">
        <f>IF(ISNUMBER($X244),INDEX(Comenzi!$G:$G,$X244),"")</f>
        <v/>
      </c>
      <c r="G244" s="32" t="str">
        <f>IF($A244="","",N(INDEX('PI Furnizor'!$E:$E,ROW()-3)))</f>
        <v/>
      </c>
      <c r="H244" s="33" t="str">
        <f t="shared" si="39"/>
        <v/>
      </c>
      <c r="I244" s="34" t="str">
        <f>IF($Y244&lt;&gt;1,"",IFERROR($AE244/INDEX(Comenzi!$AN:$AN,$X244),0))</f>
        <v/>
      </c>
      <c r="J244" s="33" t="str">
        <f>IF($Y244&lt;&gt;1,"",INDEX(Comenzi!$AG:$AG,$X244)*$I244/$E244)</f>
        <v/>
      </c>
      <c r="K244" s="33" t="str">
        <f t="shared" si="40"/>
        <v/>
      </c>
      <c r="L244" s="33" t="str">
        <f>IF($Y244&lt;&gt;1,"",$K244*$AD244+INDEX(Comenzi!$AJ:$AJ,$X244)*$I244/$E244)</f>
        <v/>
      </c>
      <c r="M244" s="33" t="str">
        <f t="shared" si="41"/>
        <v/>
      </c>
      <c r="N244" s="33" t="str">
        <f t="shared" si="42"/>
        <v/>
      </c>
      <c r="O244" s="33" t="str">
        <f>IF($Y244&lt;&gt;1,"",(INDEX(Comenzi!$AK:$AK,$X244)+N(INDEX(Comenzi!$T:$T,$X244)))*$I244/$E244)</f>
        <v/>
      </c>
      <c r="P244" s="35" t="str">
        <f t="shared" si="43"/>
        <v/>
      </c>
      <c r="Q244" s="36" t="str">
        <f t="shared" si="44"/>
        <v/>
      </c>
      <c r="R244" s="37" t="str">
        <f t="shared" si="45"/>
        <v/>
      </c>
      <c r="S244" s="38" t="str">
        <f t="shared" si="46"/>
        <v/>
      </c>
      <c r="T244" s="39" t="str">
        <f t="shared" si="47"/>
        <v/>
      </c>
      <c r="U244" s="40" t="str">
        <f t="shared" si="48"/>
        <v/>
      </c>
      <c r="V244" s="33" t="str">
        <f t="shared" si="49"/>
        <v/>
      </c>
      <c r="W244" s="33" t="str">
        <f t="shared" si="50"/>
        <v/>
      </c>
      <c r="X244" s="41" t="str">
        <f>IF($A244="","",IFERROR(MATCH($A244,Comenzi!$A$9:$A$108,0)+8,""))</f>
        <v/>
      </c>
      <c r="Y244" s="41" t="str">
        <f t="shared" si="51"/>
        <v/>
      </c>
      <c r="Z244" s="42" t="str">
        <f>IF($A244="","",IF($A244="?","Lipseste ID-ul comenzii (col. A din PI Furnizor)",IF(NOT(ISNUMBER($X244)),"ID comanda negasit in foaia Comenzi",IF(N($E244)&lt;=0,"Lipseste cantitatea",IF(N($G244)=0,"Pret unitar lipsa",IF($Y244&lt;&gt;1,"Curs sau moneda marfa lipsa (foaia Comenzi)",IF(INDEX(Comenzi!$AT:$AT,$X244)&lt;&gt;"OK","Avertisment comanda: "&amp;INDEX(Comenzi!$AT:$AT,$X244),"OK")))))))</f>
        <v/>
      </c>
      <c r="AA244" s="43" t="str">
        <f>IF(ISNUMBER($X244),INDEX(Comenzi!$H:$H,$X244),"")</f>
        <v/>
      </c>
      <c r="AB244" s="43" t="str">
        <f>IF(ISNUMBER($X244),INDEX(Comenzi!$I:$I,$X244),"")</f>
        <v/>
      </c>
      <c r="AC244" s="44" t="str">
        <f>IF(ISNUMBER($X244),IF(INDEX(Comenzi!$V:$V,$X244)="",Comenzi!$D$3,INDEX(Comenzi!$V:$V,$X244)),"")</f>
        <v/>
      </c>
      <c r="AD244" s="44" t="str">
        <f>IF(ISNUMBER($X244),IF(INDEX(Comenzi!$U:$U,$X244)="",Comenzi!$D$4,INDEX(Comenzi!$U:$U,$X244)),"")</f>
        <v/>
      </c>
      <c r="AE244" s="45" t="str">
        <f>IF($Y244&lt;&gt;1,"",IF(INDEX(Comenzi!$AM:$AM,$X244)="Greutate",INDEX('PI Furnizor'!$O:$O,ROW()-3),IF(INDEX(Comenzi!$AM:$AM,$X244)="Volum (CBM)",INDEX('PI Furnizor'!$Q:$Q,ROW()-3),IF(INDEX(Comenzi!$AM:$AM,$X244)="Valoare marfa",INDEX('PI Furnizor'!$N:$N,ROW()-3),$E244))))</f>
        <v/>
      </c>
    </row>
    <row r="245" spans="1:31" x14ac:dyDescent="0.3">
      <c r="A245" s="28" t="str">
        <f>IF(COUNTA(INDEX('PI Furnizor'!$A:$E,ROW()-3,0))=0,"",IF(INDEX('PI Furnizor'!$A:$A,ROW()-3)="","?",INDEX('PI Furnizor'!$A:$A,ROW()-3)))</f>
        <v/>
      </c>
      <c r="B245" s="29" t="str">
        <f>IF(ISNUMBER($X245),INDEX(Comenzi!$B:$B,$X245),"")</f>
        <v/>
      </c>
      <c r="C245" s="28" t="str">
        <f>IF($A245="","",INDEX('PI Furnizor'!$B:$B,ROW()-3)&amp;"")</f>
        <v/>
      </c>
      <c r="D245" s="28" t="str">
        <f>IF($A245="","",INDEX('PI Furnizor'!$C:$C,ROW()-3)&amp;"")</f>
        <v/>
      </c>
      <c r="E245" s="30" t="str">
        <f>IF($A245="","",N(INDEX('PI Furnizor'!$D:$D,ROW()-3)))</f>
        <v/>
      </c>
      <c r="F245" s="31" t="str">
        <f>IF(ISNUMBER($X245),INDEX(Comenzi!$G:$G,$X245),"")</f>
        <v/>
      </c>
      <c r="G245" s="32" t="str">
        <f>IF($A245="","",N(INDEX('PI Furnizor'!$E:$E,ROW()-3)))</f>
        <v/>
      </c>
      <c r="H245" s="33" t="str">
        <f t="shared" si="39"/>
        <v/>
      </c>
      <c r="I245" s="34" t="str">
        <f>IF($Y245&lt;&gt;1,"",IFERROR($AE245/INDEX(Comenzi!$AN:$AN,$X245),0))</f>
        <v/>
      </c>
      <c r="J245" s="33" t="str">
        <f>IF($Y245&lt;&gt;1,"",INDEX(Comenzi!$AG:$AG,$X245)*$I245/$E245)</f>
        <v/>
      </c>
      <c r="K245" s="33" t="str">
        <f t="shared" si="40"/>
        <v/>
      </c>
      <c r="L245" s="33" t="str">
        <f>IF($Y245&lt;&gt;1,"",$K245*$AD245+INDEX(Comenzi!$AJ:$AJ,$X245)*$I245/$E245)</f>
        <v/>
      </c>
      <c r="M245" s="33" t="str">
        <f t="shared" si="41"/>
        <v/>
      </c>
      <c r="N245" s="33" t="str">
        <f t="shared" si="42"/>
        <v/>
      </c>
      <c r="O245" s="33" t="str">
        <f>IF($Y245&lt;&gt;1,"",(INDEX(Comenzi!$AK:$AK,$X245)+N(INDEX(Comenzi!$T:$T,$X245)))*$I245/$E245)</f>
        <v/>
      </c>
      <c r="P245" s="35" t="str">
        <f t="shared" si="43"/>
        <v/>
      </c>
      <c r="Q245" s="36" t="str">
        <f t="shared" si="44"/>
        <v/>
      </c>
      <c r="R245" s="37" t="str">
        <f t="shared" si="45"/>
        <v/>
      </c>
      <c r="S245" s="38" t="str">
        <f t="shared" si="46"/>
        <v/>
      </c>
      <c r="T245" s="39" t="str">
        <f t="shared" si="47"/>
        <v/>
      </c>
      <c r="U245" s="40" t="str">
        <f t="shared" si="48"/>
        <v/>
      </c>
      <c r="V245" s="33" t="str">
        <f t="shared" si="49"/>
        <v/>
      </c>
      <c r="W245" s="33" t="str">
        <f t="shared" si="50"/>
        <v/>
      </c>
      <c r="X245" s="41" t="str">
        <f>IF($A245="","",IFERROR(MATCH($A245,Comenzi!$A$9:$A$108,0)+8,""))</f>
        <v/>
      </c>
      <c r="Y245" s="41" t="str">
        <f t="shared" si="51"/>
        <v/>
      </c>
      <c r="Z245" s="42" t="str">
        <f>IF($A245="","",IF($A245="?","Lipseste ID-ul comenzii (col. A din PI Furnizor)",IF(NOT(ISNUMBER($X245)),"ID comanda negasit in foaia Comenzi",IF(N($E245)&lt;=0,"Lipseste cantitatea",IF(N($G245)=0,"Pret unitar lipsa",IF($Y245&lt;&gt;1,"Curs sau moneda marfa lipsa (foaia Comenzi)",IF(INDEX(Comenzi!$AT:$AT,$X245)&lt;&gt;"OK","Avertisment comanda: "&amp;INDEX(Comenzi!$AT:$AT,$X245),"OK")))))))</f>
        <v/>
      </c>
      <c r="AA245" s="43" t="str">
        <f>IF(ISNUMBER($X245),INDEX(Comenzi!$H:$H,$X245),"")</f>
        <v/>
      </c>
      <c r="AB245" s="43" t="str">
        <f>IF(ISNUMBER($X245),INDEX(Comenzi!$I:$I,$X245),"")</f>
        <v/>
      </c>
      <c r="AC245" s="44" t="str">
        <f>IF(ISNUMBER($X245),IF(INDEX(Comenzi!$V:$V,$X245)="",Comenzi!$D$3,INDEX(Comenzi!$V:$V,$X245)),"")</f>
        <v/>
      </c>
      <c r="AD245" s="44" t="str">
        <f>IF(ISNUMBER($X245),IF(INDEX(Comenzi!$U:$U,$X245)="",Comenzi!$D$4,INDEX(Comenzi!$U:$U,$X245)),"")</f>
        <v/>
      </c>
      <c r="AE245" s="45" t="str">
        <f>IF($Y245&lt;&gt;1,"",IF(INDEX(Comenzi!$AM:$AM,$X245)="Greutate",INDEX('PI Furnizor'!$O:$O,ROW()-3),IF(INDEX(Comenzi!$AM:$AM,$X245)="Volum (CBM)",INDEX('PI Furnizor'!$Q:$Q,ROW()-3),IF(INDEX(Comenzi!$AM:$AM,$X245)="Valoare marfa",INDEX('PI Furnizor'!$N:$N,ROW()-3),$E245))))</f>
        <v/>
      </c>
    </row>
    <row r="246" spans="1:31" x14ac:dyDescent="0.3">
      <c r="A246" s="28" t="str">
        <f>IF(COUNTA(INDEX('PI Furnizor'!$A:$E,ROW()-3,0))=0,"",IF(INDEX('PI Furnizor'!$A:$A,ROW()-3)="","?",INDEX('PI Furnizor'!$A:$A,ROW()-3)))</f>
        <v/>
      </c>
      <c r="B246" s="29" t="str">
        <f>IF(ISNUMBER($X246),INDEX(Comenzi!$B:$B,$X246),"")</f>
        <v/>
      </c>
      <c r="C246" s="28" t="str">
        <f>IF($A246="","",INDEX('PI Furnizor'!$B:$B,ROW()-3)&amp;"")</f>
        <v/>
      </c>
      <c r="D246" s="28" t="str">
        <f>IF($A246="","",INDEX('PI Furnizor'!$C:$C,ROW()-3)&amp;"")</f>
        <v/>
      </c>
      <c r="E246" s="30" t="str">
        <f>IF($A246="","",N(INDEX('PI Furnizor'!$D:$D,ROW()-3)))</f>
        <v/>
      </c>
      <c r="F246" s="31" t="str">
        <f>IF(ISNUMBER($X246),INDEX(Comenzi!$G:$G,$X246),"")</f>
        <v/>
      </c>
      <c r="G246" s="32" t="str">
        <f>IF($A246="","",N(INDEX('PI Furnizor'!$E:$E,ROW()-3)))</f>
        <v/>
      </c>
      <c r="H246" s="33" t="str">
        <f t="shared" si="39"/>
        <v/>
      </c>
      <c r="I246" s="34" t="str">
        <f>IF($Y246&lt;&gt;1,"",IFERROR($AE246/INDEX(Comenzi!$AN:$AN,$X246),0))</f>
        <v/>
      </c>
      <c r="J246" s="33" t="str">
        <f>IF($Y246&lt;&gt;1,"",INDEX(Comenzi!$AG:$AG,$X246)*$I246/$E246)</f>
        <v/>
      </c>
      <c r="K246" s="33" t="str">
        <f t="shared" si="40"/>
        <v/>
      </c>
      <c r="L246" s="33" t="str">
        <f>IF($Y246&lt;&gt;1,"",$K246*$AD246+INDEX(Comenzi!$AJ:$AJ,$X246)*$I246/$E246)</f>
        <v/>
      </c>
      <c r="M246" s="33" t="str">
        <f t="shared" si="41"/>
        <v/>
      </c>
      <c r="N246" s="33" t="str">
        <f t="shared" si="42"/>
        <v/>
      </c>
      <c r="O246" s="33" t="str">
        <f>IF($Y246&lt;&gt;1,"",(INDEX(Comenzi!$AK:$AK,$X246)+N(INDEX(Comenzi!$T:$T,$X246)))*$I246/$E246)</f>
        <v/>
      </c>
      <c r="P246" s="35" t="str">
        <f t="shared" si="43"/>
        <v/>
      </c>
      <c r="Q246" s="36" t="str">
        <f t="shared" si="44"/>
        <v/>
      </c>
      <c r="R246" s="37" t="str">
        <f t="shared" si="45"/>
        <v/>
      </c>
      <c r="S246" s="38" t="str">
        <f t="shared" si="46"/>
        <v/>
      </c>
      <c r="T246" s="39" t="str">
        <f t="shared" si="47"/>
        <v/>
      </c>
      <c r="U246" s="40" t="str">
        <f t="shared" si="48"/>
        <v/>
      </c>
      <c r="V246" s="33" t="str">
        <f t="shared" si="49"/>
        <v/>
      </c>
      <c r="W246" s="33" t="str">
        <f t="shared" si="50"/>
        <v/>
      </c>
      <c r="X246" s="41" t="str">
        <f>IF($A246="","",IFERROR(MATCH($A246,Comenzi!$A$9:$A$108,0)+8,""))</f>
        <v/>
      </c>
      <c r="Y246" s="41" t="str">
        <f t="shared" si="51"/>
        <v/>
      </c>
      <c r="Z246" s="42" t="str">
        <f>IF($A246="","",IF($A246="?","Lipseste ID-ul comenzii (col. A din PI Furnizor)",IF(NOT(ISNUMBER($X246)),"ID comanda negasit in foaia Comenzi",IF(N($E246)&lt;=0,"Lipseste cantitatea",IF(N($G246)=0,"Pret unitar lipsa",IF($Y246&lt;&gt;1,"Curs sau moneda marfa lipsa (foaia Comenzi)",IF(INDEX(Comenzi!$AT:$AT,$X246)&lt;&gt;"OK","Avertisment comanda: "&amp;INDEX(Comenzi!$AT:$AT,$X246),"OK")))))))</f>
        <v/>
      </c>
      <c r="AA246" s="43" t="str">
        <f>IF(ISNUMBER($X246),INDEX(Comenzi!$H:$H,$X246),"")</f>
        <v/>
      </c>
      <c r="AB246" s="43" t="str">
        <f>IF(ISNUMBER($X246),INDEX(Comenzi!$I:$I,$X246),"")</f>
        <v/>
      </c>
      <c r="AC246" s="44" t="str">
        <f>IF(ISNUMBER($X246),IF(INDEX(Comenzi!$V:$V,$X246)="",Comenzi!$D$3,INDEX(Comenzi!$V:$V,$X246)),"")</f>
        <v/>
      </c>
      <c r="AD246" s="44" t="str">
        <f>IF(ISNUMBER($X246),IF(INDEX(Comenzi!$U:$U,$X246)="",Comenzi!$D$4,INDEX(Comenzi!$U:$U,$X246)),"")</f>
        <v/>
      </c>
      <c r="AE246" s="45" t="str">
        <f>IF($Y246&lt;&gt;1,"",IF(INDEX(Comenzi!$AM:$AM,$X246)="Greutate",INDEX('PI Furnizor'!$O:$O,ROW()-3),IF(INDEX(Comenzi!$AM:$AM,$X246)="Volum (CBM)",INDEX('PI Furnizor'!$Q:$Q,ROW()-3),IF(INDEX(Comenzi!$AM:$AM,$X246)="Valoare marfa",INDEX('PI Furnizor'!$N:$N,ROW()-3),$E246))))</f>
        <v/>
      </c>
    </row>
    <row r="247" spans="1:31" x14ac:dyDescent="0.3">
      <c r="A247" s="28" t="str">
        <f>IF(COUNTA(INDEX('PI Furnizor'!$A:$E,ROW()-3,0))=0,"",IF(INDEX('PI Furnizor'!$A:$A,ROW()-3)="","?",INDEX('PI Furnizor'!$A:$A,ROW()-3)))</f>
        <v/>
      </c>
      <c r="B247" s="29" t="str">
        <f>IF(ISNUMBER($X247),INDEX(Comenzi!$B:$B,$X247),"")</f>
        <v/>
      </c>
      <c r="C247" s="28" t="str">
        <f>IF($A247="","",INDEX('PI Furnizor'!$B:$B,ROW()-3)&amp;"")</f>
        <v/>
      </c>
      <c r="D247" s="28" t="str">
        <f>IF($A247="","",INDEX('PI Furnizor'!$C:$C,ROW()-3)&amp;"")</f>
        <v/>
      </c>
      <c r="E247" s="30" t="str">
        <f>IF($A247="","",N(INDEX('PI Furnizor'!$D:$D,ROW()-3)))</f>
        <v/>
      </c>
      <c r="F247" s="31" t="str">
        <f>IF(ISNUMBER($X247),INDEX(Comenzi!$G:$G,$X247),"")</f>
        <v/>
      </c>
      <c r="G247" s="32" t="str">
        <f>IF($A247="","",N(INDEX('PI Furnizor'!$E:$E,ROW()-3)))</f>
        <v/>
      </c>
      <c r="H247" s="33" t="str">
        <f t="shared" si="39"/>
        <v/>
      </c>
      <c r="I247" s="34" t="str">
        <f>IF($Y247&lt;&gt;1,"",IFERROR($AE247/INDEX(Comenzi!$AN:$AN,$X247),0))</f>
        <v/>
      </c>
      <c r="J247" s="33" t="str">
        <f>IF($Y247&lt;&gt;1,"",INDEX(Comenzi!$AG:$AG,$X247)*$I247/$E247)</f>
        <v/>
      </c>
      <c r="K247" s="33" t="str">
        <f t="shared" si="40"/>
        <v/>
      </c>
      <c r="L247" s="33" t="str">
        <f>IF($Y247&lt;&gt;1,"",$K247*$AD247+INDEX(Comenzi!$AJ:$AJ,$X247)*$I247/$E247)</f>
        <v/>
      </c>
      <c r="M247" s="33" t="str">
        <f t="shared" si="41"/>
        <v/>
      </c>
      <c r="N247" s="33" t="str">
        <f t="shared" si="42"/>
        <v/>
      </c>
      <c r="O247" s="33" t="str">
        <f>IF($Y247&lt;&gt;1,"",(INDEX(Comenzi!$AK:$AK,$X247)+N(INDEX(Comenzi!$T:$T,$X247)))*$I247/$E247)</f>
        <v/>
      </c>
      <c r="P247" s="35" t="str">
        <f t="shared" si="43"/>
        <v/>
      </c>
      <c r="Q247" s="36" t="str">
        <f t="shared" si="44"/>
        <v/>
      </c>
      <c r="R247" s="37" t="str">
        <f t="shared" si="45"/>
        <v/>
      </c>
      <c r="S247" s="38" t="str">
        <f t="shared" si="46"/>
        <v/>
      </c>
      <c r="T247" s="39" t="str">
        <f t="shared" si="47"/>
        <v/>
      </c>
      <c r="U247" s="40" t="str">
        <f t="shared" si="48"/>
        <v/>
      </c>
      <c r="V247" s="33" t="str">
        <f t="shared" si="49"/>
        <v/>
      </c>
      <c r="W247" s="33" t="str">
        <f t="shared" si="50"/>
        <v/>
      </c>
      <c r="X247" s="41" t="str">
        <f>IF($A247="","",IFERROR(MATCH($A247,Comenzi!$A$9:$A$108,0)+8,""))</f>
        <v/>
      </c>
      <c r="Y247" s="41" t="str">
        <f t="shared" si="51"/>
        <v/>
      </c>
      <c r="Z247" s="42" t="str">
        <f>IF($A247="","",IF($A247="?","Lipseste ID-ul comenzii (col. A din PI Furnizor)",IF(NOT(ISNUMBER($X247)),"ID comanda negasit in foaia Comenzi",IF(N($E247)&lt;=0,"Lipseste cantitatea",IF(N($G247)=0,"Pret unitar lipsa",IF($Y247&lt;&gt;1,"Curs sau moneda marfa lipsa (foaia Comenzi)",IF(INDEX(Comenzi!$AT:$AT,$X247)&lt;&gt;"OK","Avertisment comanda: "&amp;INDEX(Comenzi!$AT:$AT,$X247),"OK")))))))</f>
        <v/>
      </c>
      <c r="AA247" s="43" t="str">
        <f>IF(ISNUMBER($X247),INDEX(Comenzi!$H:$H,$X247),"")</f>
        <v/>
      </c>
      <c r="AB247" s="43" t="str">
        <f>IF(ISNUMBER($X247),INDEX(Comenzi!$I:$I,$X247),"")</f>
        <v/>
      </c>
      <c r="AC247" s="44" t="str">
        <f>IF(ISNUMBER($X247),IF(INDEX(Comenzi!$V:$V,$X247)="",Comenzi!$D$3,INDEX(Comenzi!$V:$V,$X247)),"")</f>
        <v/>
      </c>
      <c r="AD247" s="44" t="str">
        <f>IF(ISNUMBER($X247),IF(INDEX(Comenzi!$U:$U,$X247)="",Comenzi!$D$4,INDEX(Comenzi!$U:$U,$X247)),"")</f>
        <v/>
      </c>
      <c r="AE247" s="45" t="str">
        <f>IF($Y247&lt;&gt;1,"",IF(INDEX(Comenzi!$AM:$AM,$X247)="Greutate",INDEX('PI Furnizor'!$O:$O,ROW()-3),IF(INDEX(Comenzi!$AM:$AM,$X247)="Volum (CBM)",INDEX('PI Furnizor'!$Q:$Q,ROW()-3),IF(INDEX(Comenzi!$AM:$AM,$X247)="Valoare marfa",INDEX('PI Furnizor'!$N:$N,ROW()-3),$E247))))</f>
        <v/>
      </c>
    </row>
    <row r="248" spans="1:31" x14ac:dyDescent="0.3">
      <c r="A248" s="28" t="str">
        <f>IF(COUNTA(INDEX('PI Furnizor'!$A:$E,ROW()-3,0))=0,"",IF(INDEX('PI Furnizor'!$A:$A,ROW()-3)="","?",INDEX('PI Furnizor'!$A:$A,ROW()-3)))</f>
        <v/>
      </c>
      <c r="B248" s="29" t="str">
        <f>IF(ISNUMBER($X248),INDEX(Comenzi!$B:$B,$X248),"")</f>
        <v/>
      </c>
      <c r="C248" s="28" t="str">
        <f>IF($A248="","",INDEX('PI Furnizor'!$B:$B,ROW()-3)&amp;"")</f>
        <v/>
      </c>
      <c r="D248" s="28" t="str">
        <f>IF($A248="","",INDEX('PI Furnizor'!$C:$C,ROW()-3)&amp;"")</f>
        <v/>
      </c>
      <c r="E248" s="30" t="str">
        <f>IF($A248="","",N(INDEX('PI Furnizor'!$D:$D,ROW()-3)))</f>
        <v/>
      </c>
      <c r="F248" s="31" t="str">
        <f>IF(ISNUMBER($X248),INDEX(Comenzi!$G:$G,$X248),"")</f>
        <v/>
      </c>
      <c r="G248" s="32" t="str">
        <f>IF($A248="","",N(INDEX('PI Furnizor'!$E:$E,ROW()-3)))</f>
        <v/>
      </c>
      <c r="H248" s="33" t="str">
        <f t="shared" si="39"/>
        <v/>
      </c>
      <c r="I248" s="34" t="str">
        <f>IF($Y248&lt;&gt;1,"",IFERROR($AE248/INDEX(Comenzi!$AN:$AN,$X248),0))</f>
        <v/>
      </c>
      <c r="J248" s="33" t="str">
        <f>IF($Y248&lt;&gt;1,"",INDEX(Comenzi!$AG:$AG,$X248)*$I248/$E248)</f>
        <v/>
      </c>
      <c r="K248" s="33" t="str">
        <f t="shared" si="40"/>
        <v/>
      </c>
      <c r="L248" s="33" t="str">
        <f>IF($Y248&lt;&gt;1,"",$K248*$AD248+INDEX(Comenzi!$AJ:$AJ,$X248)*$I248/$E248)</f>
        <v/>
      </c>
      <c r="M248" s="33" t="str">
        <f t="shared" si="41"/>
        <v/>
      </c>
      <c r="N248" s="33" t="str">
        <f t="shared" si="42"/>
        <v/>
      </c>
      <c r="O248" s="33" t="str">
        <f>IF($Y248&lt;&gt;1,"",(INDEX(Comenzi!$AK:$AK,$X248)+N(INDEX(Comenzi!$T:$T,$X248)))*$I248/$E248)</f>
        <v/>
      </c>
      <c r="P248" s="35" t="str">
        <f t="shared" si="43"/>
        <v/>
      </c>
      <c r="Q248" s="36" t="str">
        <f t="shared" si="44"/>
        <v/>
      </c>
      <c r="R248" s="37" t="str">
        <f t="shared" si="45"/>
        <v/>
      </c>
      <c r="S248" s="38" t="str">
        <f t="shared" si="46"/>
        <v/>
      </c>
      <c r="T248" s="39" t="str">
        <f t="shared" si="47"/>
        <v/>
      </c>
      <c r="U248" s="40" t="str">
        <f t="shared" si="48"/>
        <v/>
      </c>
      <c r="V248" s="33" t="str">
        <f t="shared" si="49"/>
        <v/>
      </c>
      <c r="W248" s="33" t="str">
        <f t="shared" si="50"/>
        <v/>
      </c>
      <c r="X248" s="41" t="str">
        <f>IF($A248="","",IFERROR(MATCH($A248,Comenzi!$A$9:$A$108,0)+8,""))</f>
        <v/>
      </c>
      <c r="Y248" s="41" t="str">
        <f t="shared" si="51"/>
        <v/>
      </c>
      <c r="Z248" s="42" t="str">
        <f>IF($A248="","",IF($A248="?","Lipseste ID-ul comenzii (col. A din PI Furnizor)",IF(NOT(ISNUMBER($X248)),"ID comanda negasit in foaia Comenzi",IF(N($E248)&lt;=0,"Lipseste cantitatea",IF(N($G248)=0,"Pret unitar lipsa",IF($Y248&lt;&gt;1,"Curs sau moneda marfa lipsa (foaia Comenzi)",IF(INDEX(Comenzi!$AT:$AT,$X248)&lt;&gt;"OK","Avertisment comanda: "&amp;INDEX(Comenzi!$AT:$AT,$X248),"OK")))))))</f>
        <v/>
      </c>
      <c r="AA248" s="43" t="str">
        <f>IF(ISNUMBER($X248),INDEX(Comenzi!$H:$H,$X248),"")</f>
        <v/>
      </c>
      <c r="AB248" s="43" t="str">
        <f>IF(ISNUMBER($X248),INDEX(Comenzi!$I:$I,$X248),"")</f>
        <v/>
      </c>
      <c r="AC248" s="44" t="str">
        <f>IF(ISNUMBER($X248),IF(INDEX(Comenzi!$V:$V,$X248)="",Comenzi!$D$3,INDEX(Comenzi!$V:$V,$X248)),"")</f>
        <v/>
      </c>
      <c r="AD248" s="44" t="str">
        <f>IF(ISNUMBER($X248),IF(INDEX(Comenzi!$U:$U,$X248)="",Comenzi!$D$4,INDEX(Comenzi!$U:$U,$X248)),"")</f>
        <v/>
      </c>
      <c r="AE248" s="45" t="str">
        <f>IF($Y248&lt;&gt;1,"",IF(INDEX(Comenzi!$AM:$AM,$X248)="Greutate",INDEX('PI Furnizor'!$O:$O,ROW()-3),IF(INDEX(Comenzi!$AM:$AM,$X248)="Volum (CBM)",INDEX('PI Furnizor'!$Q:$Q,ROW()-3),IF(INDEX(Comenzi!$AM:$AM,$X248)="Valoare marfa",INDEX('PI Furnizor'!$N:$N,ROW()-3),$E248))))</f>
        <v/>
      </c>
    </row>
    <row r="249" spans="1:31" x14ac:dyDescent="0.3">
      <c r="A249" s="28" t="str">
        <f>IF(COUNTA(INDEX('PI Furnizor'!$A:$E,ROW()-3,0))=0,"",IF(INDEX('PI Furnizor'!$A:$A,ROW()-3)="","?",INDEX('PI Furnizor'!$A:$A,ROW()-3)))</f>
        <v/>
      </c>
      <c r="B249" s="29" t="str">
        <f>IF(ISNUMBER($X249),INDEX(Comenzi!$B:$B,$X249),"")</f>
        <v/>
      </c>
      <c r="C249" s="28" t="str">
        <f>IF($A249="","",INDEX('PI Furnizor'!$B:$B,ROW()-3)&amp;"")</f>
        <v/>
      </c>
      <c r="D249" s="28" t="str">
        <f>IF($A249="","",INDEX('PI Furnizor'!$C:$C,ROW()-3)&amp;"")</f>
        <v/>
      </c>
      <c r="E249" s="30" t="str">
        <f>IF($A249="","",N(INDEX('PI Furnizor'!$D:$D,ROW()-3)))</f>
        <v/>
      </c>
      <c r="F249" s="31" t="str">
        <f>IF(ISNUMBER($X249),INDEX(Comenzi!$G:$G,$X249),"")</f>
        <v/>
      </c>
      <c r="G249" s="32" t="str">
        <f>IF($A249="","",N(INDEX('PI Furnizor'!$E:$E,ROW()-3)))</f>
        <v/>
      </c>
      <c r="H249" s="33" t="str">
        <f t="shared" si="39"/>
        <v/>
      </c>
      <c r="I249" s="34" t="str">
        <f>IF($Y249&lt;&gt;1,"",IFERROR($AE249/INDEX(Comenzi!$AN:$AN,$X249),0))</f>
        <v/>
      </c>
      <c r="J249" s="33" t="str">
        <f>IF($Y249&lt;&gt;1,"",INDEX(Comenzi!$AG:$AG,$X249)*$I249/$E249)</f>
        <v/>
      </c>
      <c r="K249" s="33" t="str">
        <f t="shared" si="40"/>
        <v/>
      </c>
      <c r="L249" s="33" t="str">
        <f>IF($Y249&lt;&gt;1,"",$K249*$AD249+INDEX(Comenzi!$AJ:$AJ,$X249)*$I249/$E249)</f>
        <v/>
      </c>
      <c r="M249" s="33" t="str">
        <f t="shared" si="41"/>
        <v/>
      </c>
      <c r="N249" s="33" t="str">
        <f t="shared" si="42"/>
        <v/>
      </c>
      <c r="O249" s="33" t="str">
        <f>IF($Y249&lt;&gt;1,"",(INDEX(Comenzi!$AK:$AK,$X249)+N(INDEX(Comenzi!$T:$T,$X249)))*$I249/$E249)</f>
        <v/>
      </c>
      <c r="P249" s="35" t="str">
        <f t="shared" si="43"/>
        <v/>
      </c>
      <c r="Q249" s="36" t="str">
        <f t="shared" si="44"/>
        <v/>
      </c>
      <c r="R249" s="37" t="str">
        <f t="shared" si="45"/>
        <v/>
      </c>
      <c r="S249" s="38" t="str">
        <f t="shared" si="46"/>
        <v/>
      </c>
      <c r="T249" s="39" t="str">
        <f t="shared" si="47"/>
        <v/>
      </c>
      <c r="U249" s="40" t="str">
        <f t="shared" si="48"/>
        <v/>
      </c>
      <c r="V249" s="33" t="str">
        <f t="shared" si="49"/>
        <v/>
      </c>
      <c r="W249" s="33" t="str">
        <f t="shared" si="50"/>
        <v/>
      </c>
      <c r="X249" s="41" t="str">
        <f>IF($A249="","",IFERROR(MATCH($A249,Comenzi!$A$9:$A$108,0)+8,""))</f>
        <v/>
      </c>
      <c r="Y249" s="41" t="str">
        <f t="shared" si="51"/>
        <v/>
      </c>
      <c r="Z249" s="42" t="str">
        <f>IF($A249="","",IF($A249="?","Lipseste ID-ul comenzii (col. A din PI Furnizor)",IF(NOT(ISNUMBER($X249)),"ID comanda negasit in foaia Comenzi",IF(N($E249)&lt;=0,"Lipseste cantitatea",IF(N($G249)=0,"Pret unitar lipsa",IF($Y249&lt;&gt;1,"Curs sau moneda marfa lipsa (foaia Comenzi)",IF(INDEX(Comenzi!$AT:$AT,$X249)&lt;&gt;"OK","Avertisment comanda: "&amp;INDEX(Comenzi!$AT:$AT,$X249),"OK")))))))</f>
        <v/>
      </c>
      <c r="AA249" s="43" t="str">
        <f>IF(ISNUMBER($X249),INDEX(Comenzi!$H:$H,$X249),"")</f>
        <v/>
      </c>
      <c r="AB249" s="43" t="str">
        <f>IF(ISNUMBER($X249),INDEX(Comenzi!$I:$I,$X249),"")</f>
        <v/>
      </c>
      <c r="AC249" s="44" t="str">
        <f>IF(ISNUMBER($X249),IF(INDEX(Comenzi!$V:$V,$X249)="",Comenzi!$D$3,INDEX(Comenzi!$V:$V,$X249)),"")</f>
        <v/>
      </c>
      <c r="AD249" s="44" t="str">
        <f>IF(ISNUMBER($X249),IF(INDEX(Comenzi!$U:$U,$X249)="",Comenzi!$D$4,INDEX(Comenzi!$U:$U,$X249)),"")</f>
        <v/>
      </c>
      <c r="AE249" s="45" t="str">
        <f>IF($Y249&lt;&gt;1,"",IF(INDEX(Comenzi!$AM:$AM,$X249)="Greutate",INDEX('PI Furnizor'!$O:$O,ROW()-3),IF(INDEX(Comenzi!$AM:$AM,$X249)="Volum (CBM)",INDEX('PI Furnizor'!$Q:$Q,ROW()-3),IF(INDEX(Comenzi!$AM:$AM,$X249)="Valoare marfa",INDEX('PI Furnizor'!$N:$N,ROW()-3),$E249))))</f>
        <v/>
      </c>
    </row>
    <row r="250" spans="1:31" x14ac:dyDescent="0.3">
      <c r="A250" s="28" t="str">
        <f>IF(COUNTA(INDEX('PI Furnizor'!$A:$E,ROW()-3,0))=0,"",IF(INDEX('PI Furnizor'!$A:$A,ROW()-3)="","?",INDEX('PI Furnizor'!$A:$A,ROW()-3)))</f>
        <v/>
      </c>
      <c r="B250" s="29" t="str">
        <f>IF(ISNUMBER($X250),INDEX(Comenzi!$B:$B,$X250),"")</f>
        <v/>
      </c>
      <c r="C250" s="28" t="str">
        <f>IF($A250="","",INDEX('PI Furnizor'!$B:$B,ROW()-3)&amp;"")</f>
        <v/>
      </c>
      <c r="D250" s="28" t="str">
        <f>IF($A250="","",INDEX('PI Furnizor'!$C:$C,ROW()-3)&amp;"")</f>
        <v/>
      </c>
      <c r="E250" s="30" t="str">
        <f>IF($A250="","",N(INDEX('PI Furnizor'!$D:$D,ROW()-3)))</f>
        <v/>
      </c>
      <c r="F250" s="31" t="str">
        <f>IF(ISNUMBER($X250),INDEX(Comenzi!$G:$G,$X250),"")</f>
        <v/>
      </c>
      <c r="G250" s="32" t="str">
        <f>IF($A250="","",N(INDEX('PI Furnizor'!$E:$E,ROW()-3)))</f>
        <v/>
      </c>
      <c r="H250" s="33" t="str">
        <f t="shared" si="39"/>
        <v/>
      </c>
      <c r="I250" s="34" t="str">
        <f>IF($Y250&lt;&gt;1,"",IFERROR($AE250/INDEX(Comenzi!$AN:$AN,$X250),0))</f>
        <v/>
      </c>
      <c r="J250" s="33" t="str">
        <f>IF($Y250&lt;&gt;1,"",INDEX(Comenzi!$AG:$AG,$X250)*$I250/$E250)</f>
        <v/>
      </c>
      <c r="K250" s="33" t="str">
        <f t="shared" si="40"/>
        <v/>
      </c>
      <c r="L250" s="33" t="str">
        <f>IF($Y250&lt;&gt;1,"",$K250*$AD250+INDEX(Comenzi!$AJ:$AJ,$X250)*$I250/$E250)</f>
        <v/>
      </c>
      <c r="M250" s="33" t="str">
        <f t="shared" si="41"/>
        <v/>
      </c>
      <c r="N250" s="33" t="str">
        <f t="shared" si="42"/>
        <v/>
      </c>
      <c r="O250" s="33" t="str">
        <f>IF($Y250&lt;&gt;1,"",(INDEX(Comenzi!$AK:$AK,$X250)+N(INDEX(Comenzi!$T:$T,$X250)))*$I250/$E250)</f>
        <v/>
      </c>
      <c r="P250" s="35" t="str">
        <f t="shared" si="43"/>
        <v/>
      </c>
      <c r="Q250" s="36" t="str">
        <f t="shared" si="44"/>
        <v/>
      </c>
      <c r="R250" s="37" t="str">
        <f t="shared" si="45"/>
        <v/>
      </c>
      <c r="S250" s="38" t="str">
        <f t="shared" si="46"/>
        <v/>
      </c>
      <c r="T250" s="39" t="str">
        <f t="shared" si="47"/>
        <v/>
      </c>
      <c r="U250" s="40" t="str">
        <f t="shared" si="48"/>
        <v/>
      </c>
      <c r="V250" s="33" t="str">
        <f t="shared" si="49"/>
        <v/>
      </c>
      <c r="W250" s="33" t="str">
        <f t="shared" si="50"/>
        <v/>
      </c>
      <c r="X250" s="41" t="str">
        <f>IF($A250="","",IFERROR(MATCH($A250,Comenzi!$A$9:$A$108,0)+8,""))</f>
        <v/>
      </c>
      <c r="Y250" s="41" t="str">
        <f t="shared" si="51"/>
        <v/>
      </c>
      <c r="Z250" s="42" t="str">
        <f>IF($A250="","",IF($A250="?","Lipseste ID-ul comenzii (col. A din PI Furnizor)",IF(NOT(ISNUMBER($X250)),"ID comanda negasit in foaia Comenzi",IF(N($E250)&lt;=0,"Lipseste cantitatea",IF(N($G250)=0,"Pret unitar lipsa",IF($Y250&lt;&gt;1,"Curs sau moneda marfa lipsa (foaia Comenzi)",IF(INDEX(Comenzi!$AT:$AT,$X250)&lt;&gt;"OK","Avertisment comanda: "&amp;INDEX(Comenzi!$AT:$AT,$X250),"OK")))))))</f>
        <v/>
      </c>
      <c r="AA250" s="43" t="str">
        <f>IF(ISNUMBER($X250),INDEX(Comenzi!$H:$H,$X250),"")</f>
        <v/>
      </c>
      <c r="AB250" s="43" t="str">
        <f>IF(ISNUMBER($X250),INDEX(Comenzi!$I:$I,$X250),"")</f>
        <v/>
      </c>
      <c r="AC250" s="44" t="str">
        <f>IF(ISNUMBER($X250),IF(INDEX(Comenzi!$V:$V,$X250)="",Comenzi!$D$3,INDEX(Comenzi!$V:$V,$X250)),"")</f>
        <v/>
      </c>
      <c r="AD250" s="44" t="str">
        <f>IF(ISNUMBER($X250),IF(INDEX(Comenzi!$U:$U,$X250)="",Comenzi!$D$4,INDEX(Comenzi!$U:$U,$X250)),"")</f>
        <v/>
      </c>
      <c r="AE250" s="45" t="str">
        <f>IF($Y250&lt;&gt;1,"",IF(INDEX(Comenzi!$AM:$AM,$X250)="Greutate",INDEX('PI Furnizor'!$O:$O,ROW()-3),IF(INDEX(Comenzi!$AM:$AM,$X250)="Volum (CBM)",INDEX('PI Furnizor'!$Q:$Q,ROW()-3),IF(INDEX(Comenzi!$AM:$AM,$X250)="Valoare marfa",INDEX('PI Furnizor'!$N:$N,ROW()-3),$E250))))</f>
        <v/>
      </c>
    </row>
    <row r="251" spans="1:31" x14ac:dyDescent="0.3">
      <c r="A251" s="28" t="str">
        <f>IF(COUNTA(INDEX('PI Furnizor'!$A:$E,ROW()-3,0))=0,"",IF(INDEX('PI Furnizor'!$A:$A,ROW()-3)="","?",INDEX('PI Furnizor'!$A:$A,ROW()-3)))</f>
        <v/>
      </c>
      <c r="B251" s="29" t="str">
        <f>IF(ISNUMBER($X251),INDEX(Comenzi!$B:$B,$X251),"")</f>
        <v/>
      </c>
      <c r="C251" s="28" t="str">
        <f>IF($A251="","",INDEX('PI Furnizor'!$B:$B,ROW()-3)&amp;"")</f>
        <v/>
      </c>
      <c r="D251" s="28" t="str">
        <f>IF($A251="","",INDEX('PI Furnizor'!$C:$C,ROW()-3)&amp;"")</f>
        <v/>
      </c>
      <c r="E251" s="30" t="str">
        <f>IF($A251="","",N(INDEX('PI Furnizor'!$D:$D,ROW()-3)))</f>
        <v/>
      </c>
      <c r="F251" s="31" t="str">
        <f>IF(ISNUMBER($X251),INDEX(Comenzi!$G:$G,$X251),"")</f>
        <v/>
      </c>
      <c r="G251" s="32" t="str">
        <f>IF($A251="","",N(INDEX('PI Furnizor'!$E:$E,ROW()-3)))</f>
        <v/>
      </c>
      <c r="H251" s="33" t="str">
        <f t="shared" si="39"/>
        <v/>
      </c>
      <c r="I251" s="34" t="str">
        <f>IF($Y251&lt;&gt;1,"",IFERROR($AE251/INDEX(Comenzi!$AN:$AN,$X251),0))</f>
        <v/>
      </c>
      <c r="J251" s="33" t="str">
        <f>IF($Y251&lt;&gt;1,"",INDEX(Comenzi!$AG:$AG,$X251)*$I251/$E251)</f>
        <v/>
      </c>
      <c r="K251" s="33" t="str">
        <f t="shared" si="40"/>
        <v/>
      </c>
      <c r="L251" s="33" t="str">
        <f>IF($Y251&lt;&gt;1,"",$K251*$AD251+INDEX(Comenzi!$AJ:$AJ,$X251)*$I251/$E251)</f>
        <v/>
      </c>
      <c r="M251" s="33" t="str">
        <f t="shared" si="41"/>
        <v/>
      </c>
      <c r="N251" s="33" t="str">
        <f t="shared" si="42"/>
        <v/>
      </c>
      <c r="O251" s="33" t="str">
        <f>IF($Y251&lt;&gt;1,"",(INDEX(Comenzi!$AK:$AK,$X251)+N(INDEX(Comenzi!$T:$T,$X251)))*$I251/$E251)</f>
        <v/>
      </c>
      <c r="P251" s="35" t="str">
        <f t="shared" si="43"/>
        <v/>
      </c>
      <c r="Q251" s="36" t="str">
        <f t="shared" si="44"/>
        <v/>
      </c>
      <c r="R251" s="37" t="str">
        <f t="shared" si="45"/>
        <v/>
      </c>
      <c r="S251" s="38" t="str">
        <f t="shared" si="46"/>
        <v/>
      </c>
      <c r="T251" s="39" t="str">
        <f t="shared" si="47"/>
        <v/>
      </c>
      <c r="U251" s="40" t="str">
        <f t="shared" si="48"/>
        <v/>
      </c>
      <c r="V251" s="33" t="str">
        <f t="shared" si="49"/>
        <v/>
      </c>
      <c r="W251" s="33" t="str">
        <f t="shared" si="50"/>
        <v/>
      </c>
      <c r="X251" s="41" t="str">
        <f>IF($A251="","",IFERROR(MATCH($A251,Comenzi!$A$9:$A$108,0)+8,""))</f>
        <v/>
      </c>
      <c r="Y251" s="41" t="str">
        <f t="shared" si="51"/>
        <v/>
      </c>
      <c r="Z251" s="42" t="str">
        <f>IF($A251="","",IF($A251="?","Lipseste ID-ul comenzii (col. A din PI Furnizor)",IF(NOT(ISNUMBER($X251)),"ID comanda negasit in foaia Comenzi",IF(N($E251)&lt;=0,"Lipseste cantitatea",IF(N($G251)=0,"Pret unitar lipsa",IF($Y251&lt;&gt;1,"Curs sau moneda marfa lipsa (foaia Comenzi)",IF(INDEX(Comenzi!$AT:$AT,$X251)&lt;&gt;"OK","Avertisment comanda: "&amp;INDEX(Comenzi!$AT:$AT,$X251),"OK")))))))</f>
        <v/>
      </c>
      <c r="AA251" s="43" t="str">
        <f>IF(ISNUMBER($X251),INDEX(Comenzi!$H:$H,$X251),"")</f>
        <v/>
      </c>
      <c r="AB251" s="43" t="str">
        <f>IF(ISNUMBER($X251),INDEX(Comenzi!$I:$I,$X251),"")</f>
        <v/>
      </c>
      <c r="AC251" s="44" t="str">
        <f>IF(ISNUMBER($X251),IF(INDEX(Comenzi!$V:$V,$X251)="",Comenzi!$D$3,INDEX(Comenzi!$V:$V,$X251)),"")</f>
        <v/>
      </c>
      <c r="AD251" s="44" t="str">
        <f>IF(ISNUMBER($X251),IF(INDEX(Comenzi!$U:$U,$X251)="",Comenzi!$D$4,INDEX(Comenzi!$U:$U,$X251)),"")</f>
        <v/>
      </c>
      <c r="AE251" s="45" t="str">
        <f>IF($Y251&lt;&gt;1,"",IF(INDEX(Comenzi!$AM:$AM,$X251)="Greutate",INDEX('PI Furnizor'!$O:$O,ROW()-3),IF(INDEX(Comenzi!$AM:$AM,$X251)="Volum (CBM)",INDEX('PI Furnizor'!$Q:$Q,ROW()-3),IF(INDEX(Comenzi!$AM:$AM,$X251)="Valoare marfa",INDEX('PI Furnizor'!$N:$N,ROW()-3),$E251))))</f>
        <v/>
      </c>
    </row>
    <row r="252" spans="1:31" x14ac:dyDescent="0.3">
      <c r="A252" s="28" t="str">
        <f>IF(COUNTA(INDEX('PI Furnizor'!$A:$E,ROW()-3,0))=0,"",IF(INDEX('PI Furnizor'!$A:$A,ROW()-3)="","?",INDEX('PI Furnizor'!$A:$A,ROW()-3)))</f>
        <v/>
      </c>
      <c r="B252" s="29" t="str">
        <f>IF(ISNUMBER($X252),INDEX(Comenzi!$B:$B,$X252),"")</f>
        <v/>
      </c>
      <c r="C252" s="28" t="str">
        <f>IF($A252="","",INDEX('PI Furnizor'!$B:$B,ROW()-3)&amp;"")</f>
        <v/>
      </c>
      <c r="D252" s="28" t="str">
        <f>IF($A252="","",INDEX('PI Furnizor'!$C:$C,ROW()-3)&amp;"")</f>
        <v/>
      </c>
      <c r="E252" s="30" t="str">
        <f>IF($A252="","",N(INDEX('PI Furnizor'!$D:$D,ROW()-3)))</f>
        <v/>
      </c>
      <c r="F252" s="31" t="str">
        <f>IF(ISNUMBER($X252),INDEX(Comenzi!$G:$G,$X252),"")</f>
        <v/>
      </c>
      <c r="G252" s="32" t="str">
        <f>IF($A252="","",N(INDEX('PI Furnizor'!$E:$E,ROW()-3)))</f>
        <v/>
      </c>
      <c r="H252" s="33" t="str">
        <f t="shared" si="39"/>
        <v/>
      </c>
      <c r="I252" s="34" t="str">
        <f>IF($Y252&lt;&gt;1,"",IFERROR($AE252/INDEX(Comenzi!$AN:$AN,$X252),0))</f>
        <v/>
      </c>
      <c r="J252" s="33" t="str">
        <f>IF($Y252&lt;&gt;1,"",INDEX(Comenzi!$AG:$AG,$X252)*$I252/$E252)</f>
        <v/>
      </c>
      <c r="K252" s="33" t="str">
        <f t="shared" si="40"/>
        <v/>
      </c>
      <c r="L252" s="33" t="str">
        <f>IF($Y252&lt;&gt;1,"",$K252*$AD252+INDEX(Comenzi!$AJ:$AJ,$X252)*$I252/$E252)</f>
        <v/>
      </c>
      <c r="M252" s="33" t="str">
        <f t="shared" si="41"/>
        <v/>
      </c>
      <c r="N252" s="33" t="str">
        <f t="shared" si="42"/>
        <v/>
      </c>
      <c r="O252" s="33" t="str">
        <f>IF($Y252&lt;&gt;1,"",(INDEX(Comenzi!$AK:$AK,$X252)+N(INDEX(Comenzi!$T:$T,$X252)))*$I252/$E252)</f>
        <v/>
      </c>
      <c r="P252" s="35" t="str">
        <f t="shared" si="43"/>
        <v/>
      </c>
      <c r="Q252" s="36" t="str">
        <f t="shared" si="44"/>
        <v/>
      </c>
      <c r="R252" s="37" t="str">
        <f t="shared" si="45"/>
        <v/>
      </c>
      <c r="S252" s="38" t="str">
        <f t="shared" si="46"/>
        <v/>
      </c>
      <c r="T252" s="39" t="str">
        <f t="shared" si="47"/>
        <v/>
      </c>
      <c r="U252" s="40" t="str">
        <f t="shared" si="48"/>
        <v/>
      </c>
      <c r="V252" s="33" t="str">
        <f t="shared" si="49"/>
        <v/>
      </c>
      <c r="W252" s="33" t="str">
        <f t="shared" si="50"/>
        <v/>
      </c>
      <c r="X252" s="41" t="str">
        <f>IF($A252="","",IFERROR(MATCH($A252,Comenzi!$A$9:$A$108,0)+8,""))</f>
        <v/>
      </c>
      <c r="Y252" s="41" t="str">
        <f t="shared" si="51"/>
        <v/>
      </c>
      <c r="Z252" s="42" t="str">
        <f>IF($A252="","",IF($A252="?","Lipseste ID-ul comenzii (col. A din PI Furnizor)",IF(NOT(ISNUMBER($X252)),"ID comanda negasit in foaia Comenzi",IF(N($E252)&lt;=0,"Lipseste cantitatea",IF(N($G252)=0,"Pret unitar lipsa",IF($Y252&lt;&gt;1,"Curs sau moneda marfa lipsa (foaia Comenzi)",IF(INDEX(Comenzi!$AT:$AT,$X252)&lt;&gt;"OK","Avertisment comanda: "&amp;INDEX(Comenzi!$AT:$AT,$X252),"OK")))))))</f>
        <v/>
      </c>
      <c r="AA252" s="43" t="str">
        <f>IF(ISNUMBER($X252),INDEX(Comenzi!$H:$H,$X252),"")</f>
        <v/>
      </c>
      <c r="AB252" s="43" t="str">
        <f>IF(ISNUMBER($X252),INDEX(Comenzi!$I:$I,$X252),"")</f>
        <v/>
      </c>
      <c r="AC252" s="44" t="str">
        <f>IF(ISNUMBER($X252),IF(INDEX(Comenzi!$V:$V,$X252)="",Comenzi!$D$3,INDEX(Comenzi!$V:$V,$X252)),"")</f>
        <v/>
      </c>
      <c r="AD252" s="44" t="str">
        <f>IF(ISNUMBER($X252),IF(INDEX(Comenzi!$U:$U,$X252)="",Comenzi!$D$4,INDEX(Comenzi!$U:$U,$X252)),"")</f>
        <v/>
      </c>
      <c r="AE252" s="45" t="str">
        <f>IF($Y252&lt;&gt;1,"",IF(INDEX(Comenzi!$AM:$AM,$X252)="Greutate",INDEX('PI Furnizor'!$O:$O,ROW()-3),IF(INDEX(Comenzi!$AM:$AM,$X252)="Volum (CBM)",INDEX('PI Furnizor'!$Q:$Q,ROW()-3),IF(INDEX(Comenzi!$AM:$AM,$X252)="Valoare marfa",INDEX('PI Furnizor'!$N:$N,ROW()-3),$E252))))</f>
        <v/>
      </c>
    </row>
    <row r="253" spans="1:31" x14ac:dyDescent="0.3">
      <c r="A253" s="28" t="str">
        <f>IF(COUNTA(INDEX('PI Furnizor'!$A:$E,ROW()-3,0))=0,"",IF(INDEX('PI Furnizor'!$A:$A,ROW()-3)="","?",INDEX('PI Furnizor'!$A:$A,ROW()-3)))</f>
        <v/>
      </c>
      <c r="B253" s="29" t="str">
        <f>IF(ISNUMBER($X253),INDEX(Comenzi!$B:$B,$X253),"")</f>
        <v/>
      </c>
      <c r="C253" s="28" t="str">
        <f>IF($A253="","",INDEX('PI Furnizor'!$B:$B,ROW()-3)&amp;"")</f>
        <v/>
      </c>
      <c r="D253" s="28" t="str">
        <f>IF($A253="","",INDEX('PI Furnizor'!$C:$C,ROW()-3)&amp;"")</f>
        <v/>
      </c>
      <c r="E253" s="30" t="str">
        <f>IF($A253="","",N(INDEX('PI Furnizor'!$D:$D,ROW()-3)))</f>
        <v/>
      </c>
      <c r="F253" s="31" t="str">
        <f>IF(ISNUMBER($X253),INDEX(Comenzi!$G:$G,$X253),"")</f>
        <v/>
      </c>
      <c r="G253" s="32" t="str">
        <f>IF($A253="","",N(INDEX('PI Furnizor'!$E:$E,ROW()-3)))</f>
        <v/>
      </c>
      <c r="H253" s="33" t="str">
        <f t="shared" si="39"/>
        <v/>
      </c>
      <c r="I253" s="34" t="str">
        <f>IF($Y253&lt;&gt;1,"",IFERROR($AE253/INDEX(Comenzi!$AN:$AN,$X253),0))</f>
        <v/>
      </c>
      <c r="J253" s="33" t="str">
        <f>IF($Y253&lt;&gt;1,"",INDEX(Comenzi!$AG:$AG,$X253)*$I253/$E253)</f>
        <v/>
      </c>
      <c r="K253" s="33" t="str">
        <f t="shared" si="40"/>
        <v/>
      </c>
      <c r="L253" s="33" t="str">
        <f>IF($Y253&lt;&gt;1,"",$K253*$AD253+INDEX(Comenzi!$AJ:$AJ,$X253)*$I253/$E253)</f>
        <v/>
      </c>
      <c r="M253" s="33" t="str">
        <f t="shared" si="41"/>
        <v/>
      </c>
      <c r="N253" s="33" t="str">
        <f t="shared" si="42"/>
        <v/>
      </c>
      <c r="O253" s="33" t="str">
        <f>IF($Y253&lt;&gt;1,"",(INDEX(Comenzi!$AK:$AK,$X253)+N(INDEX(Comenzi!$T:$T,$X253)))*$I253/$E253)</f>
        <v/>
      </c>
      <c r="P253" s="35" t="str">
        <f t="shared" si="43"/>
        <v/>
      </c>
      <c r="Q253" s="36" t="str">
        <f t="shared" si="44"/>
        <v/>
      </c>
      <c r="R253" s="37" t="str">
        <f t="shared" si="45"/>
        <v/>
      </c>
      <c r="S253" s="38" t="str">
        <f t="shared" si="46"/>
        <v/>
      </c>
      <c r="T253" s="39" t="str">
        <f t="shared" si="47"/>
        <v/>
      </c>
      <c r="U253" s="40" t="str">
        <f t="shared" si="48"/>
        <v/>
      </c>
      <c r="V253" s="33" t="str">
        <f t="shared" si="49"/>
        <v/>
      </c>
      <c r="W253" s="33" t="str">
        <f t="shared" si="50"/>
        <v/>
      </c>
      <c r="X253" s="41" t="str">
        <f>IF($A253="","",IFERROR(MATCH($A253,Comenzi!$A$9:$A$108,0)+8,""))</f>
        <v/>
      </c>
      <c r="Y253" s="41" t="str">
        <f t="shared" si="51"/>
        <v/>
      </c>
      <c r="Z253" s="42" t="str">
        <f>IF($A253="","",IF($A253="?","Lipseste ID-ul comenzii (col. A din PI Furnizor)",IF(NOT(ISNUMBER($X253)),"ID comanda negasit in foaia Comenzi",IF(N($E253)&lt;=0,"Lipseste cantitatea",IF(N($G253)=0,"Pret unitar lipsa",IF($Y253&lt;&gt;1,"Curs sau moneda marfa lipsa (foaia Comenzi)",IF(INDEX(Comenzi!$AT:$AT,$X253)&lt;&gt;"OK","Avertisment comanda: "&amp;INDEX(Comenzi!$AT:$AT,$X253),"OK")))))))</f>
        <v/>
      </c>
      <c r="AA253" s="43" t="str">
        <f>IF(ISNUMBER($X253),INDEX(Comenzi!$H:$H,$X253),"")</f>
        <v/>
      </c>
      <c r="AB253" s="43" t="str">
        <f>IF(ISNUMBER($X253),INDEX(Comenzi!$I:$I,$X253),"")</f>
        <v/>
      </c>
      <c r="AC253" s="44" t="str">
        <f>IF(ISNUMBER($X253),IF(INDEX(Comenzi!$V:$V,$X253)="",Comenzi!$D$3,INDEX(Comenzi!$V:$V,$X253)),"")</f>
        <v/>
      </c>
      <c r="AD253" s="44" t="str">
        <f>IF(ISNUMBER($X253),IF(INDEX(Comenzi!$U:$U,$X253)="",Comenzi!$D$4,INDEX(Comenzi!$U:$U,$X253)),"")</f>
        <v/>
      </c>
      <c r="AE253" s="45" t="str">
        <f>IF($Y253&lt;&gt;1,"",IF(INDEX(Comenzi!$AM:$AM,$X253)="Greutate",INDEX('PI Furnizor'!$O:$O,ROW()-3),IF(INDEX(Comenzi!$AM:$AM,$X253)="Volum (CBM)",INDEX('PI Furnizor'!$Q:$Q,ROW()-3),IF(INDEX(Comenzi!$AM:$AM,$X253)="Valoare marfa",INDEX('PI Furnizor'!$N:$N,ROW()-3),$E253))))</f>
        <v/>
      </c>
    </row>
    <row r="254" spans="1:31" x14ac:dyDescent="0.3">
      <c r="A254" s="28" t="str">
        <f>IF(COUNTA(INDEX('PI Furnizor'!$A:$E,ROW()-3,0))=0,"",IF(INDEX('PI Furnizor'!$A:$A,ROW()-3)="","?",INDEX('PI Furnizor'!$A:$A,ROW()-3)))</f>
        <v/>
      </c>
      <c r="B254" s="29" t="str">
        <f>IF(ISNUMBER($X254),INDEX(Comenzi!$B:$B,$X254),"")</f>
        <v/>
      </c>
      <c r="C254" s="28" t="str">
        <f>IF($A254="","",INDEX('PI Furnizor'!$B:$B,ROW()-3)&amp;"")</f>
        <v/>
      </c>
      <c r="D254" s="28" t="str">
        <f>IF($A254="","",INDEX('PI Furnizor'!$C:$C,ROW()-3)&amp;"")</f>
        <v/>
      </c>
      <c r="E254" s="30" t="str">
        <f>IF($A254="","",N(INDEX('PI Furnizor'!$D:$D,ROW()-3)))</f>
        <v/>
      </c>
      <c r="F254" s="31" t="str">
        <f>IF(ISNUMBER($X254),INDEX(Comenzi!$G:$G,$X254),"")</f>
        <v/>
      </c>
      <c r="G254" s="32" t="str">
        <f>IF($A254="","",N(INDEX('PI Furnizor'!$E:$E,ROW()-3)))</f>
        <v/>
      </c>
      <c r="H254" s="33" t="str">
        <f t="shared" si="39"/>
        <v/>
      </c>
      <c r="I254" s="34" t="str">
        <f>IF($Y254&lt;&gt;1,"",IFERROR($AE254/INDEX(Comenzi!$AN:$AN,$X254),0))</f>
        <v/>
      </c>
      <c r="J254" s="33" t="str">
        <f>IF($Y254&lt;&gt;1,"",INDEX(Comenzi!$AG:$AG,$X254)*$I254/$E254)</f>
        <v/>
      </c>
      <c r="K254" s="33" t="str">
        <f t="shared" si="40"/>
        <v/>
      </c>
      <c r="L254" s="33" t="str">
        <f>IF($Y254&lt;&gt;1,"",$K254*$AD254+INDEX(Comenzi!$AJ:$AJ,$X254)*$I254/$E254)</f>
        <v/>
      </c>
      <c r="M254" s="33" t="str">
        <f t="shared" si="41"/>
        <v/>
      </c>
      <c r="N254" s="33" t="str">
        <f t="shared" si="42"/>
        <v/>
      </c>
      <c r="O254" s="33" t="str">
        <f>IF($Y254&lt;&gt;1,"",(INDEX(Comenzi!$AK:$AK,$X254)+N(INDEX(Comenzi!$T:$T,$X254)))*$I254/$E254)</f>
        <v/>
      </c>
      <c r="P254" s="35" t="str">
        <f t="shared" si="43"/>
        <v/>
      </c>
      <c r="Q254" s="36" t="str">
        <f t="shared" si="44"/>
        <v/>
      </c>
      <c r="R254" s="37" t="str">
        <f t="shared" si="45"/>
        <v/>
      </c>
      <c r="S254" s="38" t="str">
        <f t="shared" si="46"/>
        <v/>
      </c>
      <c r="T254" s="39" t="str">
        <f t="shared" si="47"/>
        <v/>
      </c>
      <c r="U254" s="40" t="str">
        <f t="shared" si="48"/>
        <v/>
      </c>
      <c r="V254" s="33" t="str">
        <f t="shared" si="49"/>
        <v/>
      </c>
      <c r="W254" s="33" t="str">
        <f t="shared" si="50"/>
        <v/>
      </c>
      <c r="X254" s="41" t="str">
        <f>IF($A254="","",IFERROR(MATCH($A254,Comenzi!$A$9:$A$108,0)+8,""))</f>
        <v/>
      </c>
      <c r="Y254" s="41" t="str">
        <f t="shared" si="51"/>
        <v/>
      </c>
      <c r="Z254" s="42" t="str">
        <f>IF($A254="","",IF($A254="?","Lipseste ID-ul comenzii (col. A din PI Furnizor)",IF(NOT(ISNUMBER($X254)),"ID comanda negasit in foaia Comenzi",IF(N($E254)&lt;=0,"Lipseste cantitatea",IF(N($G254)=0,"Pret unitar lipsa",IF($Y254&lt;&gt;1,"Curs sau moneda marfa lipsa (foaia Comenzi)",IF(INDEX(Comenzi!$AT:$AT,$X254)&lt;&gt;"OK","Avertisment comanda: "&amp;INDEX(Comenzi!$AT:$AT,$X254),"OK")))))))</f>
        <v/>
      </c>
      <c r="AA254" s="43" t="str">
        <f>IF(ISNUMBER($X254),INDEX(Comenzi!$H:$H,$X254),"")</f>
        <v/>
      </c>
      <c r="AB254" s="43" t="str">
        <f>IF(ISNUMBER($X254),INDEX(Comenzi!$I:$I,$X254),"")</f>
        <v/>
      </c>
      <c r="AC254" s="44" t="str">
        <f>IF(ISNUMBER($X254),IF(INDEX(Comenzi!$V:$V,$X254)="",Comenzi!$D$3,INDEX(Comenzi!$V:$V,$X254)),"")</f>
        <v/>
      </c>
      <c r="AD254" s="44" t="str">
        <f>IF(ISNUMBER($X254),IF(INDEX(Comenzi!$U:$U,$X254)="",Comenzi!$D$4,INDEX(Comenzi!$U:$U,$X254)),"")</f>
        <v/>
      </c>
      <c r="AE254" s="45" t="str">
        <f>IF($Y254&lt;&gt;1,"",IF(INDEX(Comenzi!$AM:$AM,$X254)="Greutate",INDEX('PI Furnizor'!$O:$O,ROW()-3),IF(INDEX(Comenzi!$AM:$AM,$X254)="Volum (CBM)",INDEX('PI Furnizor'!$Q:$Q,ROW()-3),IF(INDEX(Comenzi!$AM:$AM,$X254)="Valoare marfa",INDEX('PI Furnizor'!$N:$N,ROW()-3),$E254))))</f>
        <v/>
      </c>
    </row>
    <row r="255" spans="1:31" x14ac:dyDescent="0.3">
      <c r="A255" s="28" t="str">
        <f>IF(COUNTA(INDEX('PI Furnizor'!$A:$E,ROW()-3,0))=0,"",IF(INDEX('PI Furnizor'!$A:$A,ROW()-3)="","?",INDEX('PI Furnizor'!$A:$A,ROW()-3)))</f>
        <v/>
      </c>
      <c r="B255" s="29" t="str">
        <f>IF(ISNUMBER($X255),INDEX(Comenzi!$B:$B,$X255),"")</f>
        <v/>
      </c>
      <c r="C255" s="28" t="str">
        <f>IF($A255="","",INDEX('PI Furnizor'!$B:$B,ROW()-3)&amp;"")</f>
        <v/>
      </c>
      <c r="D255" s="28" t="str">
        <f>IF($A255="","",INDEX('PI Furnizor'!$C:$C,ROW()-3)&amp;"")</f>
        <v/>
      </c>
      <c r="E255" s="30" t="str">
        <f>IF($A255="","",N(INDEX('PI Furnizor'!$D:$D,ROW()-3)))</f>
        <v/>
      </c>
      <c r="F255" s="31" t="str">
        <f>IF(ISNUMBER($X255),INDEX(Comenzi!$G:$G,$X255),"")</f>
        <v/>
      </c>
      <c r="G255" s="32" t="str">
        <f>IF($A255="","",N(INDEX('PI Furnizor'!$E:$E,ROW()-3)))</f>
        <v/>
      </c>
      <c r="H255" s="33" t="str">
        <f t="shared" si="39"/>
        <v/>
      </c>
      <c r="I255" s="34" t="str">
        <f>IF($Y255&lt;&gt;1,"",IFERROR($AE255/INDEX(Comenzi!$AN:$AN,$X255),0))</f>
        <v/>
      </c>
      <c r="J255" s="33" t="str">
        <f>IF($Y255&lt;&gt;1,"",INDEX(Comenzi!$AG:$AG,$X255)*$I255/$E255)</f>
        <v/>
      </c>
      <c r="K255" s="33" t="str">
        <f t="shared" si="40"/>
        <v/>
      </c>
      <c r="L255" s="33" t="str">
        <f>IF($Y255&lt;&gt;1,"",$K255*$AD255+INDEX(Comenzi!$AJ:$AJ,$X255)*$I255/$E255)</f>
        <v/>
      </c>
      <c r="M255" s="33" t="str">
        <f t="shared" si="41"/>
        <v/>
      </c>
      <c r="N255" s="33" t="str">
        <f t="shared" si="42"/>
        <v/>
      </c>
      <c r="O255" s="33" t="str">
        <f>IF($Y255&lt;&gt;1,"",(INDEX(Comenzi!$AK:$AK,$X255)+N(INDEX(Comenzi!$T:$T,$X255)))*$I255/$E255)</f>
        <v/>
      </c>
      <c r="P255" s="35" t="str">
        <f t="shared" si="43"/>
        <v/>
      </c>
      <c r="Q255" s="36" t="str">
        <f t="shared" si="44"/>
        <v/>
      </c>
      <c r="R255" s="37" t="str">
        <f t="shared" si="45"/>
        <v/>
      </c>
      <c r="S255" s="38" t="str">
        <f t="shared" si="46"/>
        <v/>
      </c>
      <c r="T255" s="39" t="str">
        <f t="shared" si="47"/>
        <v/>
      </c>
      <c r="U255" s="40" t="str">
        <f t="shared" si="48"/>
        <v/>
      </c>
      <c r="V255" s="33" t="str">
        <f t="shared" si="49"/>
        <v/>
      </c>
      <c r="W255" s="33" t="str">
        <f t="shared" si="50"/>
        <v/>
      </c>
      <c r="X255" s="41" t="str">
        <f>IF($A255="","",IFERROR(MATCH($A255,Comenzi!$A$9:$A$108,0)+8,""))</f>
        <v/>
      </c>
      <c r="Y255" s="41" t="str">
        <f t="shared" si="51"/>
        <v/>
      </c>
      <c r="Z255" s="42" t="str">
        <f>IF($A255="","",IF($A255="?","Lipseste ID-ul comenzii (col. A din PI Furnizor)",IF(NOT(ISNUMBER($X255)),"ID comanda negasit in foaia Comenzi",IF(N($E255)&lt;=0,"Lipseste cantitatea",IF(N($G255)=0,"Pret unitar lipsa",IF($Y255&lt;&gt;1,"Curs sau moneda marfa lipsa (foaia Comenzi)",IF(INDEX(Comenzi!$AT:$AT,$X255)&lt;&gt;"OK","Avertisment comanda: "&amp;INDEX(Comenzi!$AT:$AT,$X255),"OK")))))))</f>
        <v/>
      </c>
      <c r="AA255" s="43" t="str">
        <f>IF(ISNUMBER($X255),INDEX(Comenzi!$H:$H,$X255),"")</f>
        <v/>
      </c>
      <c r="AB255" s="43" t="str">
        <f>IF(ISNUMBER($X255),INDEX(Comenzi!$I:$I,$X255),"")</f>
        <v/>
      </c>
      <c r="AC255" s="44" t="str">
        <f>IF(ISNUMBER($X255),IF(INDEX(Comenzi!$V:$V,$X255)="",Comenzi!$D$3,INDEX(Comenzi!$V:$V,$X255)),"")</f>
        <v/>
      </c>
      <c r="AD255" s="44" t="str">
        <f>IF(ISNUMBER($X255),IF(INDEX(Comenzi!$U:$U,$X255)="",Comenzi!$D$4,INDEX(Comenzi!$U:$U,$X255)),"")</f>
        <v/>
      </c>
      <c r="AE255" s="45" t="str">
        <f>IF($Y255&lt;&gt;1,"",IF(INDEX(Comenzi!$AM:$AM,$X255)="Greutate",INDEX('PI Furnizor'!$O:$O,ROW()-3),IF(INDEX(Comenzi!$AM:$AM,$X255)="Volum (CBM)",INDEX('PI Furnizor'!$Q:$Q,ROW()-3),IF(INDEX(Comenzi!$AM:$AM,$X255)="Valoare marfa",INDEX('PI Furnizor'!$N:$N,ROW()-3),$E255))))</f>
        <v/>
      </c>
    </row>
    <row r="256" spans="1:31" x14ac:dyDescent="0.3">
      <c r="A256" s="28" t="str">
        <f>IF(COUNTA(INDEX('PI Furnizor'!$A:$E,ROW()-3,0))=0,"",IF(INDEX('PI Furnizor'!$A:$A,ROW()-3)="","?",INDEX('PI Furnizor'!$A:$A,ROW()-3)))</f>
        <v/>
      </c>
      <c r="B256" s="29" t="str">
        <f>IF(ISNUMBER($X256),INDEX(Comenzi!$B:$B,$X256),"")</f>
        <v/>
      </c>
      <c r="C256" s="28" t="str">
        <f>IF($A256="","",INDEX('PI Furnizor'!$B:$B,ROW()-3)&amp;"")</f>
        <v/>
      </c>
      <c r="D256" s="28" t="str">
        <f>IF($A256="","",INDEX('PI Furnizor'!$C:$C,ROW()-3)&amp;"")</f>
        <v/>
      </c>
      <c r="E256" s="30" t="str">
        <f>IF($A256="","",N(INDEX('PI Furnizor'!$D:$D,ROW()-3)))</f>
        <v/>
      </c>
      <c r="F256" s="31" t="str">
        <f>IF(ISNUMBER($X256),INDEX(Comenzi!$G:$G,$X256),"")</f>
        <v/>
      </c>
      <c r="G256" s="32" t="str">
        <f>IF($A256="","",N(INDEX('PI Furnizor'!$E:$E,ROW()-3)))</f>
        <v/>
      </c>
      <c r="H256" s="33" t="str">
        <f t="shared" si="39"/>
        <v/>
      </c>
      <c r="I256" s="34" t="str">
        <f>IF($Y256&lt;&gt;1,"",IFERROR($AE256/INDEX(Comenzi!$AN:$AN,$X256),0))</f>
        <v/>
      </c>
      <c r="J256" s="33" t="str">
        <f>IF($Y256&lt;&gt;1,"",INDEX(Comenzi!$AG:$AG,$X256)*$I256/$E256)</f>
        <v/>
      </c>
      <c r="K256" s="33" t="str">
        <f t="shared" si="40"/>
        <v/>
      </c>
      <c r="L256" s="33" t="str">
        <f>IF($Y256&lt;&gt;1,"",$K256*$AD256+INDEX(Comenzi!$AJ:$AJ,$X256)*$I256/$E256)</f>
        <v/>
      </c>
      <c r="M256" s="33" t="str">
        <f t="shared" si="41"/>
        <v/>
      </c>
      <c r="N256" s="33" t="str">
        <f t="shared" si="42"/>
        <v/>
      </c>
      <c r="O256" s="33" t="str">
        <f>IF($Y256&lt;&gt;1,"",(INDEX(Comenzi!$AK:$AK,$X256)+N(INDEX(Comenzi!$T:$T,$X256)))*$I256/$E256)</f>
        <v/>
      </c>
      <c r="P256" s="35" t="str">
        <f t="shared" si="43"/>
        <v/>
      </c>
      <c r="Q256" s="36" t="str">
        <f t="shared" si="44"/>
        <v/>
      </c>
      <c r="R256" s="37" t="str">
        <f t="shared" si="45"/>
        <v/>
      </c>
      <c r="S256" s="38" t="str">
        <f t="shared" si="46"/>
        <v/>
      </c>
      <c r="T256" s="39" t="str">
        <f t="shared" si="47"/>
        <v/>
      </c>
      <c r="U256" s="40" t="str">
        <f t="shared" si="48"/>
        <v/>
      </c>
      <c r="V256" s="33" t="str">
        <f t="shared" si="49"/>
        <v/>
      </c>
      <c r="W256" s="33" t="str">
        <f t="shared" si="50"/>
        <v/>
      </c>
      <c r="X256" s="41" t="str">
        <f>IF($A256="","",IFERROR(MATCH($A256,Comenzi!$A$9:$A$108,0)+8,""))</f>
        <v/>
      </c>
      <c r="Y256" s="41" t="str">
        <f t="shared" si="51"/>
        <v/>
      </c>
      <c r="Z256" s="42" t="str">
        <f>IF($A256="","",IF($A256="?","Lipseste ID-ul comenzii (col. A din PI Furnizor)",IF(NOT(ISNUMBER($X256)),"ID comanda negasit in foaia Comenzi",IF(N($E256)&lt;=0,"Lipseste cantitatea",IF(N($G256)=0,"Pret unitar lipsa",IF($Y256&lt;&gt;1,"Curs sau moneda marfa lipsa (foaia Comenzi)",IF(INDEX(Comenzi!$AT:$AT,$X256)&lt;&gt;"OK","Avertisment comanda: "&amp;INDEX(Comenzi!$AT:$AT,$X256),"OK")))))))</f>
        <v/>
      </c>
      <c r="AA256" s="43" t="str">
        <f>IF(ISNUMBER($X256),INDEX(Comenzi!$H:$H,$X256),"")</f>
        <v/>
      </c>
      <c r="AB256" s="43" t="str">
        <f>IF(ISNUMBER($X256),INDEX(Comenzi!$I:$I,$X256),"")</f>
        <v/>
      </c>
      <c r="AC256" s="44" t="str">
        <f>IF(ISNUMBER($X256),IF(INDEX(Comenzi!$V:$V,$X256)="",Comenzi!$D$3,INDEX(Comenzi!$V:$V,$X256)),"")</f>
        <v/>
      </c>
      <c r="AD256" s="44" t="str">
        <f>IF(ISNUMBER($X256),IF(INDEX(Comenzi!$U:$U,$X256)="",Comenzi!$D$4,INDEX(Comenzi!$U:$U,$X256)),"")</f>
        <v/>
      </c>
      <c r="AE256" s="45" t="str">
        <f>IF($Y256&lt;&gt;1,"",IF(INDEX(Comenzi!$AM:$AM,$X256)="Greutate",INDEX('PI Furnizor'!$O:$O,ROW()-3),IF(INDEX(Comenzi!$AM:$AM,$X256)="Volum (CBM)",INDEX('PI Furnizor'!$Q:$Q,ROW()-3),IF(INDEX(Comenzi!$AM:$AM,$X256)="Valoare marfa",INDEX('PI Furnizor'!$N:$N,ROW()-3),$E256))))</f>
        <v/>
      </c>
    </row>
    <row r="257" spans="1:31" x14ac:dyDescent="0.3">
      <c r="A257" s="28" t="str">
        <f>IF(COUNTA(INDEX('PI Furnizor'!$A:$E,ROW()-3,0))=0,"",IF(INDEX('PI Furnizor'!$A:$A,ROW()-3)="","?",INDEX('PI Furnizor'!$A:$A,ROW()-3)))</f>
        <v/>
      </c>
      <c r="B257" s="29" t="str">
        <f>IF(ISNUMBER($X257),INDEX(Comenzi!$B:$B,$X257),"")</f>
        <v/>
      </c>
      <c r="C257" s="28" t="str">
        <f>IF($A257="","",INDEX('PI Furnizor'!$B:$B,ROW()-3)&amp;"")</f>
        <v/>
      </c>
      <c r="D257" s="28" t="str">
        <f>IF($A257="","",INDEX('PI Furnizor'!$C:$C,ROW()-3)&amp;"")</f>
        <v/>
      </c>
      <c r="E257" s="30" t="str">
        <f>IF($A257="","",N(INDEX('PI Furnizor'!$D:$D,ROW()-3)))</f>
        <v/>
      </c>
      <c r="F257" s="31" t="str">
        <f>IF(ISNUMBER($X257),INDEX(Comenzi!$G:$G,$X257),"")</f>
        <v/>
      </c>
      <c r="G257" s="32" t="str">
        <f>IF($A257="","",N(INDEX('PI Furnizor'!$E:$E,ROW()-3)))</f>
        <v/>
      </c>
      <c r="H257" s="33" t="str">
        <f t="shared" si="39"/>
        <v/>
      </c>
      <c r="I257" s="34" t="str">
        <f>IF($Y257&lt;&gt;1,"",IFERROR($AE257/INDEX(Comenzi!$AN:$AN,$X257),0))</f>
        <v/>
      </c>
      <c r="J257" s="33" t="str">
        <f>IF($Y257&lt;&gt;1,"",INDEX(Comenzi!$AG:$AG,$X257)*$I257/$E257)</f>
        <v/>
      </c>
      <c r="K257" s="33" t="str">
        <f t="shared" si="40"/>
        <v/>
      </c>
      <c r="L257" s="33" t="str">
        <f>IF($Y257&lt;&gt;1,"",$K257*$AD257+INDEX(Comenzi!$AJ:$AJ,$X257)*$I257/$E257)</f>
        <v/>
      </c>
      <c r="M257" s="33" t="str">
        <f t="shared" si="41"/>
        <v/>
      </c>
      <c r="N257" s="33" t="str">
        <f t="shared" si="42"/>
        <v/>
      </c>
      <c r="O257" s="33" t="str">
        <f>IF($Y257&lt;&gt;1,"",(INDEX(Comenzi!$AK:$AK,$X257)+N(INDEX(Comenzi!$T:$T,$X257)))*$I257/$E257)</f>
        <v/>
      </c>
      <c r="P257" s="35" t="str">
        <f t="shared" si="43"/>
        <v/>
      </c>
      <c r="Q257" s="36" t="str">
        <f t="shared" si="44"/>
        <v/>
      </c>
      <c r="R257" s="37" t="str">
        <f t="shared" si="45"/>
        <v/>
      </c>
      <c r="S257" s="38" t="str">
        <f t="shared" si="46"/>
        <v/>
      </c>
      <c r="T257" s="39" t="str">
        <f t="shared" si="47"/>
        <v/>
      </c>
      <c r="U257" s="40" t="str">
        <f t="shared" si="48"/>
        <v/>
      </c>
      <c r="V257" s="33" t="str">
        <f t="shared" si="49"/>
        <v/>
      </c>
      <c r="W257" s="33" t="str">
        <f t="shared" si="50"/>
        <v/>
      </c>
      <c r="X257" s="41" t="str">
        <f>IF($A257="","",IFERROR(MATCH($A257,Comenzi!$A$9:$A$108,0)+8,""))</f>
        <v/>
      </c>
      <c r="Y257" s="41" t="str">
        <f t="shared" si="51"/>
        <v/>
      </c>
      <c r="Z257" s="42" t="str">
        <f>IF($A257="","",IF($A257="?","Lipseste ID-ul comenzii (col. A din PI Furnizor)",IF(NOT(ISNUMBER($X257)),"ID comanda negasit in foaia Comenzi",IF(N($E257)&lt;=0,"Lipseste cantitatea",IF(N($G257)=0,"Pret unitar lipsa",IF($Y257&lt;&gt;1,"Curs sau moneda marfa lipsa (foaia Comenzi)",IF(INDEX(Comenzi!$AT:$AT,$X257)&lt;&gt;"OK","Avertisment comanda: "&amp;INDEX(Comenzi!$AT:$AT,$X257),"OK")))))))</f>
        <v/>
      </c>
      <c r="AA257" s="43" t="str">
        <f>IF(ISNUMBER($X257),INDEX(Comenzi!$H:$H,$X257),"")</f>
        <v/>
      </c>
      <c r="AB257" s="43" t="str">
        <f>IF(ISNUMBER($X257),INDEX(Comenzi!$I:$I,$X257),"")</f>
        <v/>
      </c>
      <c r="AC257" s="44" t="str">
        <f>IF(ISNUMBER($X257),IF(INDEX(Comenzi!$V:$V,$X257)="",Comenzi!$D$3,INDEX(Comenzi!$V:$V,$X257)),"")</f>
        <v/>
      </c>
      <c r="AD257" s="44" t="str">
        <f>IF(ISNUMBER($X257),IF(INDEX(Comenzi!$U:$U,$X257)="",Comenzi!$D$4,INDEX(Comenzi!$U:$U,$X257)),"")</f>
        <v/>
      </c>
      <c r="AE257" s="45" t="str">
        <f>IF($Y257&lt;&gt;1,"",IF(INDEX(Comenzi!$AM:$AM,$X257)="Greutate",INDEX('PI Furnizor'!$O:$O,ROW()-3),IF(INDEX(Comenzi!$AM:$AM,$X257)="Volum (CBM)",INDEX('PI Furnizor'!$Q:$Q,ROW()-3),IF(INDEX(Comenzi!$AM:$AM,$X257)="Valoare marfa",INDEX('PI Furnizor'!$N:$N,ROW()-3),$E257))))</f>
        <v/>
      </c>
    </row>
    <row r="258" spans="1:31" x14ac:dyDescent="0.3">
      <c r="A258" s="28" t="str">
        <f>IF(COUNTA(INDEX('PI Furnizor'!$A:$E,ROW()-3,0))=0,"",IF(INDEX('PI Furnizor'!$A:$A,ROW()-3)="","?",INDEX('PI Furnizor'!$A:$A,ROW()-3)))</f>
        <v/>
      </c>
      <c r="B258" s="29" t="str">
        <f>IF(ISNUMBER($X258),INDEX(Comenzi!$B:$B,$X258),"")</f>
        <v/>
      </c>
      <c r="C258" s="28" t="str">
        <f>IF($A258="","",INDEX('PI Furnizor'!$B:$B,ROW()-3)&amp;"")</f>
        <v/>
      </c>
      <c r="D258" s="28" t="str">
        <f>IF($A258="","",INDEX('PI Furnizor'!$C:$C,ROW()-3)&amp;"")</f>
        <v/>
      </c>
      <c r="E258" s="30" t="str">
        <f>IF($A258="","",N(INDEX('PI Furnizor'!$D:$D,ROW()-3)))</f>
        <v/>
      </c>
      <c r="F258" s="31" t="str">
        <f>IF(ISNUMBER($X258),INDEX(Comenzi!$G:$G,$X258),"")</f>
        <v/>
      </c>
      <c r="G258" s="32" t="str">
        <f>IF($A258="","",N(INDEX('PI Furnizor'!$E:$E,ROW()-3)))</f>
        <v/>
      </c>
      <c r="H258" s="33" t="str">
        <f t="shared" si="39"/>
        <v/>
      </c>
      <c r="I258" s="34" t="str">
        <f>IF($Y258&lt;&gt;1,"",IFERROR($AE258/INDEX(Comenzi!$AN:$AN,$X258),0))</f>
        <v/>
      </c>
      <c r="J258" s="33" t="str">
        <f>IF($Y258&lt;&gt;1,"",INDEX(Comenzi!$AG:$AG,$X258)*$I258/$E258)</f>
        <v/>
      </c>
      <c r="K258" s="33" t="str">
        <f t="shared" si="40"/>
        <v/>
      </c>
      <c r="L258" s="33" t="str">
        <f>IF($Y258&lt;&gt;1,"",$K258*$AD258+INDEX(Comenzi!$AJ:$AJ,$X258)*$I258/$E258)</f>
        <v/>
      </c>
      <c r="M258" s="33" t="str">
        <f t="shared" si="41"/>
        <v/>
      </c>
      <c r="N258" s="33" t="str">
        <f t="shared" si="42"/>
        <v/>
      </c>
      <c r="O258" s="33" t="str">
        <f>IF($Y258&lt;&gt;1,"",(INDEX(Comenzi!$AK:$AK,$X258)+N(INDEX(Comenzi!$T:$T,$X258)))*$I258/$E258)</f>
        <v/>
      </c>
      <c r="P258" s="35" t="str">
        <f t="shared" si="43"/>
        <v/>
      </c>
      <c r="Q258" s="36" t="str">
        <f t="shared" si="44"/>
        <v/>
      </c>
      <c r="R258" s="37" t="str">
        <f t="shared" si="45"/>
        <v/>
      </c>
      <c r="S258" s="38" t="str">
        <f t="shared" si="46"/>
        <v/>
      </c>
      <c r="T258" s="39" t="str">
        <f t="shared" si="47"/>
        <v/>
      </c>
      <c r="U258" s="40" t="str">
        <f t="shared" si="48"/>
        <v/>
      </c>
      <c r="V258" s="33" t="str">
        <f t="shared" si="49"/>
        <v/>
      </c>
      <c r="W258" s="33" t="str">
        <f t="shared" si="50"/>
        <v/>
      </c>
      <c r="X258" s="41" t="str">
        <f>IF($A258="","",IFERROR(MATCH($A258,Comenzi!$A$9:$A$108,0)+8,""))</f>
        <v/>
      </c>
      <c r="Y258" s="41" t="str">
        <f t="shared" si="51"/>
        <v/>
      </c>
      <c r="Z258" s="42" t="str">
        <f>IF($A258="","",IF($A258="?","Lipseste ID-ul comenzii (col. A din PI Furnizor)",IF(NOT(ISNUMBER($X258)),"ID comanda negasit in foaia Comenzi",IF(N($E258)&lt;=0,"Lipseste cantitatea",IF(N($G258)=0,"Pret unitar lipsa",IF($Y258&lt;&gt;1,"Curs sau moneda marfa lipsa (foaia Comenzi)",IF(INDEX(Comenzi!$AT:$AT,$X258)&lt;&gt;"OK","Avertisment comanda: "&amp;INDEX(Comenzi!$AT:$AT,$X258),"OK")))))))</f>
        <v/>
      </c>
      <c r="AA258" s="43" t="str">
        <f>IF(ISNUMBER($X258),INDEX(Comenzi!$H:$H,$X258),"")</f>
        <v/>
      </c>
      <c r="AB258" s="43" t="str">
        <f>IF(ISNUMBER($X258),INDEX(Comenzi!$I:$I,$X258),"")</f>
        <v/>
      </c>
      <c r="AC258" s="44" t="str">
        <f>IF(ISNUMBER($X258),IF(INDEX(Comenzi!$V:$V,$X258)="",Comenzi!$D$3,INDEX(Comenzi!$V:$V,$X258)),"")</f>
        <v/>
      </c>
      <c r="AD258" s="44" t="str">
        <f>IF(ISNUMBER($X258),IF(INDEX(Comenzi!$U:$U,$X258)="",Comenzi!$D$4,INDEX(Comenzi!$U:$U,$X258)),"")</f>
        <v/>
      </c>
      <c r="AE258" s="45" t="str">
        <f>IF($Y258&lt;&gt;1,"",IF(INDEX(Comenzi!$AM:$AM,$X258)="Greutate",INDEX('PI Furnizor'!$O:$O,ROW()-3),IF(INDEX(Comenzi!$AM:$AM,$X258)="Volum (CBM)",INDEX('PI Furnizor'!$Q:$Q,ROW()-3),IF(INDEX(Comenzi!$AM:$AM,$X258)="Valoare marfa",INDEX('PI Furnizor'!$N:$N,ROW()-3),$E258))))</f>
        <v/>
      </c>
    </row>
    <row r="259" spans="1:31" x14ac:dyDescent="0.3">
      <c r="A259" s="28" t="str">
        <f>IF(COUNTA(INDEX('PI Furnizor'!$A:$E,ROW()-3,0))=0,"",IF(INDEX('PI Furnizor'!$A:$A,ROW()-3)="","?",INDEX('PI Furnizor'!$A:$A,ROW()-3)))</f>
        <v/>
      </c>
      <c r="B259" s="29" t="str">
        <f>IF(ISNUMBER($X259),INDEX(Comenzi!$B:$B,$X259),"")</f>
        <v/>
      </c>
      <c r="C259" s="28" t="str">
        <f>IF($A259="","",INDEX('PI Furnizor'!$B:$B,ROW()-3)&amp;"")</f>
        <v/>
      </c>
      <c r="D259" s="28" t="str">
        <f>IF($A259="","",INDEX('PI Furnizor'!$C:$C,ROW()-3)&amp;"")</f>
        <v/>
      </c>
      <c r="E259" s="30" t="str">
        <f>IF($A259="","",N(INDEX('PI Furnizor'!$D:$D,ROW()-3)))</f>
        <v/>
      </c>
      <c r="F259" s="31" t="str">
        <f>IF(ISNUMBER($X259),INDEX(Comenzi!$G:$G,$X259),"")</f>
        <v/>
      </c>
      <c r="G259" s="32" t="str">
        <f>IF($A259="","",N(INDEX('PI Furnizor'!$E:$E,ROW()-3)))</f>
        <v/>
      </c>
      <c r="H259" s="33" t="str">
        <f t="shared" si="39"/>
        <v/>
      </c>
      <c r="I259" s="34" t="str">
        <f>IF($Y259&lt;&gt;1,"",IFERROR($AE259/INDEX(Comenzi!$AN:$AN,$X259),0))</f>
        <v/>
      </c>
      <c r="J259" s="33" t="str">
        <f>IF($Y259&lt;&gt;1,"",INDEX(Comenzi!$AG:$AG,$X259)*$I259/$E259)</f>
        <v/>
      </c>
      <c r="K259" s="33" t="str">
        <f t="shared" si="40"/>
        <v/>
      </c>
      <c r="L259" s="33" t="str">
        <f>IF($Y259&lt;&gt;1,"",$K259*$AD259+INDEX(Comenzi!$AJ:$AJ,$X259)*$I259/$E259)</f>
        <v/>
      </c>
      <c r="M259" s="33" t="str">
        <f t="shared" si="41"/>
        <v/>
      </c>
      <c r="N259" s="33" t="str">
        <f t="shared" si="42"/>
        <v/>
      </c>
      <c r="O259" s="33" t="str">
        <f>IF($Y259&lt;&gt;1,"",(INDEX(Comenzi!$AK:$AK,$X259)+N(INDEX(Comenzi!$T:$T,$X259)))*$I259/$E259)</f>
        <v/>
      </c>
      <c r="P259" s="35" t="str">
        <f t="shared" si="43"/>
        <v/>
      </c>
      <c r="Q259" s="36" t="str">
        <f t="shared" si="44"/>
        <v/>
      </c>
      <c r="R259" s="37" t="str">
        <f t="shared" si="45"/>
        <v/>
      </c>
      <c r="S259" s="38" t="str">
        <f t="shared" si="46"/>
        <v/>
      </c>
      <c r="T259" s="39" t="str">
        <f t="shared" si="47"/>
        <v/>
      </c>
      <c r="U259" s="40" t="str">
        <f t="shared" si="48"/>
        <v/>
      </c>
      <c r="V259" s="33" t="str">
        <f t="shared" si="49"/>
        <v/>
      </c>
      <c r="W259" s="33" t="str">
        <f t="shared" si="50"/>
        <v/>
      </c>
      <c r="X259" s="41" t="str">
        <f>IF($A259="","",IFERROR(MATCH($A259,Comenzi!$A$9:$A$108,0)+8,""))</f>
        <v/>
      </c>
      <c r="Y259" s="41" t="str">
        <f t="shared" si="51"/>
        <v/>
      </c>
      <c r="Z259" s="42" t="str">
        <f>IF($A259="","",IF($A259="?","Lipseste ID-ul comenzii (col. A din PI Furnizor)",IF(NOT(ISNUMBER($X259)),"ID comanda negasit in foaia Comenzi",IF(N($E259)&lt;=0,"Lipseste cantitatea",IF(N($G259)=0,"Pret unitar lipsa",IF($Y259&lt;&gt;1,"Curs sau moneda marfa lipsa (foaia Comenzi)",IF(INDEX(Comenzi!$AT:$AT,$X259)&lt;&gt;"OK","Avertisment comanda: "&amp;INDEX(Comenzi!$AT:$AT,$X259),"OK")))))))</f>
        <v/>
      </c>
      <c r="AA259" s="43" t="str">
        <f>IF(ISNUMBER($X259),INDEX(Comenzi!$H:$H,$X259),"")</f>
        <v/>
      </c>
      <c r="AB259" s="43" t="str">
        <f>IF(ISNUMBER($X259),INDEX(Comenzi!$I:$I,$X259),"")</f>
        <v/>
      </c>
      <c r="AC259" s="44" t="str">
        <f>IF(ISNUMBER($X259),IF(INDEX(Comenzi!$V:$V,$X259)="",Comenzi!$D$3,INDEX(Comenzi!$V:$V,$X259)),"")</f>
        <v/>
      </c>
      <c r="AD259" s="44" t="str">
        <f>IF(ISNUMBER($X259),IF(INDEX(Comenzi!$U:$U,$X259)="",Comenzi!$D$4,INDEX(Comenzi!$U:$U,$X259)),"")</f>
        <v/>
      </c>
      <c r="AE259" s="45" t="str">
        <f>IF($Y259&lt;&gt;1,"",IF(INDEX(Comenzi!$AM:$AM,$X259)="Greutate",INDEX('PI Furnizor'!$O:$O,ROW()-3),IF(INDEX(Comenzi!$AM:$AM,$X259)="Volum (CBM)",INDEX('PI Furnizor'!$Q:$Q,ROW()-3),IF(INDEX(Comenzi!$AM:$AM,$X259)="Valoare marfa",INDEX('PI Furnizor'!$N:$N,ROW()-3),$E259))))</f>
        <v/>
      </c>
    </row>
    <row r="260" spans="1:31" x14ac:dyDescent="0.3">
      <c r="A260" s="28" t="str">
        <f>IF(COUNTA(INDEX('PI Furnizor'!$A:$E,ROW()-3,0))=0,"",IF(INDEX('PI Furnizor'!$A:$A,ROW()-3)="","?",INDEX('PI Furnizor'!$A:$A,ROW()-3)))</f>
        <v/>
      </c>
      <c r="B260" s="29" t="str">
        <f>IF(ISNUMBER($X260),INDEX(Comenzi!$B:$B,$X260),"")</f>
        <v/>
      </c>
      <c r="C260" s="28" t="str">
        <f>IF($A260="","",INDEX('PI Furnizor'!$B:$B,ROW()-3)&amp;"")</f>
        <v/>
      </c>
      <c r="D260" s="28" t="str">
        <f>IF($A260="","",INDEX('PI Furnizor'!$C:$C,ROW()-3)&amp;"")</f>
        <v/>
      </c>
      <c r="E260" s="30" t="str">
        <f>IF($A260="","",N(INDEX('PI Furnizor'!$D:$D,ROW()-3)))</f>
        <v/>
      </c>
      <c r="F260" s="31" t="str">
        <f>IF(ISNUMBER($X260),INDEX(Comenzi!$G:$G,$X260),"")</f>
        <v/>
      </c>
      <c r="G260" s="32" t="str">
        <f>IF($A260="","",N(INDEX('PI Furnizor'!$E:$E,ROW()-3)))</f>
        <v/>
      </c>
      <c r="H260" s="33" t="str">
        <f t="shared" si="39"/>
        <v/>
      </c>
      <c r="I260" s="34" t="str">
        <f>IF($Y260&lt;&gt;1,"",IFERROR($AE260/INDEX(Comenzi!$AN:$AN,$X260),0))</f>
        <v/>
      </c>
      <c r="J260" s="33" t="str">
        <f>IF($Y260&lt;&gt;1,"",INDEX(Comenzi!$AG:$AG,$X260)*$I260/$E260)</f>
        <v/>
      </c>
      <c r="K260" s="33" t="str">
        <f t="shared" si="40"/>
        <v/>
      </c>
      <c r="L260" s="33" t="str">
        <f>IF($Y260&lt;&gt;1,"",$K260*$AD260+INDEX(Comenzi!$AJ:$AJ,$X260)*$I260/$E260)</f>
        <v/>
      </c>
      <c r="M260" s="33" t="str">
        <f t="shared" si="41"/>
        <v/>
      </c>
      <c r="N260" s="33" t="str">
        <f t="shared" si="42"/>
        <v/>
      </c>
      <c r="O260" s="33" t="str">
        <f>IF($Y260&lt;&gt;1,"",(INDEX(Comenzi!$AK:$AK,$X260)+N(INDEX(Comenzi!$T:$T,$X260)))*$I260/$E260)</f>
        <v/>
      </c>
      <c r="P260" s="35" t="str">
        <f t="shared" si="43"/>
        <v/>
      </c>
      <c r="Q260" s="36" t="str">
        <f t="shared" si="44"/>
        <v/>
      </c>
      <c r="R260" s="37" t="str">
        <f t="shared" si="45"/>
        <v/>
      </c>
      <c r="S260" s="38" t="str">
        <f t="shared" si="46"/>
        <v/>
      </c>
      <c r="T260" s="39" t="str">
        <f t="shared" si="47"/>
        <v/>
      </c>
      <c r="U260" s="40" t="str">
        <f t="shared" si="48"/>
        <v/>
      </c>
      <c r="V260" s="33" t="str">
        <f t="shared" si="49"/>
        <v/>
      </c>
      <c r="W260" s="33" t="str">
        <f t="shared" si="50"/>
        <v/>
      </c>
      <c r="X260" s="41" t="str">
        <f>IF($A260="","",IFERROR(MATCH($A260,Comenzi!$A$9:$A$108,0)+8,""))</f>
        <v/>
      </c>
      <c r="Y260" s="41" t="str">
        <f t="shared" si="51"/>
        <v/>
      </c>
      <c r="Z260" s="42" t="str">
        <f>IF($A260="","",IF($A260="?","Lipseste ID-ul comenzii (col. A din PI Furnizor)",IF(NOT(ISNUMBER($X260)),"ID comanda negasit in foaia Comenzi",IF(N($E260)&lt;=0,"Lipseste cantitatea",IF(N($G260)=0,"Pret unitar lipsa",IF($Y260&lt;&gt;1,"Curs sau moneda marfa lipsa (foaia Comenzi)",IF(INDEX(Comenzi!$AT:$AT,$X260)&lt;&gt;"OK","Avertisment comanda: "&amp;INDEX(Comenzi!$AT:$AT,$X260),"OK")))))))</f>
        <v/>
      </c>
      <c r="AA260" s="43" t="str">
        <f>IF(ISNUMBER($X260),INDEX(Comenzi!$H:$H,$X260),"")</f>
        <v/>
      </c>
      <c r="AB260" s="43" t="str">
        <f>IF(ISNUMBER($X260),INDEX(Comenzi!$I:$I,$X260),"")</f>
        <v/>
      </c>
      <c r="AC260" s="44" t="str">
        <f>IF(ISNUMBER($X260),IF(INDEX(Comenzi!$V:$V,$X260)="",Comenzi!$D$3,INDEX(Comenzi!$V:$V,$X260)),"")</f>
        <v/>
      </c>
      <c r="AD260" s="44" t="str">
        <f>IF(ISNUMBER($X260),IF(INDEX(Comenzi!$U:$U,$X260)="",Comenzi!$D$4,INDEX(Comenzi!$U:$U,$X260)),"")</f>
        <v/>
      </c>
      <c r="AE260" s="45" t="str">
        <f>IF($Y260&lt;&gt;1,"",IF(INDEX(Comenzi!$AM:$AM,$X260)="Greutate",INDEX('PI Furnizor'!$O:$O,ROW()-3),IF(INDEX(Comenzi!$AM:$AM,$X260)="Volum (CBM)",INDEX('PI Furnizor'!$Q:$Q,ROW()-3),IF(INDEX(Comenzi!$AM:$AM,$X260)="Valoare marfa",INDEX('PI Furnizor'!$N:$N,ROW()-3),$E260))))</f>
        <v/>
      </c>
    </row>
    <row r="261" spans="1:31" x14ac:dyDescent="0.3">
      <c r="A261" s="28" t="str">
        <f>IF(COUNTA(INDEX('PI Furnizor'!$A:$E,ROW()-3,0))=0,"",IF(INDEX('PI Furnizor'!$A:$A,ROW()-3)="","?",INDEX('PI Furnizor'!$A:$A,ROW()-3)))</f>
        <v/>
      </c>
      <c r="B261" s="29" t="str">
        <f>IF(ISNUMBER($X261),INDEX(Comenzi!$B:$B,$X261),"")</f>
        <v/>
      </c>
      <c r="C261" s="28" t="str">
        <f>IF($A261="","",INDEX('PI Furnizor'!$B:$B,ROW()-3)&amp;"")</f>
        <v/>
      </c>
      <c r="D261" s="28" t="str">
        <f>IF($A261="","",INDEX('PI Furnizor'!$C:$C,ROW()-3)&amp;"")</f>
        <v/>
      </c>
      <c r="E261" s="30" t="str">
        <f>IF($A261="","",N(INDEX('PI Furnizor'!$D:$D,ROW()-3)))</f>
        <v/>
      </c>
      <c r="F261" s="31" t="str">
        <f>IF(ISNUMBER($X261),INDEX(Comenzi!$G:$G,$X261),"")</f>
        <v/>
      </c>
      <c r="G261" s="32" t="str">
        <f>IF($A261="","",N(INDEX('PI Furnizor'!$E:$E,ROW()-3)))</f>
        <v/>
      </c>
      <c r="H261" s="33" t="str">
        <f t="shared" si="39"/>
        <v/>
      </c>
      <c r="I261" s="34" t="str">
        <f>IF($Y261&lt;&gt;1,"",IFERROR($AE261/INDEX(Comenzi!$AN:$AN,$X261),0))</f>
        <v/>
      </c>
      <c r="J261" s="33" t="str">
        <f>IF($Y261&lt;&gt;1,"",INDEX(Comenzi!$AG:$AG,$X261)*$I261/$E261)</f>
        <v/>
      </c>
      <c r="K261" s="33" t="str">
        <f t="shared" si="40"/>
        <v/>
      </c>
      <c r="L261" s="33" t="str">
        <f>IF($Y261&lt;&gt;1,"",$K261*$AD261+INDEX(Comenzi!$AJ:$AJ,$X261)*$I261/$E261)</f>
        <v/>
      </c>
      <c r="M261" s="33" t="str">
        <f t="shared" si="41"/>
        <v/>
      </c>
      <c r="N261" s="33" t="str">
        <f t="shared" si="42"/>
        <v/>
      </c>
      <c r="O261" s="33" t="str">
        <f>IF($Y261&lt;&gt;1,"",(INDEX(Comenzi!$AK:$AK,$X261)+N(INDEX(Comenzi!$T:$T,$X261)))*$I261/$E261)</f>
        <v/>
      </c>
      <c r="P261" s="35" t="str">
        <f t="shared" si="43"/>
        <v/>
      </c>
      <c r="Q261" s="36" t="str">
        <f t="shared" si="44"/>
        <v/>
      </c>
      <c r="R261" s="37" t="str">
        <f t="shared" si="45"/>
        <v/>
      </c>
      <c r="S261" s="38" t="str">
        <f t="shared" si="46"/>
        <v/>
      </c>
      <c r="T261" s="39" t="str">
        <f t="shared" si="47"/>
        <v/>
      </c>
      <c r="U261" s="40" t="str">
        <f t="shared" si="48"/>
        <v/>
      </c>
      <c r="V261" s="33" t="str">
        <f t="shared" si="49"/>
        <v/>
      </c>
      <c r="W261" s="33" t="str">
        <f t="shared" si="50"/>
        <v/>
      </c>
      <c r="X261" s="41" t="str">
        <f>IF($A261="","",IFERROR(MATCH($A261,Comenzi!$A$9:$A$108,0)+8,""))</f>
        <v/>
      </c>
      <c r="Y261" s="41" t="str">
        <f t="shared" si="51"/>
        <v/>
      </c>
      <c r="Z261" s="42" t="str">
        <f>IF($A261="","",IF($A261="?","Lipseste ID-ul comenzii (col. A din PI Furnizor)",IF(NOT(ISNUMBER($X261)),"ID comanda negasit in foaia Comenzi",IF(N($E261)&lt;=0,"Lipseste cantitatea",IF(N($G261)=0,"Pret unitar lipsa",IF($Y261&lt;&gt;1,"Curs sau moneda marfa lipsa (foaia Comenzi)",IF(INDEX(Comenzi!$AT:$AT,$X261)&lt;&gt;"OK","Avertisment comanda: "&amp;INDEX(Comenzi!$AT:$AT,$X261),"OK")))))))</f>
        <v/>
      </c>
      <c r="AA261" s="43" t="str">
        <f>IF(ISNUMBER($X261),INDEX(Comenzi!$H:$H,$X261),"")</f>
        <v/>
      </c>
      <c r="AB261" s="43" t="str">
        <f>IF(ISNUMBER($X261),INDEX(Comenzi!$I:$I,$X261),"")</f>
        <v/>
      </c>
      <c r="AC261" s="44" t="str">
        <f>IF(ISNUMBER($X261),IF(INDEX(Comenzi!$V:$V,$X261)="",Comenzi!$D$3,INDEX(Comenzi!$V:$V,$X261)),"")</f>
        <v/>
      </c>
      <c r="AD261" s="44" t="str">
        <f>IF(ISNUMBER($X261),IF(INDEX(Comenzi!$U:$U,$X261)="",Comenzi!$D$4,INDEX(Comenzi!$U:$U,$X261)),"")</f>
        <v/>
      </c>
      <c r="AE261" s="45" t="str">
        <f>IF($Y261&lt;&gt;1,"",IF(INDEX(Comenzi!$AM:$AM,$X261)="Greutate",INDEX('PI Furnizor'!$O:$O,ROW()-3),IF(INDEX(Comenzi!$AM:$AM,$X261)="Volum (CBM)",INDEX('PI Furnizor'!$Q:$Q,ROW()-3),IF(INDEX(Comenzi!$AM:$AM,$X261)="Valoare marfa",INDEX('PI Furnizor'!$N:$N,ROW()-3),$E261))))</f>
        <v/>
      </c>
    </row>
    <row r="262" spans="1:31" x14ac:dyDescent="0.3">
      <c r="A262" s="28" t="str">
        <f>IF(COUNTA(INDEX('PI Furnizor'!$A:$E,ROW()-3,0))=0,"",IF(INDEX('PI Furnizor'!$A:$A,ROW()-3)="","?",INDEX('PI Furnizor'!$A:$A,ROW()-3)))</f>
        <v/>
      </c>
      <c r="B262" s="29" t="str">
        <f>IF(ISNUMBER($X262),INDEX(Comenzi!$B:$B,$X262),"")</f>
        <v/>
      </c>
      <c r="C262" s="28" t="str">
        <f>IF($A262="","",INDEX('PI Furnizor'!$B:$B,ROW()-3)&amp;"")</f>
        <v/>
      </c>
      <c r="D262" s="28" t="str">
        <f>IF($A262="","",INDEX('PI Furnizor'!$C:$C,ROW()-3)&amp;"")</f>
        <v/>
      </c>
      <c r="E262" s="30" t="str">
        <f>IF($A262="","",N(INDEX('PI Furnizor'!$D:$D,ROW()-3)))</f>
        <v/>
      </c>
      <c r="F262" s="31" t="str">
        <f>IF(ISNUMBER($X262),INDEX(Comenzi!$G:$G,$X262),"")</f>
        <v/>
      </c>
      <c r="G262" s="32" t="str">
        <f>IF($A262="","",N(INDEX('PI Furnizor'!$E:$E,ROW()-3)))</f>
        <v/>
      </c>
      <c r="H262" s="33" t="str">
        <f t="shared" si="39"/>
        <v/>
      </c>
      <c r="I262" s="34" t="str">
        <f>IF($Y262&lt;&gt;1,"",IFERROR($AE262/INDEX(Comenzi!$AN:$AN,$X262),0))</f>
        <v/>
      </c>
      <c r="J262" s="33" t="str">
        <f>IF($Y262&lt;&gt;1,"",INDEX(Comenzi!$AG:$AG,$X262)*$I262/$E262)</f>
        <v/>
      </c>
      <c r="K262" s="33" t="str">
        <f t="shared" si="40"/>
        <v/>
      </c>
      <c r="L262" s="33" t="str">
        <f>IF($Y262&lt;&gt;1,"",$K262*$AD262+INDEX(Comenzi!$AJ:$AJ,$X262)*$I262/$E262)</f>
        <v/>
      </c>
      <c r="M262" s="33" t="str">
        <f t="shared" si="41"/>
        <v/>
      </c>
      <c r="N262" s="33" t="str">
        <f t="shared" si="42"/>
        <v/>
      </c>
      <c r="O262" s="33" t="str">
        <f>IF($Y262&lt;&gt;1,"",(INDEX(Comenzi!$AK:$AK,$X262)+N(INDEX(Comenzi!$T:$T,$X262)))*$I262/$E262)</f>
        <v/>
      </c>
      <c r="P262" s="35" t="str">
        <f t="shared" si="43"/>
        <v/>
      </c>
      <c r="Q262" s="36" t="str">
        <f t="shared" si="44"/>
        <v/>
      </c>
      <c r="R262" s="37" t="str">
        <f t="shared" si="45"/>
        <v/>
      </c>
      <c r="S262" s="38" t="str">
        <f t="shared" si="46"/>
        <v/>
      </c>
      <c r="T262" s="39" t="str">
        <f t="shared" si="47"/>
        <v/>
      </c>
      <c r="U262" s="40" t="str">
        <f t="shared" si="48"/>
        <v/>
      </c>
      <c r="V262" s="33" t="str">
        <f t="shared" si="49"/>
        <v/>
      </c>
      <c r="W262" s="33" t="str">
        <f t="shared" si="50"/>
        <v/>
      </c>
      <c r="X262" s="41" t="str">
        <f>IF($A262="","",IFERROR(MATCH($A262,Comenzi!$A$9:$A$108,0)+8,""))</f>
        <v/>
      </c>
      <c r="Y262" s="41" t="str">
        <f t="shared" si="51"/>
        <v/>
      </c>
      <c r="Z262" s="42" t="str">
        <f>IF($A262="","",IF($A262="?","Lipseste ID-ul comenzii (col. A din PI Furnizor)",IF(NOT(ISNUMBER($X262)),"ID comanda negasit in foaia Comenzi",IF(N($E262)&lt;=0,"Lipseste cantitatea",IF(N($G262)=0,"Pret unitar lipsa",IF($Y262&lt;&gt;1,"Curs sau moneda marfa lipsa (foaia Comenzi)",IF(INDEX(Comenzi!$AT:$AT,$X262)&lt;&gt;"OK","Avertisment comanda: "&amp;INDEX(Comenzi!$AT:$AT,$X262),"OK")))))))</f>
        <v/>
      </c>
      <c r="AA262" s="43" t="str">
        <f>IF(ISNUMBER($X262),INDEX(Comenzi!$H:$H,$X262),"")</f>
        <v/>
      </c>
      <c r="AB262" s="43" t="str">
        <f>IF(ISNUMBER($X262),INDEX(Comenzi!$I:$I,$X262),"")</f>
        <v/>
      </c>
      <c r="AC262" s="44" t="str">
        <f>IF(ISNUMBER($X262),IF(INDEX(Comenzi!$V:$V,$X262)="",Comenzi!$D$3,INDEX(Comenzi!$V:$V,$X262)),"")</f>
        <v/>
      </c>
      <c r="AD262" s="44" t="str">
        <f>IF(ISNUMBER($X262),IF(INDEX(Comenzi!$U:$U,$X262)="",Comenzi!$D$4,INDEX(Comenzi!$U:$U,$X262)),"")</f>
        <v/>
      </c>
      <c r="AE262" s="45" t="str">
        <f>IF($Y262&lt;&gt;1,"",IF(INDEX(Comenzi!$AM:$AM,$X262)="Greutate",INDEX('PI Furnizor'!$O:$O,ROW()-3),IF(INDEX(Comenzi!$AM:$AM,$X262)="Volum (CBM)",INDEX('PI Furnizor'!$Q:$Q,ROW()-3),IF(INDEX(Comenzi!$AM:$AM,$X262)="Valoare marfa",INDEX('PI Furnizor'!$N:$N,ROW()-3),$E262))))</f>
        <v/>
      </c>
    </row>
    <row r="263" spans="1:31" x14ac:dyDescent="0.3">
      <c r="A263" s="28" t="str">
        <f>IF(COUNTA(INDEX('PI Furnizor'!$A:$E,ROW()-3,0))=0,"",IF(INDEX('PI Furnizor'!$A:$A,ROW()-3)="","?",INDEX('PI Furnizor'!$A:$A,ROW()-3)))</f>
        <v/>
      </c>
      <c r="B263" s="29" t="str">
        <f>IF(ISNUMBER($X263),INDEX(Comenzi!$B:$B,$X263),"")</f>
        <v/>
      </c>
      <c r="C263" s="28" t="str">
        <f>IF($A263="","",INDEX('PI Furnizor'!$B:$B,ROW()-3)&amp;"")</f>
        <v/>
      </c>
      <c r="D263" s="28" t="str">
        <f>IF($A263="","",INDEX('PI Furnizor'!$C:$C,ROW()-3)&amp;"")</f>
        <v/>
      </c>
      <c r="E263" s="30" t="str">
        <f>IF($A263="","",N(INDEX('PI Furnizor'!$D:$D,ROW()-3)))</f>
        <v/>
      </c>
      <c r="F263" s="31" t="str">
        <f>IF(ISNUMBER($X263),INDEX(Comenzi!$G:$G,$X263),"")</f>
        <v/>
      </c>
      <c r="G263" s="32" t="str">
        <f>IF($A263="","",N(INDEX('PI Furnizor'!$E:$E,ROW()-3)))</f>
        <v/>
      </c>
      <c r="H263" s="33" t="str">
        <f t="shared" si="39"/>
        <v/>
      </c>
      <c r="I263" s="34" t="str">
        <f>IF($Y263&lt;&gt;1,"",IFERROR($AE263/INDEX(Comenzi!$AN:$AN,$X263),0))</f>
        <v/>
      </c>
      <c r="J263" s="33" t="str">
        <f>IF($Y263&lt;&gt;1,"",INDEX(Comenzi!$AG:$AG,$X263)*$I263/$E263)</f>
        <v/>
      </c>
      <c r="K263" s="33" t="str">
        <f t="shared" si="40"/>
        <v/>
      </c>
      <c r="L263" s="33" t="str">
        <f>IF($Y263&lt;&gt;1,"",$K263*$AD263+INDEX(Comenzi!$AJ:$AJ,$X263)*$I263/$E263)</f>
        <v/>
      </c>
      <c r="M263" s="33" t="str">
        <f t="shared" si="41"/>
        <v/>
      </c>
      <c r="N263" s="33" t="str">
        <f t="shared" si="42"/>
        <v/>
      </c>
      <c r="O263" s="33" t="str">
        <f>IF($Y263&lt;&gt;1,"",(INDEX(Comenzi!$AK:$AK,$X263)+N(INDEX(Comenzi!$T:$T,$X263)))*$I263/$E263)</f>
        <v/>
      </c>
      <c r="P263" s="35" t="str">
        <f t="shared" si="43"/>
        <v/>
      </c>
      <c r="Q263" s="36" t="str">
        <f t="shared" si="44"/>
        <v/>
      </c>
      <c r="R263" s="37" t="str">
        <f t="shared" si="45"/>
        <v/>
      </c>
      <c r="S263" s="38" t="str">
        <f t="shared" si="46"/>
        <v/>
      </c>
      <c r="T263" s="39" t="str">
        <f t="shared" si="47"/>
        <v/>
      </c>
      <c r="U263" s="40" t="str">
        <f t="shared" si="48"/>
        <v/>
      </c>
      <c r="V263" s="33" t="str">
        <f t="shared" si="49"/>
        <v/>
      </c>
      <c r="W263" s="33" t="str">
        <f t="shared" si="50"/>
        <v/>
      </c>
      <c r="X263" s="41" t="str">
        <f>IF($A263="","",IFERROR(MATCH($A263,Comenzi!$A$9:$A$108,0)+8,""))</f>
        <v/>
      </c>
      <c r="Y263" s="41" t="str">
        <f t="shared" si="51"/>
        <v/>
      </c>
      <c r="Z263" s="42" t="str">
        <f>IF($A263="","",IF($A263="?","Lipseste ID-ul comenzii (col. A din PI Furnizor)",IF(NOT(ISNUMBER($X263)),"ID comanda negasit in foaia Comenzi",IF(N($E263)&lt;=0,"Lipseste cantitatea",IF(N($G263)=0,"Pret unitar lipsa",IF($Y263&lt;&gt;1,"Curs sau moneda marfa lipsa (foaia Comenzi)",IF(INDEX(Comenzi!$AT:$AT,$X263)&lt;&gt;"OK","Avertisment comanda: "&amp;INDEX(Comenzi!$AT:$AT,$X263),"OK")))))))</f>
        <v/>
      </c>
      <c r="AA263" s="43" t="str">
        <f>IF(ISNUMBER($X263),INDEX(Comenzi!$H:$H,$X263),"")</f>
        <v/>
      </c>
      <c r="AB263" s="43" t="str">
        <f>IF(ISNUMBER($X263),INDEX(Comenzi!$I:$I,$X263),"")</f>
        <v/>
      </c>
      <c r="AC263" s="44" t="str">
        <f>IF(ISNUMBER($X263),IF(INDEX(Comenzi!$V:$V,$X263)="",Comenzi!$D$3,INDEX(Comenzi!$V:$V,$X263)),"")</f>
        <v/>
      </c>
      <c r="AD263" s="44" t="str">
        <f>IF(ISNUMBER($X263),IF(INDEX(Comenzi!$U:$U,$X263)="",Comenzi!$D$4,INDEX(Comenzi!$U:$U,$X263)),"")</f>
        <v/>
      </c>
      <c r="AE263" s="45" t="str">
        <f>IF($Y263&lt;&gt;1,"",IF(INDEX(Comenzi!$AM:$AM,$X263)="Greutate",INDEX('PI Furnizor'!$O:$O,ROW()-3),IF(INDEX(Comenzi!$AM:$AM,$X263)="Volum (CBM)",INDEX('PI Furnizor'!$Q:$Q,ROW()-3),IF(INDEX(Comenzi!$AM:$AM,$X263)="Valoare marfa",INDEX('PI Furnizor'!$N:$N,ROW()-3),$E263))))</f>
        <v/>
      </c>
    </row>
    <row r="264" spans="1:31" x14ac:dyDescent="0.3">
      <c r="A264" s="28" t="str">
        <f>IF(COUNTA(INDEX('PI Furnizor'!$A:$E,ROW()-3,0))=0,"",IF(INDEX('PI Furnizor'!$A:$A,ROW()-3)="","?",INDEX('PI Furnizor'!$A:$A,ROW()-3)))</f>
        <v/>
      </c>
      <c r="B264" s="29" t="str">
        <f>IF(ISNUMBER($X264),INDEX(Comenzi!$B:$B,$X264),"")</f>
        <v/>
      </c>
      <c r="C264" s="28" t="str">
        <f>IF($A264="","",INDEX('PI Furnizor'!$B:$B,ROW()-3)&amp;"")</f>
        <v/>
      </c>
      <c r="D264" s="28" t="str">
        <f>IF($A264="","",INDEX('PI Furnizor'!$C:$C,ROW()-3)&amp;"")</f>
        <v/>
      </c>
      <c r="E264" s="30" t="str">
        <f>IF($A264="","",N(INDEX('PI Furnizor'!$D:$D,ROW()-3)))</f>
        <v/>
      </c>
      <c r="F264" s="31" t="str">
        <f>IF(ISNUMBER($X264),INDEX(Comenzi!$G:$G,$X264),"")</f>
        <v/>
      </c>
      <c r="G264" s="32" t="str">
        <f>IF($A264="","",N(INDEX('PI Furnizor'!$E:$E,ROW()-3)))</f>
        <v/>
      </c>
      <c r="H264" s="33" t="str">
        <f t="shared" si="39"/>
        <v/>
      </c>
      <c r="I264" s="34" t="str">
        <f>IF($Y264&lt;&gt;1,"",IFERROR($AE264/INDEX(Comenzi!$AN:$AN,$X264),0))</f>
        <v/>
      </c>
      <c r="J264" s="33" t="str">
        <f>IF($Y264&lt;&gt;1,"",INDEX(Comenzi!$AG:$AG,$X264)*$I264/$E264)</f>
        <v/>
      </c>
      <c r="K264" s="33" t="str">
        <f t="shared" si="40"/>
        <v/>
      </c>
      <c r="L264" s="33" t="str">
        <f>IF($Y264&lt;&gt;1,"",$K264*$AD264+INDEX(Comenzi!$AJ:$AJ,$X264)*$I264/$E264)</f>
        <v/>
      </c>
      <c r="M264" s="33" t="str">
        <f t="shared" si="41"/>
        <v/>
      </c>
      <c r="N264" s="33" t="str">
        <f t="shared" si="42"/>
        <v/>
      </c>
      <c r="O264" s="33" t="str">
        <f>IF($Y264&lt;&gt;1,"",(INDEX(Comenzi!$AK:$AK,$X264)+N(INDEX(Comenzi!$T:$T,$X264)))*$I264/$E264)</f>
        <v/>
      </c>
      <c r="P264" s="35" t="str">
        <f t="shared" si="43"/>
        <v/>
      </c>
      <c r="Q264" s="36" t="str">
        <f t="shared" si="44"/>
        <v/>
      </c>
      <c r="R264" s="37" t="str">
        <f t="shared" si="45"/>
        <v/>
      </c>
      <c r="S264" s="38" t="str">
        <f t="shared" si="46"/>
        <v/>
      </c>
      <c r="T264" s="39" t="str">
        <f t="shared" si="47"/>
        <v/>
      </c>
      <c r="U264" s="40" t="str">
        <f t="shared" si="48"/>
        <v/>
      </c>
      <c r="V264" s="33" t="str">
        <f t="shared" si="49"/>
        <v/>
      </c>
      <c r="W264" s="33" t="str">
        <f t="shared" si="50"/>
        <v/>
      </c>
      <c r="X264" s="41" t="str">
        <f>IF($A264="","",IFERROR(MATCH($A264,Comenzi!$A$9:$A$108,0)+8,""))</f>
        <v/>
      </c>
      <c r="Y264" s="41" t="str">
        <f t="shared" si="51"/>
        <v/>
      </c>
      <c r="Z264" s="42" t="str">
        <f>IF($A264="","",IF($A264="?","Lipseste ID-ul comenzii (col. A din PI Furnizor)",IF(NOT(ISNUMBER($X264)),"ID comanda negasit in foaia Comenzi",IF(N($E264)&lt;=0,"Lipseste cantitatea",IF(N($G264)=0,"Pret unitar lipsa",IF($Y264&lt;&gt;1,"Curs sau moneda marfa lipsa (foaia Comenzi)",IF(INDEX(Comenzi!$AT:$AT,$X264)&lt;&gt;"OK","Avertisment comanda: "&amp;INDEX(Comenzi!$AT:$AT,$X264),"OK")))))))</f>
        <v/>
      </c>
      <c r="AA264" s="43" t="str">
        <f>IF(ISNUMBER($X264),INDEX(Comenzi!$H:$H,$X264),"")</f>
        <v/>
      </c>
      <c r="AB264" s="43" t="str">
        <f>IF(ISNUMBER($X264),INDEX(Comenzi!$I:$I,$X264),"")</f>
        <v/>
      </c>
      <c r="AC264" s="44" t="str">
        <f>IF(ISNUMBER($X264),IF(INDEX(Comenzi!$V:$V,$X264)="",Comenzi!$D$3,INDEX(Comenzi!$V:$V,$X264)),"")</f>
        <v/>
      </c>
      <c r="AD264" s="44" t="str">
        <f>IF(ISNUMBER($X264),IF(INDEX(Comenzi!$U:$U,$X264)="",Comenzi!$D$4,INDEX(Comenzi!$U:$U,$X264)),"")</f>
        <v/>
      </c>
      <c r="AE264" s="45" t="str">
        <f>IF($Y264&lt;&gt;1,"",IF(INDEX(Comenzi!$AM:$AM,$X264)="Greutate",INDEX('PI Furnizor'!$O:$O,ROW()-3),IF(INDEX(Comenzi!$AM:$AM,$X264)="Volum (CBM)",INDEX('PI Furnizor'!$Q:$Q,ROW()-3),IF(INDEX(Comenzi!$AM:$AM,$X264)="Valoare marfa",INDEX('PI Furnizor'!$N:$N,ROW()-3),$E264))))</f>
        <v/>
      </c>
    </row>
    <row r="265" spans="1:31" x14ac:dyDescent="0.3">
      <c r="A265" s="28" t="str">
        <f>IF(COUNTA(INDEX('PI Furnizor'!$A:$E,ROW()-3,0))=0,"",IF(INDEX('PI Furnizor'!$A:$A,ROW()-3)="","?",INDEX('PI Furnizor'!$A:$A,ROW()-3)))</f>
        <v/>
      </c>
      <c r="B265" s="29" t="str">
        <f>IF(ISNUMBER($X265),INDEX(Comenzi!$B:$B,$X265),"")</f>
        <v/>
      </c>
      <c r="C265" s="28" t="str">
        <f>IF($A265="","",INDEX('PI Furnizor'!$B:$B,ROW()-3)&amp;"")</f>
        <v/>
      </c>
      <c r="D265" s="28" t="str">
        <f>IF($A265="","",INDEX('PI Furnizor'!$C:$C,ROW()-3)&amp;"")</f>
        <v/>
      </c>
      <c r="E265" s="30" t="str">
        <f>IF($A265="","",N(INDEX('PI Furnizor'!$D:$D,ROW()-3)))</f>
        <v/>
      </c>
      <c r="F265" s="31" t="str">
        <f>IF(ISNUMBER($X265),INDEX(Comenzi!$G:$G,$X265),"")</f>
        <v/>
      </c>
      <c r="G265" s="32" t="str">
        <f>IF($A265="","",N(INDEX('PI Furnizor'!$E:$E,ROW()-3)))</f>
        <v/>
      </c>
      <c r="H265" s="33" t="str">
        <f t="shared" si="39"/>
        <v/>
      </c>
      <c r="I265" s="34" t="str">
        <f>IF($Y265&lt;&gt;1,"",IFERROR($AE265/INDEX(Comenzi!$AN:$AN,$X265),0))</f>
        <v/>
      </c>
      <c r="J265" s="33" t="str">
        <f>IF($Y265&lt;&gt;1,"",INDEX(Comenzi!$AG:$AG,$X265)*$I265/$E265)</f>
        <v/>
      </c>
      <c r="K265" s="33" t="str">
        <f t="shared" si="40"/>
        <v/>
      </c>
      <c r="L265" s="33" t="str">
        <f>IF($Y265&lt;&gt;1,"",$K265*$AD265+INDEX(Comenzi!$AJ:$AJ,$X265)*$I265/$E265)</f>
        <v/>
      </c>
      <c r="M265" s="33" t="str">
        <f t="shared" si="41"/>
        <v/>
      </c>
      <c r="N265" s="33" t="str">
        <f t="shared" si="42"/>
        <v/>
      </c>
      <c r="O265" s="33" t="str">
        <f>IF($Y265&lt;&gt;1,"",(INDEX(Comenzi!$AK:$AK,$X265)+N(INDEX(Comenzi!$T:$T,$X265)))*$I265/$E265)</f>
        <v/>
      </c>
      <c r="P265" s="35" t="str">
        <f t="shared" si="43"/>
        <v/>
      </c>
      <c r="Q265" s="36" t="str">
        <f t="shared" si="44"/>
        <v/>
      </c>
      <c r="R265" s="37" t="str">
        <f t="shared" si="45"/>
        <v/>
      </c>
      <c r="S265" s="38" t="str">
        <f t="shared" si="46"/>
        <v/>
      </c>
      <c r="T265" s="39" t="str">
        <f t="shared" si="47"/>
        <v/>
      </c>
      <c r="U265" s="40" t="str">
        <f t="shared" si="48"/>
        <v/>
      </c>
      <c r="V265" s="33" t="str">
        <f t="shared" si="49"/>
        <v/>
      </c>
      <c r="W265" s="33" t="str">
        <f t="shared" si="50"/>
        <v/>
      </c>
      <c r="X265" s="41" t="str">
        <f>IF($A265="","",IFERROR(MATCH($A265,Comenzi!$A$9:$A$108,0)+8,""))</f>
        <v/>
      </c>
      <c r="Y265" s="41" t="str">
        <f t="shared" si="51"/>
        <v/>
      </c>
      <c r="Z265" s="42" t="str">
        <f>IF($A265="","",IF($A265="?","Lipseste ID-ul comenzii (col. A din PI Furnizor)",IF(NOT(ISNUMBER($X265)),"ID comanda negasit in foaia Comenzi",IF(N($E265)&lt;=0,"Lipseste cantitatea",IF(N($G265)=0,"Pret unitar lipsa",IF($Y265&lt;&gt;1,"Curs sau moneda marfa lipsa (foaia Comenzi)",IF(INDEX(Comenzi!$AT:$AT,$X265)&lt;&gt;"OK","Avertisment comanda: "&amp;INDEX(Comenzi!$AT:$AT,$X265),"OK")))))))</f>
        <v/>
      </c>
      <c r="AA265" s="43" t="str">
        <f>IF(ISNUMBER($X265),INDEX(Comenzi!$H:$H,$X265),"")</f>
        <v/>
      </c>
      <c r="AB265" s="43" t="str">
        <f>IF(ISNUMBER($X265),INDEX(Comenzi!$I:$I,$X265),"")</f>
        <v/>
      </c>
      <c r="AC265" s="44" t="str">
        <f>IF(ISNUMBER($X265),IF(INDEX(Comenzi!$V:$V,$X265)="",Comenzi!$D$3,INDEX(Comenzi!$V:$V,$X265)),"")</f>
        <v/>
      </c>
      <c r="AD265" s="44" t="str">
        <f>IF(ISNUMBER($X265),IF(INDEX(Comenzi!$U:$U,$X265)="",Comenzi!$D$4,INDEX(Comenzi!$U:$U,$X265)),"")</f>
        <v/>
      </c>
      <c r="AE265" s="45" t="str">
        <f>IF($Y265&lt;&gt;1,"",IF(INDEX(Comenzi!$AM:$AM,$X265)="Greutate",INDEX('PI Furnizor'!$O:$O,ROW()-3),IF(INDEX(Comenzi!$AM:$AM,$X265)="Volum (CBM)",INDEX('PI Furnizor'!$Q:$Q,ROW()-3),IF(INDEX(Comenzi!$AM:$AM,$X265)="Valoare marfa",INDEX('PI Furnizor'!$N:$N,ROW()-3),$E265))))</f>
        <v/>
      </c>
    </row>
    <row r="266" spans="1:31" x14ac:dyDescent="0.3">
      <c r="A266" s="28" t="str">
        <f>IF(COUNTA(INDEX('PI Furnizor'!$A:$E,ROW()-3,0))=0,"",IF(INDEX('PI Furnizor'!$A:$A,ROW()-3)="","?",INDEX('PI Furnizor'!$A:$A,ROW()-3)))</f>
        <v/>
      </c>
      <c r="B266" s="29" t="str">
        <f>IF(ISNUMBER($X266),INDEX(Comenzi!$B:$B,$X266),"")</f>
        <v/>
      </c>
      <c r="C266" s="28" t="str">
        <f>IF($A266="","",INDEX('PI Furnizor'!$B:$B,ROW()-3)&amp;"")</f>
        <v/>
      </c>
      <c r="D266" s="28" t="str">
        <f>IF($A266="","",INDEX('PI Furnizor'!$C:$C,ROW()-3)&amp;"")</f>
        <v/>
      </c>
      <c r="E266" s="30" t="str">
        <f>IF($A266="","",N(INDEX('PI Furnizor'!$D:$D,ROW()-3)))</f>
        <v/>
      </c>
      <c r="F266" s="31" t="str">
        <f>IF(ISNUMBER($X266),INDEX(Comenzi!$G:$G,$X266),"")</f>
        <v/>
      </c>
      <c r="G266" s="32" t="str">
        <f>IF($A266="","",N(INDEX('PI Furnizor'!$E:$E,ROW()-3)))</f>
        <v/>
      </c>
      <c r="H266" s="33" t="str">
        <f t="shared" ref="H266:H329" si="52">IF($Y266&lt;&gt;1,"",$G266*IF($F266="USD",$AA266,IF($F266="EUR",$AB266,1)))</f>
        <v/>
      </c>
      <c r="I266" s="34" t="str">
        <f>IF($Y266&lt;&gt;1,"",IFERROR($AE266/INDEX(Comenzi!$AN:$AN,$X266),0))</f>
        <v/>
      </c>
      <c r="J266" s="33" t="str">
        <f>IF($Y266&lt;&gt;1,"",INDEX(Comenzi!$AG:$AG,$X266)*$I266/$E266)</f>
        <v/>
      </c>
      <c r="K266" s="33" t="str">
        <f t="shared" ref="K266:K329" si="53">IF($Y266&lt;&gt;1,"",$H266+$J266)</f>
        <v/>
      </c>
      <c r="L266" s="33" t="str">
        <f>IF($Y266&lt;&gt;1,"",$K266*$AD266+INDEX(Comenzi!$AJ:$AJ,$X266)*$I266/$E266)</f>
        <v/>
      </c>
      <c r="M266" s="33" t="str">
        <f t="shared" ref="M266:M329" si="54">IF($Y266&lt;&gt;1,"",$K266+$L266)</f>
        <v/>
      </c>
      <c r="N266" s="33" t="str">
        <f t="shared" ref="N266:N329" si="55">IF($Y266&lt;&gt;1,"",$M266*$AC266)</f>
        <v/>
      </c>
      <c r="O266" s="33" t="str">
        <f>IF($Y266&lt;&gt;1,"",(INDEX(Comenzi!$AK:$AK,$X266)+N(INDEX(Comenzi!$T:$T,$X266)))*$I266/$E266)</f>
        <v/>
      </c>
      <c r="P266" s="35" t="str">
        <f t="shared" ref="P266:P329" si="56">IF($Y266&lt;&gt;1,"",$M266+$O266)</f>
        <v/>
      </c>
      <c r="Q266" s="36" t="str">
        <f t="shared" ref="Q266:Q329" si="57">IF($Y266&lt;&gt;1,"",$P266/$AB266)</f>
        <v/>
      </c>
      <c r="R266" s="37" t="str">
        <f t="shared" ref="R266:R329" si="58">IF($Y266&lt;&gt;1,"",$P266/$AA266)</f>
        <v/>
      </c>
      <c r="S266" s="38" t="str">
        <f t="shared" ref="S266:S329" si="59">IF($Y266&lt;&gt;1,"",$P266+$N266)</f>
        <v/>
      </c>
      <c r="T266" s="39" t="str">
        <f t="shared" ref="T266:T329" si="60">IF($Y266&lt;&gt;1,"",$S266/$AB266)</f>
        <v/>
      </c>
      <c r="U266" s="40" t="str">
        <f t="shared" ref="U266:U329" si="61">IF($Y266&lt;&gt;1,"",$S266/$AA266)</f>
        <v/>
      </c>
      <c r="V266" s="33" t="str">
        <f t="shared" ref="V266:V329" si="62">IF($Y266&lt;&gt;1,"",$P266*$E266)</f>
        <v/>
      </c>
      <c r="W266" s="33" t="str">
        <f t="shared" ref="W266:W329" si="63">IF($Y266&lt;&gt;1,"",$S266*$E266)</f>
        <v/>
      </c>
      <c r="X266" s="41" t="str">
        <f>IF($A266="","",IFERROR(MATCH($A266,Comenzi!$A$9:$A$108,0)+8,""))</f>
        <v/>
      </c>
      <c r="Y266" s="41" t="str">
        <f t="shared" ref="Y266:Y329" si="64">IF($A266="","",IF(AND(ISNUMBER($X266),N($E266)&gt;0,N($AA266)&gt;0,N($AB266)&gt;0,OR($F266="USD",$F266="EUR",$F266="RON")),1,0))</f>
        <v/>
      </c>
      <c r="Z266" s="42" t="str">
        <f>IF($A266="","",IF($A266="?","Lipseste ID-ul comenzii (col. A din PI Furnizor)",IF(NOT(ISNUMBER($X266)),"ID comanda negasit in foaia Comenzi",IF(N($E266)&lt;=0,"Lipseste cantitatea",IF(N($G266)=0,"Pret unitar lipsa",IF($Y266&lt;&gt;1,"Curs sau moneda marfa lipsa (foaia Comenzi)",IF(INDEX(Comenzi!$AT:$AT,$X266)&lt;&gt;"OK","Avertisment comanda: "&amp;INDEX(Comenzi!$AT:$AT,$X266),"OK")))))))</f>
        <v/>
      </c>
      <c r="AA266" s="43" t="str">
        <f>IF(ISNUMBER($X266),INDEX(Comenzi!$H:$H,$X266),"")</f>
        <v/>
      </c>
      <c r="AB266" s="43" t="str">
        <f>IF(ISNUMBER($X266),INDEX(Comenzi!$I:$I,$X266),"")</f>
        <v/>
      </c>
      <c r="AC266" s="44" t="str">
        <f>IF(ISNUMBER($X266),IF(INDEX(Comenzi!$V:$V,$X266)="",Comenzi!$D$3,INDEX(Comenzi!$V:$V,$X266)),"")</f>
        <v/>
      </c>
      <c r="AD266" s="44" t="str">
        <f>IF(ISNUMBER($X266),IF(INDEX(Comenzi!$U:$U,$X266)="",Comenzi!$D$4,INDEX(Comenzi!$U:$U,$X266)),"")</f>
        <v/>
      </c>
      <c r="AE266" s="45" t="str">
        <f>IF($Y266&lt;&gt;1,"",IF(INDEX(Comenzi!$AM:$AM,$X266)="Greutate",INDEX('PI Furnizor'!$O:$O,ROW()-3),IF(INDEX(Comenzi!$AM:$AM,$X266)="Volum (CBM)",INDEX('PI Furnizor'!$Q:$Q,ROW()-3),IF(INDEX(Comenzi!$AM:$AM,$X266)="Valoare marfa",INDEX('PI Furnizor'!$N:$N,ROW()-3),$E266))))</f>
        <v/>
      </c>
    </row>
    <row r="267" spans="1:31" x14ac:dyDescent="0.3">
      <c r="A267" s="28" t="str">
        <f>IF(COUNTA(INDEX('PI Furnizor'!$A:$E,ROW()-3,0))=0,"",IF(INDEX('PI Furnizor'!$A:$A,ROW()-3)="","?",INDEX('PI Furnizor'!$A:$A,ROW()-3)))</f>
        <v/>
      </c>
      <c r="B267" s="29" t="str">
        <f>IF(ISNUMBER($X267),INDEX(Comenzi!$B:$B,$X267),"")</f>
        <v/>
      </c>
      <c r="C267" s="28" t="str">
        <f>IF($A267="","",INDEX('PI Furnizor'!$B:$B,ROW()-3)&amp;"")</f>
        <v/>
      </c>
      <c r="D267" s="28" t="str">
        <f>IF($A267="","",INDEX('PI Furnizor'!$C:$C,ROW()-3)&amp;"")</f>
        <v/>
      </c>
      <c r="E267" s="30" t="str">
        <f>IF($A267="","",N(INDEX('PI Furnizor'!$D:$D,ROW()-3)))</f>
        <v/>
      </c>
      <c r="F267" s="31" t="str">
        <f>IF(ISNUMBER($X267),INDEX(Comenzi!$G:$G,$X267),"")</f>
        <v/>
      </c>
      <c r="G267" s="32" t="str">
        <f>IF($A267="","",N(INDEX('PI Furnizor'!$E:$E,ROW()-3)))</f>
        <v/>
      </c>
      <c r="H267" s="33" t="str">
        <f t="shared" si="52"/>
        <v/>
      </c>
      <c r="I267" s="34" t="str">
        <f>IF($Y267&lt;&gt;1,"",IFERROR($AE267/INDEX(Comenzi!$AN:$AN,$X267),0))</f>
        <v/>
      </c>
      <c r="J267" s="33" t="str">
        <f>IF($Y267&lt;&gt;1,"",INDEX(Comenzi!$AG:$AG,$X267)*$I267/$E267)</f>
        <v/>
      </c>
      <c r="K267" s="33" t="str">
        <f t="shared" si="53"/>
        <v/>
      </c>
      <c r="L267" s="33" t="str">
        <f>IF($Y267&lt;&gt;1,"",$K267*$AD267+INDEX(Comenzi!$AJ:$AJ,$X267)*$I267/$E267)</f>
        <v/>
      </c>
      <c r="M267" s="33" t="str">
        <f t="shared" si="54"/>
        <v/>
      </c>
      <c r="N267" s="33" t="str">
        <f t="shared" si="55"/>
        <v/>
      </c>
      <c r="O267" s="33" t="str">
        <f>IF($Y267&lt;&gt;1,"",(INDEX(Comenzi!$AK:$AK,$X267)+N(INDEX(Comenzi!$T:$T,$X267)))*$I267/$E267)</f>
        <v/>
      </c>
      <c r="P267" s="35" t="str">
        <f t="shared" si="56"/>
        <v/>
      </c>
      <c r="Q267" s="36" t="str">
        <f t="shared" si="57"/>
        <v/>
      </c>
      <c r="R267" s="37" t="str">
        <f t="shared" si="58"/>
        <v/>
      </c>
      <c r="S267" s="38" t="str">
        <f t="shared" si="59"/>
        <v/>
      </c>
      <c r="T267" s="39" t="str">
        <f t="shared" si="60"/>
        <v/>
      </c>
      <c r="U267" s="40" t="str">
        <f t="shared" si="61"/>
        <v/>
      </c>
      <c r="V267" s="33" t="str">
        <f t="shared" si="62"/>
        <v/>
      </c>
      <c r="W267" s="33" t="str">
        <f t="shared" si="63"/>
        <v/>
      </c>
      <c r="X267" s="41" t="str">
        <f>IF($A267="","",IFERROR(MATCH($A267,Comenzi!$A$9:$A$108,0)+8,""))</f>
        <v/>
      </c>
      <c r="Y267" s="41" t="str">
        <f t="shared" si="64"/>
        <v/>
      </c>
      <c r="Z267" s="42" t="str">
        <f>IF($A267="","",IF($A267="?","Lipseste ID-ul comenzii (col. A din PI Furnizor)",IF(NOT(ISNUMBER($X267)),"ID comanda negasit in foaia Comenzi",IF(N($E267)&lt;=0,"Lipseste cantitatea",IF(N($G267)=0,"Pret unitar lipsa",IF($Y267&lt;&gt;1,"Curs sau moneda marfa lipsa (foaia Comenzi)",IF(INDEX(Comenzi!$AT:$AT,$X267)&lt;&gt;"OK","Avertisment comanda: "&amp;INDEX(Comenzi!$AT:$AT,$X267),"OK")))))))</f>
        <v/>
      </c>
      <c r="AA267" s="43" t="str">
        <f>IF(ISNUMBER($X267),INDEX(Comenzi!$H:$H,$X267),"")</f>
        <v/>
      </c>
      <c r="AB267" s="43" t="str">
        <f>IF(ISNUMBER($X267),INDEX(Comenzi!$I:$I,$X267),"")</f>
        <v/>
      </c>
      <c r="AC267" s="44" t="str">
        <f>IF(ISNUMBER($X267),IF(INDEX(Comenzi!$V:$V,$X267)="",Comenzi!$D$3,INDEX(Comenzi!$V:$V,$X267)),"")</f>
        <v/>
      </c>
      <c r="AD267" s="44" t="str">
        <f>IF(ISNUMBER($X267),IF(INDEX(Comenzi!$U:$U,$X267)="",Comenzi!$D$4,INDEX(Comenzi!$U:$U,$X267)),"")</f>
        <v/>
      </c>
      <c r="AE267" s="45" t="str">
        <f>IF($Y267&lt;&gt;1,"",IF(INDEX(Comenzi!$AM:$AM,$X267)="Greutate",INDEX('PI Furnizor'!$O:$O,ROW()-3),IF(INDEX(Comenzi!$AM:$AM,$X267)="Volum (CBM)",INDEX('PI Furnizor'!$Q:$Q,ROW()-3),IF(INDEX(Comenzi!$AM:$AM,$X267)="Valoare marfa",INDEX('PI Furnizor'!$N:$N,ROW()-3),$E267))))</f>
        <v/>
      </c>
    </row>
    <row r="268" spans="1:31" x14ac:dyDescent="0.3">
      <c r="A268" s="28" t="str">
        <f>IF(COUNTA(INDEX('PI Furnizor'!$A:$E,ROW()-3,0))=0,"",IF(INDEX('PI Furnizor'!$A:$A,ROW()-3)="","?",INDEX('PI Furnizor'!$A:$A,ROW()-3)))</f>
        <v/>
      </c>
      <c r="B268" s="29" t="str">
        <f>IF(ISNUMBER($X268),INDEX(Comenzi!$B:$B,$X268),"")</f>
        <v/>
      </c>
      <c r="C268" s="28" t="str">
        <f>IF($A268="","",INDEX('PI Furnizor'!$B:$B,ROW()-3)&amp;"")</f>
        <v/>
      </c>
      <c r="D268" s="28" t="str">
        <f>IF($A268="","",INDEX('PI Furnizor'!$C:$C,ROW()-3)&amp;"")</f>
        <v/>
      </c>
      <c r="E268" s="30" t="str">
        <f>IF($A268="","",N(INDEX('PI Furnizor'!$D:$D,ROW()-3)))</f>
        <v/>
      </c>
      <c r="F268" s="31" t="str">
        <f>IF(ISNUMBER($X268),INDEX(Comenzi!$G:$G,$X268),"")</f>
        <v/>
      </c>
      <c r="G268" s="32" t="str">
        <f>IF($A268="","",N(INDEX('PI Furnizor'!$E:$E,ROW()-3)))</f>
        <v/>
      </c>
      <c r="H268" s="33" t="str">
        <f t="shared" si="52"/>
        <v/>
      </c>
      <c r="I268" s="34" t="str">
        <f>IF($Y268&lt;&gt;1,"",IFERROR($AE268/INDEX(Comenzi!$AN:$AN,$X268),0))</f>
        <v/>
      </c>
      <c r="J268" s="33" t="str">
        <f>IF($Y268&lt;&gt;1,"",INDEX(Comenzi!$AG:$AG,$X268)*$I268/$E268)</f>
        <v/>
      </c>
      <c r="K268" s="33" t="str">
        <f t="shared" si="53"/>
        <v/>
      </c>
      <c r="L268" s="33" t="str">
        <f>IF($Y268&lt;&gt;1,"",$K268*$AD268+INDEX(Comenzi!$AJ:$AJ,$X268)*$I268/$E268)</f>
        <v/>
      </c>
      <c r="M268" s="33" t="str">
        <f t="shared" si="54"/>
        <v/>
      </c>
      <c r="N268" s="33" t="str">
        <f t="shared" si="55"/>
        <v/>
      </c>
      <c r="O268" s="33" t="str">
        <f>IF($Y268&lt;&gt;1,"",(INDEX(Comenzi!$AK:$AK,$X268)+N(INDEX(Comenzi!$T:$T,$X268)))*$I268/$E268)</f>
        <v/>
      </c>
      <c r="P268" s="35" t="str">
        <f t="shared" si="56"/>
        <v/>
      </c>
      <c r="Q268" s="36" t="str">
        <f t="shared" si="57"/>
        <v/>
      </c>
      <c r="R268" s="37" t="str">
        <f t="shared" si="58"/>
        <v/>
      </c>
      <c r="S268" s="38" t="str">
        <f t="shared" si="59"/>
        <v/>
      </c>
      <c r="T268" s="39" t="str">
        <f t="shared" si="60"/>
        <v/>
      </c>
      <c r="U268" s="40" t="str">
        <f t="shared" si="61"/>
        <v/>
      </c>
      <c r="V268" s="33" t="str">
        <f t="shared" si="62"/>
        <v/>
      </c>
      <c r="W268" s="33" t="str">
        <f t="shared" si="63"/>
        <v/>
      </c>
      <c r="X268" s="41" t="str">
        <f>IF($A268="","",IFERROR(MATCH($A268,Comenzi!$A$9:$A$108,0)+8,""))</f>
        <v/>
      </c>
      <c r="Y268" s="41" t="str">
        <f t="shared" si="64"/>
        <v/>
      </c>
      <c r="Z268" s="42" t="str">
        <f>IF($A268="","",IF($A268="?","Lipseste ID-ul comenzii (col. A din PI Furnizor)",IF(NOT(ISNUMBER($X268)),"ID comanda negasit in foaia Comenzi",IF(N($E268)&lt;=0,"Lipseste cantitatea",IF(N($G268)=0,"Pret unitar lipsa",IF($Y268&lt;&gt;1,"Curs sau moneda marfa lipsa (foaia Comenzi)",IF(INDEX(Comenzi!$AT:$AT,$X268)&lt;&gt;"OK","Avertisment comanda: "&amp;INDEX(Comenzi!$AT:$AT,$X268),"OK")))))))</f>
        <v/>
      </c>
      <c r="AA268" s="43" t="str">
        <f>IF(ISNUMBER($X268),INDEX(Comenzi!$H:$H,$X268),"")</f>
        <v/>
      </c>
      <c r="AB268" s="43" t="str">
        <f>IF(ISNUMBER($X268),INDEX(Comenzi!$I:$I,$X268),"")</f>
        <v/>
      </c>
      <c r="AC268" s="44" t="str">
        <f>IF(ISNUMBER($X268),IF(INDEX(Comenzi!$V:$V,$X268)="",Comenzi!$D$3,INDEX(Comenzi!$V:$V,$X268)),"")</f>
        <v/>
      </c>
      <c r="AD268" s="44" t="str">
        <f>IF(ISNUMBER($X268),IF(INDEX(Comenzi!$U:$U,$X268)="",Comenzi!$D$4,INDEX(Comenzi!$U:$U,$X268)),"")</f>
        <v/>
      </c>
      <c r="AE268" s="45" t="str">
        <f>IF($Y268&lt;&gt;1,"",IF(INDEX(Comenzi!$AM:$AM,$X268)="Greutate",INDEX('PI Furnizor'!$O:$O,ROW()-3),IF(INDEX(Comenzi!$AM:$AM,$X268)="Volum (CBM)",INDEX('PI Furnizor'!$Q:$Q,ROW()-3),IF(INDEX(Comenzi!$AM:$AM,$X268)="Valoare marfa",INDEX('PI Furnizor'!$N:$N,ROW()-3),$E268))))</f>
        <v/>
      </c>
    </row>
    <row r="269" spans="1:31" x14ac:dyDescent="0.3">
      <c r="A269" s="28" t="str">
        <f>IF(COUNTA(INDEX('PI Furnizor'!$A:$E,ROW()-3,0))=0,"",IF(INDEX('PI Furnizor'!$A:$A,ROW()-3)="","?",INDEX('PI Furnizor'!$A:$A,ROW()-3)))</f>
        <v/>
      </c>
      <c r="B269" s="29" t="str">
        <f>IF(ISNUMBER($X269),INDEX(Comenzi!$B:$B,$X269),"")</f>
        <v/>
      </c>
      <c r="C269" s="28" t="str">
        <f>IF($A269="","",INDEX('PI Furnizor'!$B:$B,ROW()-3)&amp;"")</f>
        <v/>
      </c>
      <c r="D269" s="28" t="str">
        <f>IF($A269="","",INDEX('PI Furnizor'!$C:$C,ROW()-3)&amp;"")</f>
        <v/>
      </c>
      <c r="E269" s="30" t="str">
        <f>IF($A269="","",N(INDEX('PI Furnizor'!$D:$D,ROW()-3)))</f>
        <v/>
      </c>
      <c r="F269" s="31" t="str">
        <f>IF(ISNUMBER($X269),INDEX(Comenzi!$G:$G,$X269),"")</f>
        <v/>
      </c>
      <c r="G269" s="32" t="str">
        <f>IF($A269="","",N(INDEX('PI Furnizor'!$E:$E,ROW()-3)))</f>
        <v/>
      </c>
      <c r="H269" s="33" t="str">
        <f t="shared" si="52"/>
        <v/>
      </c>
      <c r="I269" s="34" t="str">
        <f>IF($Y269&lt;&gt;1,"",IFERROR($AE269/INDEX(Comenzi!$AN:$AN,$X269),0))</f>
        <v/>
      </c>
      <c r="J269" s="33" t="str">
        <f>IF($Y269&lt;&gt;1,"",INDEX(Comenzi!$AG:$AG,$X269)*$I269/$E269)</f>
        <v/>
      </c>
      <c r="K269" s="33" t="str">
        <f t="shared" si="53"/>
        <v/>
      </c>
      <c r="L269" s="33" t="str">
        <f>IF($Y269&lt;&gt;1,"",$K269*$AD269+INDEX(Comenzi!$AJ:$AJ,$X269)*$I269/$E269)</f>
        <v/>
      </c>
      <c r="M269" s="33" t="str">
        <f t="shared" si="54"/>
        <v/>
      </c>
      <c r="N269" s="33" t="str">
        <f t="shared" si="55"/>
        <v/>
      </c>
      <c r="O269" s="33" t="str">
        <f>IF($Y269&lt;&gt;1,"",(INDEX(Comenzi!$AK:$AK,$X269)+N(INDEX(Comenzi!$T:$T,$X269)))*$I269/$E269)</f>
        <v/>
      </c>
      <c r="P269" s="35" t="str">
        <f t="shared" si="56"/>
        <v/>
      </c>
      <c r="Q269" s="36" t="str">
        <f t="shared" si="57"/>
        <v/>
      </c>
      <c r="R269" s="37" t="str">
        <f t="shared" si="58"/>
        <v/>
      </c>
      <c r="S269" s="38" t="str">
        <f t="shared" si="59"/>
        <v/>
      </c>
      <c r="T269" s="39" t="str">
        <f t="shared" si="60"/>
        <v/>
      </c>
      <c r="U269" s="40" t="str">
        <f t="shared" si="61"/>
        <v/>
      </c>
      <c r="V269" s="33" t="str">
        <f t="shared" si="62"/>
        <v/>
      </c>
      <c r="W269" s="33" t="str">
        <f t="shared" si="63"/>
        <v/>
      </c>
      <c r="X269" s="41" t="str">
        <f>IF($A269="","",IFERROR(MATCH($A269,Comenzi!$A$9:$A$108,0)+8,""))</f>
        <v/>
      </c>
      <c r="Y269" s="41" t="str">
        <f t="shared" si="64"/>
        <v/>
      </c>
      <c r="Z269" s="42" t="str">
        <f>IF($A269="","",IF($A269="?","Lipseste ID-ul comenzii (col. A din PI Furnizor)",IF(NOT(ISNUMBER($X269)),"ID comanda negasit in foaia Comenzi",IF(N($E269)&lt;=0,"Lipseste cantitatea",IF(N($G269)=0,"Pret unitar lipsa",IF($Y269&lt;&gt;1,"Curs sau moneda marfa lipsa (foaia Comenzi)",IF(INDEX(Comenzi!$AT:$AT,$X269)&lt;&gt;"OK","Avertisment comanda: "&amp;INDEX(Comenzi!$AT:$AT,$X269),"OK")))))))</f>
        <v/>
      </c>
      <c r="AA269" s="43" t="str">
        <f>IF(ISNUMBER($X269),INDEX(Comenzi!$H:$H,$X269),"")</f>
        <v/>
      </c>
      <c r="AB269" s="43" t="str">
        <f>IF(ISNUMBER($X269),INDEX(Comenzi!$I:$I,$X269),"")</f>
        <v/>
      </c>
      <c r="AC269" s="44" t="str">
        <f>IF(ISNUMBER($X269),IF(INDEX(Comenzi!$V:$V,$X269)="",Comenzi!$D$3,INDEX(Comenzi!$V:$V,$X269)),"")</f>
        <v/>
      </c>
      <c r="AD269" s="44" t="str">
        <f>IF(ISNUMBER($X269),IF(INDEX(Comenzi!$U:$U,$X269)="",Comenzi!$D$4,INDEX(Comenzi!$U:$U,$X269)),"")</f>
        <v/>
      </c>
      <c r="AE269" s="45" t="str">
        <f>IF($Y269&lt;&gt;1,"",IF(INDEX(Comenzi!$AM:$AM,$X269)="Greutate",INDEX('PI Furnizor'!$O:$O,ROW()-3),IF(INDEX(Comenzi!$AM:$AM,$X269)="Volum (CBM)",INDEX('PI Furnizor'!$Q:$Q,ROW()-3),IF(INDEX(Comenzi!$AM:$AM,$X269)="Valoare marfa",INDEX('PI Furnizor'!$N:$N,ROW()-3),$E269))))</f>
        <v/>
      </c>
    </row>
    <row r="270" spans="1:31" x14ac:dyDescent="0.3">
      <c r="A270" s="28" t="str">
        <f>IF(COUNTA(INDEX('PI Furnizor'!$A:$E,ROW()-3,0))=0,"",IF(INDEX('PI Furnizor'!$A:$A,ROW()-3)="","?",INDEX('PI Furnizor'!$A:$A,ROW()-3)))</f>
        <v/>
      </c>
      <c r="B270" s="29" t="str">
        <f>IF(ISNUMBER($X270),INDEX(Comenzi!$B:$B,$X270),"")</f>
        <v/>
      </c>
      <c r="C270" s="28" t="str">
        <f>IF($A270="","",INDEX('PI Furnizor'!$B:$B,ROW()-3)&amp;"")</f>
        <v/>
      </c>
      <c r="D270" s="28" t="str">
        <f>IF($A270="","",INDEX('PI Furnizor'!$C:$C,ROW()-3)&amp;"")</f>
        <v/>
      </c>
      <c r="E270" s="30" t="str">
        <f>IF($A270="","",N(INDEX('PI Furnizor'!$D:$D,ROW()-3)))</f>
        <v/>
      </c>
      <c r="F270" s="31" t="str">
        <f>IF(ISNUMBER($X270),INDEX(Comenzi!$G:$G,$X270),"")</f>
        <v/>
      </c>
      <c r="G270" s="32" t="str">
        <f>IF($A270="","",N(INDEX('PI Furnizor'!$E:$E,ROW()-3)))</f>
        <v/>
      </c>
      <c r="H270" s="33" t="str">
        <f t="shared" si="52"/>
        <v/>
      </c>
      <c r="I270" s="34" t="str">
        <f>IF($Y270&lt;&gt;1,"",IFERROR($AE270/INDEX(Comenzi!$AN:$AN,$X270),0))</f>
        <v/>
      </c>
      <c r="J270" s="33" t="str">
        <f>IF($Y270&lt;&gt;1,"",INDEX(Comenzi!$AG:$AG,$X270)*$I270/$E270)</f>
        <v/>
      </c>
      <c r="K270" s="33" t="str">
        <f t="shared" si="53"/>
        <v/>
      </c>
      <c r="L270" s="33" t="str">
        <f>IF($Y270&lt;&gt;1,"",$K270*$AD270+INDEX(Comenzi!$AJ:$AJ,$X270)*$I270/$E270)</f>
        <v/>
      </c>
      <c r="M270" s="33" t="str">
        <f t="shared" si="54"/>
        <v/>
      </c>
      <c r="N270" s="33" t="str">
        <f t="shared" si="55"/>
        <v/>
      </c>
      <c r="O270" s="33" t="str">
        <f>IF($Y270&lt;&gt;1,"",(INDEX(Comenzi!$AK:$AK,$X270)+N(INDEX(Comenzi!$T:$T,$X270)))*$I270/$E270)</f>
        <v/>
      </c>
      <c r="P270" s="35" t="str">
        <f t="shared" si="56"/>
        <v/>
      </c>
      <c r="Q270" s="36" t="str">
        <f t="shared" si="57"/>
        <v/>
      </c>
      <c r="R270" s="37" t="str">
        <f t="shared" si="58"/>
        <v/>
      </c>
      <c r="S270" s="38" t="str">
        <f t="shared" si="59"/>
        <v/>
      </c>
      <c r="T270" s="39" t="str">
        <f t="shared" si="60"/>
        <v/>
      </c>
      <c r="U270" s="40" t="str">
        <f t="shared" si="61"/>
        <v/>
      </c>
      <c r="V270" s="33" t="str">
        <f t="shared" si="62"/>
        <v/>
      </c>
      <c r="W270" s="33" t="str">
        <f t="shared" si="63"/>
        <v/>
      </c>
      <c r="X270" s="41" t="str">
        <f>IF($A270="","",IFERROR(MATCH($A270,Comenzi!$A$9:$A$108,0)+8,""))</f>
        <v/>
      </c>
      <c r="Y270" s="41" t="str">
        <f t="shared" si="64"/>
        <v/>
      </c>
      <c r="Z270" s="42" t="str">
        <f>IF($A270="","",IF($A270="?","Lipseste ID-ul comenzii (col. A din PI Furnizor)",IF(NOT(ISNUMBER($X270)),"ID comanda negasit in foaia Comenzi",IF(N($E270)&lt;=0,"Lipseste cantitatea",IF(N($G270)=0,"Pret unitar lipsa",IF($Y270&lt;&gt;1,"Curs sau moneda marfa lipsa (foaia Comenzi)",IF(INDEX(Comenzi!$AT:$AT,$X270)&lt;&gt;"OK","Avertisment comanda: "&amp;INDEX(Comenzi!$AT:$AT,$X270),"OK")))))))</f>
        <v/>
      </c>
      <c r="AA270" s="43" t="str">
        <f>IF(ISNUMBER($X270),INDEX(Comenzi!$H:$H,$X270),"")</f>
        <v/>
      </c>
      <c r="AB270" s="43" t="str">
        <f>IF(ISNUMBER($X270),INDEX(Comenzi!$I:$I,$X270),"")</f>
        <v/>
      </c>
      <c r="AC270" s="44" t="str">
        <f>IF(ISNUMBER($X270),IF(INDEX(Comenzi!$V:$V,$X270)="",Comenzi!$D$3,INDEX(Comenzi!$V:$V,$X270)),"")</f>
        <v/>
      </c>
      <c r="AD270" s="44" t="str">
        <f>IF(ISNUMBER($X270),IF(INDEX(Comenzi!$U:$U,$X270)="",Comenzi!$D$4,INDEX(Comenzi!$U:$U,$X270)),"")</f>
        <v/>
      </c>
      <c r="AE270" s="45" t="str">
        <f>IF($Y270&lt;&gt;1,"",IF(INDEX(Comenzi!$AM:$AM,$X270)="Greutate",INDEX('PI Furnizor'!$O:$O,ROW()-3),IF(INDEX(Comenzi!$AM:$AM,$X270)="Volum (CBM)",INDEX('PI Furnizor'!$Q:$Q,ROW()-3),IF(INDEX(Comenzi!$AM:$AM,$X270)="Valoare marfa",INDEX('PI Furnizor'!$N:$N,ROW()-3),$E270))))</f>
        <v/>
      </c>
    </row>
    <row r="271" spans="1:31" x14ac:dyDescent="0.3">
      <c r="A271" s="28" t="str">
        <f>IF(COUNTA(INDEX('PI Furnizor'!$A:$E,ROW()-3,0))=0,"",IF(INDEX('PI Furnizor'!$A:$A,ROW()-3)="","?",INDEX('PI Furnizor'!$A:$A,ROW()-3)))</f>
        <v/>
      </c>
      <c r="B271" s="29" t="str">
        <f>IF(ISNUMBER($X271),INDEX(Comenzi!$B:$B,$X271),"")</f>
        <v/>
      </c>
      <c r="C271" s="28" t="str">
        <f>IF($A271="","",INDEX('PI Furnizor'!$B:$B,ROW()-3)&amp;"")</f>
        <v/>
      </c>
      <c r="D271" s="28" t="str">
        <f>IF($A271="","",INDEX('PI Furnizor'!$C:$C,ROW()-3)&amp;"")</f>
        <v/>
      </c>
      <c r="E271" s="30" t="str">
        <f>IF($A271="","",N(INDEX('PI Furnizor'!$D:$D,ROW()-3)))</f>
        <v/>
      </c>
      <c r="F271" s="31" t="str">
        <f>IF(ISNUMBER($X271),INDEX(Comenzi!$G:$G,$X271),"")</f>
        <v/>
      </c>
      <c r="G271" s="32" t="str">
        <f>IF($A271="","",N(INDEX('PI Furnizor'!$E:$E,ROW()-3)))</f>
        <v/>
      </c>
      <c r="H271" s="33" t="str">
        <f t="shared" si="52"/>
        <v/>
      </c>
      <c r="I271" s="34" t="str">
        <f>IF($Y271&lt;&gt;1,"",IFERROR($AE271/INDEX(Comenzi!$AN:$AN,$X271),0))</f>
        <v/>
      </c>
      <c r="J271" s="33" t="str">
        <f>IF($Y271&lt;&gt;1,"",INDEX(Comenzi!$AG:$AG,$X271)*$I271/$E271)</f>
        <v/>
      </c>
      <c r="K271" s="33" t="str">
        <f t="shared" si="53"/>
        <v/>
      </c>
      <c r="L271" s="33" t="str">
        <f>IF($Y271&lt;&gt;1,"",$K271*$AD271+INDEX(Comenzi!$AJ:$AJ,$X271)*$I271/$E271)</f>
        <v/>
      </c>
      <c r="M271" s="33" t="str">
        <f t="shared" si="54"/>
        <v/>
      </c>
      <c r="N271" s="33" t="str">
        <f t="shared" si="55"/>
        <v/>
      </c>
      <c r="O271" s="33" t="str">
        <f>IF($Y271&lt;&gt;1,"",(INDEX(Comenzi!$AK:$AK,$X271)+N(INDEX(Comenzi!$T:$T,$X271)))*$I271/$E271)</f>
        <v/>
      </c>
      <c r="P271" s="35" t="str">
        <f t="shared" si="56"/>
        <v/>
      </c>
      <c r="Q271" s="36" t="str">
        <f t="shared" si="57"/>
        <v/>
      </c>
      <c r="R271" s="37" t="str">
        <f t="shared" si="58"/>
        <v/>
      </c>
      <c r="S271" s="38" t="str">
        <f t="shared" si="59"/>
        <v/>
      </c>
      <c r="T271" s="39" t="str">
        <f t="shared" si="60"/>
        <v/>
      </c>
      <c r="U271" s="40" t="str">
        <f t="shared" si="61"/>
        <v/>
      </c>
      <c r="V271" s="33" t="str">
        <f t="shared" si="62"/>
        <v/>
      </c>
      <c r="W271" s="33" t="str">
        <f t="shared" si="63"/>
        <v/>
      </c>
      <c r="X271" s="41" t="str">
        <f>IF($A271="","",IFERROR(MATCH($A271,Comenzi!$A$9:$A$108,0)+8,""))</f>
        <v/>
      </c>
      <c r="Y271" s="41" t="str">
        <f t="shared" si="64"/>
        <v/>
      </c>
      <c r="Z271" s="42" t="str">
        <f>IF($A271="","",IF($A271="?","Lipseste ID-ul comenzii (col. A din PI Furnizor)",IF(NOT(ISNUMBER($X271)),"ID comanda negasit in foaia Comenzi",IF(N($E271)&lt;=0,"Lipseste cantitatea",IF(N($G271)=0,"Pret unitar lipsa",IF($Y271&lt;&gt;1,"Curs sau moneda marfa lipsa (foaia Comenzi)",IF(INDEX(Comenzi!$AT:$AT,$X271)&lt;&gt;"OK","Avertisment comanda: "&amp;INDEX(Comenzi!$AT:$AT,$X271),"OK")))))))</f>
        <v/>
      </c>
      <c r="AA271" s="43" t="str">
        <f>IF(ISNUMBER($X271),INDEX(Comenzi!$H:$H,$X271),"")</f>
        <v/>
      </c>
      <c r="AB271" s="43" t="str">
        <f>IF(ISNUMBER($X271),INDEX(Comenzi!$I:$I,$X271),"")</f>
        <v/>
      </c>
      <c r="AC271" s="44" t="str">
        <f>IF(ISNUMBER($X271),IF(INDEX(Comenzi!$V:$V,$X271)="",Comenzi!$D$3,INDEX(Comenzi!$V:$V,$X271)),"")</f>
        <v/>
      </c>
      <c r="AD271" s="44" t="str">
        <f>IF(ISNUMBER($X271),IF(INDEX(Comenzi!$U:$U,$X271)="",Comenzi!$D$4,INDEX(Comenzi!$U:$U,$X271)),"")</f>
        <v/>
      </c>
      <c r="AE271" s="45" t="str">
        <f>IF($Y271&lt;&gt;1,"",IF(INDEX(Comenzi!$AM:$AM,$X271)="Greutate",INDEX('PI Furnizor'!$O:$O,ROW()-3),IF(INDEX(Comenzi!$AM:$AM,$X271)="Volum (CBM)",INDEX('PI Furnizor'!$Q:$Q,ROW()-3),IF(INDEX(Comenzi!$AM:$AM,$X271)="Valoare marfa",INDEX('PI Furnizor'!$N:$N,ROW()-3),$E271))))</f>
        <v/>
      </c>
    </row>
    <row r="272" spans="1:31" x14ac:dyDescent="0.3">
      <c r="A272" s="28" t="str">
        <f>IF(COUNTA(INDEX('PI Furnizor'!$A:$E,ROW()-3,0))=0,"",IF(INDEX('PI Furnizor'!$A:$A,ROW()-3)="","?",INDEX('PI Furnizor'!$A:$A,ROW()-3)))</f>
        <v/>
      </c>
      <c r="B272" s="29" t="str">
        <f>IF(ISNUMBER($X272),INDEX(Comenzi!$B:$B,$X272),"")</f>
        <v/>
      </c>
      <c r="C272" s="28" t="str">
        <f>IF($A272="","",INDEX('PI Furnizor'!$B:$B,ROW()-3)&amp;"")</f>
        <v/>
      </c>
      <c r="D272" s="28" t="str">
        <f>IF($A272="","",INDEX('PI Furnizor'!$C:$C,ROW()-3)&amp;"")</f>
        <v/>
      </c>
      <c r="E272" s="30" t="str">
        <f>IF($A272="","",N(INDEX('PI Furnizor'!$D:$D,ROW()-3)))</f>
        <v/>
      </c>
      <c r="F272" s="31" t="str">
        <f>IF(ISNUMBER($X272),INDEX(Comenzi!$G:$G,$X272),"")</f>
        <v/>
      </c>
      <c r="G272" s="32" t="str">
        <f>IF($A272="","",N(INDEX('PI Furnizor'!$E:$E,ROW()-3)))</f>
        <v/>
      </c>
      <c r="H272" s="33" t="str">
        <f t="shared" si="52"/>
        <v/>
      </c>
      <c r="I272" s="34" t="str">
        <f>IF($Y272&lt;&gt;1,"",IFERROR($AE272/INDEX(Comenzi!$AN:$AN,$X272),0))</f>
        <v/>
      </c>
      <c r="J272" s="33" t="str">
        <f>IF($Y272&lt;&gt;1,"",INDEX(Comenzi!$AG:$AG,$X272)*$I272/$E272)</f>
        <v/>
      </c>
      <c r="K272" s="33" t="str">
        <f t="shared" si="53"/>
        <v/>
      </c>
      <c r="L272" s="33" t="str">
        <f>IF($Y272&lt;&gt;1,"",$K272*$AD272+INDEX(Comenzi!$AJ:$AJ,$X272)*$I272/$E272)</f>
        <v/>
      </c>
      <c r="M272" s="33" t="str">
        <f t="shared" si="54"/>
        <v/>
      </c>
      <c r="N272" s="33" t="str">
        <f t="shared" si="55"/>
        <v/>
      </c>
      <c r="O272" s="33" t="str">
        <f>IF($Y272&lt;&gt;1,"",(INDEX(Comenzi!$AK:$AK,$X272)+N(INDEX(Comenzi!$T:$T,$X272)))*$I272/$E272)</f>
        <v/>
      </c>
      <c r="P272" s="35" t="str">
        <f t="shared" si="56"/>
        <v/>
      </c>
      <c r="Q272" s="36" t="str">
        <f t="shared" si="57"/>
        <v/>
      </c>
      <c r="R272" s="37" t="str">
        <f t="shared" si="58"/>
        <v/>
      </c>
      <c r="S272" s="38" t="str">
        <f t="shared" si="59"/>
        <v/>
      </c>
      <c r="T272" s="39" t="str">
        <f t="shared" si="60"/>
        <v/>
      </c>
      <c r="U272" s="40" t="str">
        <f t="shared" si="61"/>
        <v/>
      </c>
      <c r="V272" s="33" t="str">
        <f t="shared" si="62"/>
        <v/>
      </c>
      <c r="W272" s="33" t="str">
        <f t="shared" si="63"/>
        <v/>
      </c>
      <c r="X272" s="41" t="str">
        <f>IF($A272="","",IFERROR(MATCH($A272,Comenzi!$A$9:$A$108,0)+8,""))</f>
        <v/>
      </c>
      <c r="Y272" s="41" t="str">
        <f t="shared" si="64"/>
        <v/>
      </c>
      <c r="Z272" s="42" t="str">
        <f>IF($A272="","",IF($A272="?","Lipseste ID-ul comenzii (col. A din PI Furnizor)",IF(NOT(ISNUMBER($X272)),"ID comanda negasit in foaia Comenzi",IF(N($E272)&lt;=0,"Lipseste cantitatea",IF(N($G272)=0,"Pret unitar lipsa",IF($Y272&lt;&gt;1,"Curs sau moneda marfa lipsa (foaia Comenzi)",IF(INDEX(Comenzi!$AT:$AT,$X272)&lt;&gt;"OK","Avertisment comanda: "&amp;INDEX(Comenzi!$AT:$AT,$X272),"OK")))))))</f>
        <v/>
      </c>
      <c r="AA272" s="43" t="str">
        <f>IF(ISNUMBER($X272),INDEX(Comenzi!$H:$H,$X272),"")</f>
        <v/>
      </c>
      <c r="AB272" s="43" t="str">
        <f>IF(ISNUMBER($X272),INDEX(Comenzi!$I:$I,$X272),"")</f>
        <v/>
      </c>
      <c r="AC272" s="44" t="str">
        <f>IF(ISNUMBER($X272),IF(INDEX(Comenzi!$V:$V,$X272)="",Comenzi!$D$3,INDEX(Comenzi!$V:$V,$X272)),"")</f>
        <v/>
      </c>
      <c r="AD272" s="44" t="str">
        <f>IF(ISNUMBER($X272),IF(INDEX(Comenzi!$U:$U,$X272)="",Comenzi!$D$4,INDEX(Comenzi!$U:$U,$X272)),"")</f>
        <v/>
      </c>
      <c r="AE272" s="45" t="str">
        <f>IF($Y272&lt;&gt;1,"",IF(INDEX(Comenzi!$AM:$AM,$X272)="Greutate",INDEX('PI Furnizor'!$O:$O,ROW()-3),IF(INDEX(Comenzi!$AM:$AM,$X272)="Volum (CBM)",INDEX('PI Furnizor'!$Q:$Q,ROW()-3),IF(INDEX(Comenzi!$AM:$AM,$X272)="Valoare marfa",INDEX('PI Furnizor'!$N:$N,ROW()-3),$E272))))</f>
        <v/>
      </c>
    </row>
    <row r="273" spans="1:31" x14ac:dyDescent="0.3">
      <c r="A273" s="28" t="str">
        <f>IF(COUNTA(INDEX('PI Furnizor'!$A:$E,ROW()-3,0))=0,"",IF(INDEX('PI Furnizor'!$A:$A,ROW()-3)="","?",INDEX('PI Furnizor'!$A:$A,ROW()-3)))</f>
        <v/>
      </c>
      <c r="B273" s="29" t="str">
        <f>IF(ISNUMBER($X273),INDEX(Comenzi!$B:$B,$X273),"")</f>
        <v/>
      </c>
      <c r="C273" s="28" t="str">
        <f>IF($A273="","",INDEX('PI Furnizor'!$B:$B,ROW()-3)&amp;"")</f>
        <v/>
      </c>
      <c r="D273" s="28" t="str">
        <f>IF($A273="","",INDEX('PI Furnizor'!$C:$C,ROW()-3)&amp;"")</f>
        <v/>
      </c>
      <c r="E273" s="30" t="str">
        <f>IF($A273="","",N(INDEX('PI Furnizor'!$D:$D,ROW()-3)))</f>
        <v/>
      </c>
      <c r="F273" s="31" t="str">
        <f>IF(ISNUMBER($X273),INDEX(Comenzi!$G:$G,$X273),"")</f>
        <v/>
      </c>
      <c r="G273" s="32" t="str">
        <f>IF($A273="","",N(INDEX('PI Furnizor'!$E:$E,ROW()-3)))</f>
        <v/>
      </c>
      <c r="H273" s="33" t="str">
        <f t="shared" si="52"/>
        <v/>
      </c>
      <c r="I273" s="34" t="str">
        <f>IF($Y273&lt;&gt;1,"",IFERROR($AE273/INDEX(Comenzi!$AN:$AN,$X273),0))</f>
        <v/>
      </c>
      <c r="J273" s="33" t="str">
        <f>IF($Y273&lt;&gt;1,"",INDEX(Comenzi!$AG:$AG,$X273)*$I273/$E273)</f>
        <v/>
      </c>
      <c r="K273" s="33" t="str">
        <f t="shared" si="53"/>
        <v/>
      </c>
      <c r="L273" s="33" t="str">
        <f>IF($Y273&lt;&gt;1,"",$K273*$AD273+INDEX(Comenzi!$AJ:$AJ,$X273)*$I273/$E273)</f>
        <v/>
      </c>
      <c r="M273" s="33" t="str">
        <f t="shared" si="54"/>
        <v/>
      </c>
      <c r="N273" s="33" t="str">
        <f t="shared" si="55"/>
        <v/>
      </c>
      <c r="O273" s="33" t="str">
        <f>IF($Y273&lt;&gt;1,"",(INDEX(Comenzi!$AK:$AK,$X273)+N(INDEX(Comenzi!$T:$T,$X273)))*$I273/$E273)</f>
        <v/>
      </c>
      <c r="P273" s="35" t="str">
        <f t="shared" si="56"/>
        <v/>
      </c>
      <c r="Q273" s="36" t="str">
        <f t="shared" si="57"/>
        <v/>
      </c>
      <c r="R273" s="37" t="str">
        <f t="shared" si="58"/>
        <v/>
      </c>
      <c r="S273" s="38" t="str">
        <f t="shared" si="59"/>
        <v/>
      </c>
      <c r="T273" s="39" t="str">
        <f t="shared" si="60"/>
        <v/>
      </c>
      <c r="U273" s="40" t="str">
        <f t="shared" si="61"/>
        <v/>
      </c>
      <c r="V273" s="33" t="str">
        <f t="shared" si="62"/>
        <v/>
      </c>
      <c r="W273" s="33" t="str">
        <f t="shared" si="63"/>
        <v/>
      </c>
      <c r="X273" s="41" t="str">
        <f>IF($A273="","",IFERROR(MATCH($A273,Comenzi!$A$9:$A$108,0)+8,""))</f>
        <v/>
      </c>
      <c r="Y273" s="41" t="str">
        <f t="shared" si="64"/>
        <v/>
      </c>
      <c r="Z273" s="42" t="str">
        <f>IF($A273="","",IF($A273="?","Lipseste ID-ul comenzii (col. A din PI Furnizor)",IF(NOT(ISNUMBER($X273)),"ID comanda negasit in foaia Comenzi",IF(N($E273)&lt;=0,"Lipseste cantitatea",IF(N($G273)=0,"Pret unitar lipsa",IF($Y273&lt;&gt;1,"Curs sau moneda marfa lipsa (foaia Comenzi)",IF(INDEX(Comenzi!$AT:$AT,$X273)&lt;&gt;"OK","Avertisment comanda: "&amp;INDEX(Comenzi!$AT:$AT,$X273),"OK")))))))</f>
        <v/>
      </c>
      <c r="AA273" s="43" t="str">
        <f>IF(ISNUMBER($X273),INDEX(Comenzi!$H:$H,$X273),"")</f>
        <v/>
      </c>
      <c r="AB273" s="43" t="str">
        <f>IF(ISNUMBER($X273),INDEX(Comenzi!$I:$I,$X273),"")</f>
        <v/>
      </c>
      <c r="AC273" s="44" t="str">
        <f>IF(ISNUMBER($X273),IF(INDEX(Comenzi!$V:$V,$X273)="",Comenzi!$D$3,INDEX(Comenzi!$V:$V,$X273)),"")</f>
        <v/>
      </c>
      <c r="AD273" s="44" t="str">
        <f>IF(ISNUMBER($X273),IF(INDEX(Comenzi!$U:$U,$X273)="",Comenzi!$D$4,INDEX(Comenzi!$U:$U,$X273)),"")</f>
        <v/>
      </c>
      <c r="AE273" s="45" t="str">
        <f>IF($Y273&lt;&gt;1,"",IF(INDEX(Comenzi!$AM:$AM,$X273)="Greutate",INDEX('PI Furnizor'!$O:$O,ROW()-3),IF(INDEX(Comenzi!$AM:$AM,$X273)="Volum (CBM)",INDEX('PI Furnizor'!$Q:$Q,ROW()-3),IF(INDEX(Comenzi!$AM:$AM,$X273)="Valoare marfa",INDEX('PI Furnizor'!$N:$N,ROW()-3),$E273))))</f>
        <v/>
      </c>
    </row>
    <row r="274" spans="1:31" x14ac:dyDescent="0.3">
      <c r="A274" s="28" t="str">
        <f>IF(COUNTA(INDEX('PI Furnizor'!$A:$E,ROW()-3,0))=0,"",IF(INDEX('PI Furnizor'!$A:$A,ROW()-3)="","?",INDEX('PI Furnizor'!$A:$A,ROW()-3)))</f>
        <v/>
      </c>
      <c r="B274" s="29" t="str">
        <f>IF(ISNUMBER($X274),INDEX(Comenzi!$B:$B,$X274),"")</f>
        <v/>
      </c>
      <c r="C274" s="28" t="str">
        <f>IF($A274="","",INDEX('PI Furnizor'!$B:$B,ROW()-3)&amp;"")</f>
        <v/>
      </c>
      <c r="D274" s="28" t="str">
        <f>IF($A274="","",INDEX('PI Furnizor'!$C:$C,ROW()-3)&amp;"")</f>
        <v/>
      </c>
      <c r="E274" s="30" t="str">
        <f>IF($A274="","",N(INDEX('PI Furnizor'!$D:$D,ROW()-3)))</f>
        <v/>
      </c>
      <c r="F274" s="31" t="str">
        <f>IF(ISNUMBER($X274),INDEX(Comenzi!$G:$G,$X274),"")</f>
        <v/>
      </c>
      <c r="G274" s="32" t="str">
        <f>IF($A274="","",N(INDEX('PI Furnizor'!$E:$E,ROW()-3)))</f>
        <v/>
      </c>
      <c r="H274" s="33" t="str">
        <f t="shared" si="52"/>
        <v/>
      </c>
      <c r="I274" s="34" t="str">
        <f>IF($Y274&lt;&gt;1,"",IFERROR($AE274/INDEX(Comenzi!$AN:$AN,$X274),0))</f>
        <v/>
      </c>
      <c r="J274" s="33" t="str">
        <f>IF($Y274&lt;&gt;1,"",INDEX(Comenzi!$AG:$AG,$X274)*$I274/$E274)</f>
        <v/>
      </c>
      <c r="K274" s="33" t="str">
        <f t="shared" si="53"/>
        <v/>
      </c>
      <c r="L274" s="33" t="str">
        <f>IF($Y274&lt;&gt;1,"",$K274*$AD274+INDEX(Comenzi!$AJ:$AJ,$X274)*$I274/$E274)</f>
        <v/>
      </c>
      <c r="M274" s="33" t="str">
        <f t="shared" si="54"/>
        <v/>
      </c>
      <c r="N274" s="33" t="str">
        <f t="shared" si="55"/>
        <v/>
      </c>
      <c r="O274" s="33" t="str">
        <f>IF($Y274&lt;&gt;1,"",(INDEX(Comenzi!$AK:$AK,$X274)+N(INDEX(Comenzi!$T:$T,$X274)))*$I274/$E274)</f>
        <v/>
      </c>
      <c r="P274" s="35" t="str">
        <f t="shared" si="56"/>
        <v/>
      </c>
      <c r="Q274" s="36" t="str">
        <f t="shared" si="57"/>
        <v/>
      </c>
      <c r="R274" s="37" t="str">
        <f t="shared" si="58"/>
        <v/>
      </c>
      <c r="S274" s="38" t="str">
        <f t="shared" si="59"/>
        <v/>
      </c>
      <c r="T274" s="39" t="str">
        <f t="shared" si="60"/>
        <v/>
      </c>
      <c r="U274" s="40" t="str">
        <f t="shared" si="61"/>
        <v/>
      </c>
      <c r="V274" s="33" t="str">
        <f t="shared" si="62"/>
        <v/>
      </c>
      <c r="W274" s="33" t="str">
        <f t="shared" si="63"/>
        <v/>
      </c>
      <c r="X274" s="41" t="str">
        <f>IF($A274="","",IFERROR(MATCH($A274,Comenzi!$A$9:$A$108,0)+8,""))</f>
        <v/>
      </c>
      <c r="Y274" s="41" t="str">
        <f t="shared" si="64"/>
        <v/>
      </c>
      <c r="Z274" s="42" t="str">
        <f>IF($A274="","",IF($A274="?","Lipseste ID-ul comenzii (col. A din PI Furnizor)",IF(NOT(ISNUMBER($X274)),"ID comanda negasit in foaia Comenzi",IF(N($E274)&lt;=0,"Lipseste cantitatea",IF(N($G274)=0,"Pret unitar lipsa",IF($Y274&lt;&gt;1,"Curs sau moneda marfa lipsa (foaia Comenzi)",IF(INDEX(Comenzi!$AT:$AT,$X274)&lt;&gt;"OK","Avertisment comanda: "&amp;INDEX(Comenzi!$AT:$AT,$X274),"OK")))))))</f>
        <v/>
      </c>
      <c r="AA274" s="43" t="str">
        <f>IF(ISNUMBER($X274),INDEX(Comenzi!$H:$H,$X274),"")</f>
        <v/>
      </c>
      <c r="AB274" s="43" t="str">
        <f>IF(ISNUMBER($X274),INDEX(Comenzi!$I:$I,$X274),"")</f>
        <v/>
      </c>
      <c r="AC274" s="44" t="str">
        <f>IF(ISNUMBER($X274),IF(INDEX(Comenzi!$V:$V,$X274)="",Comenzi!$D$3,INDEX(Comenzi!$V:$V,$X274)),"")</f>
        <v/>
      </c>
      <c r="AD274" s="44" t="str">
        <f>IF(ISNUMBER($X274),IF(INDEX(Comenzi!$U:$U,$X274)="",Comenzi!$D$4,INDEX(Comenzi!$U:$U,$X274)),"")</f>
        <v/>
      </c>
      <c r="AE274" s="45" t="str">
        <f>IF($Y274&lt;&gt;1,"",IF(INDEX(Comenzi!$AM:$AM,$X274)="Greutate",INDEX('PI Furnizor'!$O:$O,ROW()-3),IF(INDEX(Comenzi!$AM:$AM,$X274)="Volum (CBM)",INDEX('PI Furnizor'!$Q:$Q,ROW()-3),IF(INDEX(Comenzi!$AM:$AM,$X274)="Valoare marfa",INDEX('PI Furnizor'!$N:$N,ROW()-3),$E274))))</f>
        <v/>
      </c>
    </row>
    <row r="275" spans="1:31" x14ac:dyDescent="0.3">
      <c r="A275" s="28" t="str">
        <f>IF(COUNTA(INDEX('PI Furnizor'!$A:$E,ROW()-3,0))=0,"",IF(INDEX('PI Furnizor'!$A:$A,ROW()-3)="","?",INDEX('PI Furnizor'!$A:$A,ROW()-3)))</f>
        <v/>
      </c>
      <c r="B275" s="29" t="str">
        <f>IF(ISNUMBER($X275),INDEX(Comenzi!$B:$B,$X275),"")</f>
        <v/>
      </c>
      <c r="C275" s="28" t="str">
        <f>IF($A275="","",INDEX('PI Furnizor'!$B:$B,ROW()-3)&amp;"")</f>
        <v/>
      </c>
      <c r="D275" s="28" t="str">
        <f>IF($A275="","",INDEX('PI Furnizor'!$C:$C,ROW()-3)&amp;"")</f>
        <v/>
      </c>
      <c r="E275" s="30" t="str">
        <f>IF($A275="","",N(INDEX('PI Furnizor'!$D:$D,ROW()-3)))</f>
        <v/>
      </c>
      <c r="F275" s="31" t="str">
        <f>IF(ISNUMBER($X275),INDEX(Comenzi!$G:$G,$X275),"")</f>
        <v/>
      </c>
      <c r="G275" s="32" t="str">
        <f>IF($A275="","",N(INDEX('PI Furnizor'!$E:$E,ROW()-3)))</f>
        <v/>
      </c>
      <c r="H275" s="33" t="str">
        <f t="shared" si="52"/>
        <v/>
      </c>
      <c r="I275" s="34" t="str">
        <f>IF($Y275&lt;&gt;1,"",IFERROR($AE275/INDEX(Comenzi!$AN:$AN,$X275),0))</f>
        <v/>
      </c>
      <c r="J275" s="33" t="str">
        <f>IF($Y275&lt;&gt;1,"",INDEX(Comenzi!$AG:$AG,$X275)*$I275/$E275)</f>
        <v/>
      </c>
      <c r="K275" s="33" t="str">
        <f t="shared" si="53"/>
        <v/>
      </c>
      <c r="L275" s="33" t="str">
        <f>IF($Y275&lt;&gt;1,"",$K275*$AD275+INDEX(Comenzi!$AJ:$AJ,$X275)*$I275/$E275)</f>
        <v/>
      </c>
      <c r="M275" s="33" t="str">
        <f t="shared" si="54"/>
        <v/>
      </c>
      <c r="N275" s="33" t="str">
        <f t="shared" si="55"/>
        <v/>
      </c>
      <c r="O275" s="33" t="str">
        <f>IF($Y275&lt;&gt;1,"",(INDEX(Comenzi!$AK:$AK,$X275)+N(INDEX(Comenzi!$T:$T,$X275)))*$I275/$E275)</f>
        <v/>
      </c>
      <c r="P275" s="35" t="str">
        <f t="shared" si="56"/>
        <v/>
      </c>
      <c r="Q275" s="36" t="str">
        <f t="shared" si="57"/>
        <v/>
      </c>
      <c r="R275" s="37" t="str">
        <f t="shared" si="58"/>
        <v/>
      </c>
      <c r="S275" s="38" t="str">
        <f t="shared" si="59"/>
        <v/>
      </c>
      <c r="T275" s="39" t="str">
        <f t="shared" si="60"/>
        <v/>
      </c>
      <c r="U275" s="40" t="str">
        <f t="shared" si="61"/>
        <v/>
      </c>
      <c r="V275" s="33" t="str">
        <f t="shared" si="62"/>
        <v/>
      </c>
      <c r="W275" s="33" t="str">
        <f t="shared" si="63"/>
        <v/>
      </c>
      <c r="X275" s="41" t="str">
        <f>IF($A275="","",IFERROR(MATCH($A275,Comenzi!$A$9:$A$108,0)+8,""))</f>
        <v/>
      </c>
      <c r="Y275" s="41" t="str">
        <f t="shared" si="64"/>
        <v/>
      </c>
      <c r="Z275" s="42" t="str">
        <f>IF($A275="","",IF($A275="?","Lipseste ID-ul comenzii (col. A din PI Furnizor)",IF(NOT(ISNUMBER($X275)),"ID comanda negasit in foaia Comenzi",IF(N($E275)&lt;=0,"Lipseste cantitatea",IF(N($G275)=0,"Pret unitar lipsa",IF($Y275&lt;&gt;1,"Curs sau moneda marfa lipsa (foaia Comenzi)",IF(INDEX(Comenzi!$AT:$AT,$X275)&lt;&gt;"OK","Avertisment comanda: "&amp;INDEX(Comenzi!$AT:$AT,$X275),"OK")))))))</f>
        <v/>
      </c>
      <c r="AA275" s="43" t="str">
        <f>IF(ISNUMBER($X275),INDEX(Comenzi!$H:$H,$X275),"")</f>
        <v/>
      </c>
      <c r="AB275" s="43" t="str">
        <f>IF(ISNUMBER($X275),INDEX(Comenzi!$I:$I,$X275),"")</f>
        <v/>
      </c>
      <c r="AC275" s="44" t="str">
        <f>IF(ISNUMBER($X275),IF(INDEX(Comenzi!$V:$V,$X275)="",Comenzi!$D$3,INDEX(Comenzi!$V:$V,$X275)),"")</f>
        <v/>
      </c>
      <c r="AD275" s="44" t="str">
        <f>IF(ISNUMBER($X275),IF(INDEX(Comenzi!$U:$U,$X275)="",Comenzi!$D$4,INDEX(Comenzi!$U:$U,$X275)),"")</f>
        <v/>
      </c>
      <c r="AE275" s="45" t="str">
        <f>IF($Y275&lt;&gt;1,"",IF(INDEX(Comenzi!$AM:$AM,$X275)="Greutate",INDEX('PI Furnizor'!$O:$O,ROW()-3),IF(INDEX(Comenzi!$AM:$AM,$X275)="Volum (CBM)",INDEX('PI Furnizor'!$Q:$Q,ROW()-3),IF(INDEX(Comenzi!$AM:$AM,$X275)="Valoare marfa",INDEX('PI Furnizor'!$N:$N,ROW()-3),$E275))))</f>
        <v/>
      </c>
    </row>
    <row r="276" spans="1:31" x14ac:dyDescent="0.3">
      <c r="A276" s="28" t="str">
        <f>IF(COUNTA(INDEX('PI Furnizor'!$A:$E,ROW()-3,0))=0,"",IF(INDEX('PI Furnizor'!$A:$A,ROW()-3)="","?",INDEX('PI Furnizor'!$A:$A,ROW()-3)))</f>
        <v/>
      </c>
      <c r="B276" s="29" t="str">
        <f>IF(ISNUMBER($X276),INDEX(Comenzi!$B:$B,$X276),"")</f>
        <v/>
      </c>
      <c r="C276" s="28" t="str">
        <f>IF($A276="","",INDEX('PI Furnizor'!$B:$B,ROW()-3)&amp;"")</f>
        <v/>
      </c>
      <c r="D276" s="28" t="str">
        <f>IF($A276="","",INDEX('PI Furnizor'!$C:$C,ROW()-3)&amp;"")</f>
        <v/>
      </c>
      <c r="E276" s="30" t="str">
        <f>IF($A276="","",N(INDEX('PI Furnizor'!$D:$D,ROW()-3)))</f>
        <v/>
      </c>
      <c r="F276" s="31" t="str">
        <f>IF(ISNUMBER($X276),INDEX(Comenzi!$G:$G,$X276),"")</f>
        <v/>
      </c>
      <c r="G276" s="32" t="str">
        <f>IF($A276="","",N(INDEX('PI Furnizor'!$E:$E,ROW()-3)))</f>
        <v/>
      </c>
      <c r="H276" s="33" t="str">
        <f t="shared" si="52"/>
        <v/>
      </c>
      <c r="I276" s="34" t="str">
        <f>IF($Y276&lt;&gt;1,"",IFERROR($AE276/INDEX(Comenzi!$AN:$AN,$X276),0))</f>
        <v/>
      </c>
      <c r="J276" s="33" t="str">
        <f>IF($Y276&lt;&gt;1,"",INDEX(Comenzi!$AG:$AG,$X276)*$I276/$E276)</f>
        <v/>
      </c>
      <c r="K276" s="33" t="str">
        <f t="shared" si="53"/>
        <v/>
      </c>
      <c r="L276" s="33" t="str">
        <f>IF($Y276&lt;&gt;1,"",$K276*$AD276+INDEX(Comenzi!$AJ:$AJ,$X276)*$I276/$E276)</f>
        <v/>
      </c>
      <c r="M276" s="33" t="str">
        <f t="shared" si="54"/>
        <v/>
      </c>
      <c r="N276" s="33" t="str">
        <f t="shared" si="55"/>
        <v/>
      </c>
      <c r="O276" s="33" t="str">
        <f>IF($Y276&lt;&gt;1,"",(INDEX(Comenzi!$AK:$AK,$X276)+N(INDEX(Comenzi!$T:$T,$X276)))*$I276/$E276)</f>
        <v/>
      </c>
      <c r="P276" s="35" t="str">
        <f t="shared" si="56"/>
        <v/>
      </c>
      <c r="Q276" s="36" t="str">
        <f t="shared" si="57"/>
        <v/>
      </c>
      <c r="R276" s="37" t="str">
        <f t="shared" si="58"/>
        <v/>
      </c>
      <c r="S276" s="38" t="str">
        <f t="shared" si="59"/>
        <v/>
      </c>
      <c r="T276" s="39" t="str">
        <f t="shared" si="60"/>
        <v/>
      </c>
      <c r="U276" s="40" t="str">
        <f t="shared" si="61"/>
        <v/>
      </c>
      <c r="V276" s="33" t="str">
        <f t="shared" si="62"/>
        <v/>
      </c>
      <c r="W276" s="33" t="str">
        <f t="shared" si="63"/>
        <v/>
      </c>
      <c r="X276" s="41" t="str">
        <f>IF($A276="","",IFERROR(MATCH($A276,Comenzi!$A$9:$A$108,0)+8,""))</f>
        <v/>
      </c>
      <c r="Y276" s="41" t="str">
        <f t="shared" si="64"/>
        <v/>
      </c>
      <c r="Z276" s="42" t="str">
        <f>IF($A276="","",IF($A276="?","Lipseste ID-ul comenzii (col. A din PI Furnizor)",IF(NOT(ISNUMBER($X276)),"ID comanda negasit in foaia Comenzi",IF(N($E276)&lt;=0,"Lipseste cantitatea",IF(N($G276)=0,"Pret unitar lipsa",IF($Y276&lt;&gt;1,"Curs sau moneda marfa lipsa (foaia Comenzi)",IF(INDEX(Comenzi!$AT:$AT,$X276)&lt;&gt;"OK","Avertisment comanda: "&amp;INDEX(Comenzi!$AT:$AT,$X276),"OK")))))))</f>
        <v/>
      </c>
      <c r="AA276" s="43" t="str">
        <f>IF(ISNUMBER($X276),INDEX(Comenzi!$H:$H,$X276),"")</f>
        <v/>
      </c>
      <c r="AB276" s="43" t="str">
        <f>IF(ISNUMBER($X276),INDEX(Comenzi!$I:$I,$X276),"")</f>
        <v/>
      </c>
      <c r="AC276" s="44" t="str">
        <f>IF(ISNUMBER($X276),IF(INDEX(Comenzi!$V:$V,$X276)="",Comenzi!$D$3,INDEX(Comenzi!$V:$V,$X276)),"")</f>
        <v/>
      </c>
      <c r="AD276" s="44" t="str">
        <f>IF(ISNUMBER($X276),IF(INDEX(Comenzi!$U:$U,$X276)="",Comenzi!$D$4,INDEX(Comenzi!$U:$U,$X276)),"")</f>
        <v/>
      </c>
      <c r="AE276" s="45" t="str">
        <f>IF($Y276&lt;&gt;1,"",IF(INDEX(Comenzi!$AM:$AM,$X276)="Greutate",INDEX('PI Furnizor'!$O:$O,ROW()-3),IF(INDEX(Comenzi!$AM:$AM,$X276)="Volum (CBM)",INDEX('PI Furnizor'!$Q:$Q,ROW()-3),IF(INDEX(Comenzi!$AM:$AM,$X276)="Valoare marfa",INDEX('PI Furnizor'!$N:$N,ROW()-3),$E276))))</f>
        <v/>
      </c>
    </row>
    <row r="277" spans="1:31" x14ac:dyDescent="0.3">
      <c r="A277" s="28" t="str">
        <f>IF(COUNTA(INDEX('PI Furnizor'!$A:$E,ROW()-3,0))=0,"",IF(INDEX('PI Furnizor'!$A:$A,ROW()-3)="","?",INDEX('PI Furnizor'!$A:$A,ROW()-3)))</f>
        <v/>
      </c>
      <c r="B277" s="29" t="str">
        <f>IF(ISNUMBER($X277),INDEX(Comenzi!$B:$B,$X277),"")</f>
        <v/>
      </c>
      <c r="C277" s="28" t="str">
        <f>IF($A277="","",INDEX('PI Furnizor'!$B:$B,ROW()-3)&amp;"")</f>
        <v/>
      </c>
      <c r="D277" s="28" t="str">
        <f>IF($A277="","",INDEX('PI Furnizor'!$C:$C,ROW()-3)&amp;"")</f>
        <v/>
      </c>
      <c r="E277" s="30" t="str">
        <f>IF($A277="","",N(INDEX('PI Furnizor'!$D:$D,ROW()-3)))</f>
        <v/>
      </c>
      <c r="F277" s="31" t="str">
        <f>IF(ISNUMBER($X277),INDEX(Comenzi!$G:$G,$X277),"")</f>
        <v/>
      </c>
      <c r="G277" s="32" t="str">
        <f>IF($A277="","",N(INDEX('PI Furnizor'!$E:$E,ROW()-3)))</f>
        <v/>
      </c>
      <c r="H277" s="33" t="str">
        <f t="shared" si="52"/>
        <v/>
      </c>
      <c r="I277" s="34" t="str">
        <f>IF($Y277&lt;&gt;1,"",IFERROR($AE277/INDEX(Comenzi!$AN:$AN,$X277),0))</f>
        <v/>
      </c>
      <c r="J277" s="33" t="str">
        <f>IF($Y277&lt;&gt;1,"",INDEX(Comenzi!$AG:$AG,$X277)*$I277/$E277)</f>
        <v/>
      </c>
      <c r="K277" s="33" t="str">
        <f t="shared" si="53"/>
        <v/>
      </c>
      <c r="L277" s="33" t="str">
        <f>IF($Y277&lt;&gt;1,"",$K277*$AD277+INDEX(Comenzi!$AJ:$AJ,$X277)*$I277/$E277)</f>
        <v/>
      </c>
      <c r="M277" s="33" t="str">
        <f t="shared" si="54"/>
        <v/>
      </c>
      <c r="N277" s="33" t="str">
        <f t="shared" si="55"/>
        <v/>
      </c>
      <c r="O277" s="33" t="str">
        <f>IF($Y277&lt;&gt;1,"",(INDEX(Comenzi!$AK:$AK,$X277)+N(INDEX(Comenzi!$T:$T,$X277)))*$I277/$E277)</f>
        <v/>
      </c>
      <c r="P277" s="35" t="str">
        <f t="shared" si="56"/>
        <v/>
      </c>
      <c r="Q277" s="36" t="str">
        <f t="shared" si="57"/>
        <v/>
      </c>
      <c r="R277" s="37" t="str">
        <f t="shared" si="58"/>
        <v/>
      </c>
      <c r="S277" s="38" t="str">
        <f t="shared" si="59"/>
        <v/>
      </c>
      <c r="T277" s="39" t="str">
        <f t="shared" si="60"/>
        <v/>
      </c>
      <c r="U277" s="40" t="str">
        <f t="shared" si="61"/>
        <v/>
      </c>
      <c r="V277" s="33" t="str">
        <f t="shared" si="62"/>
        <v/>
      </c>
      <c r="W277" s="33" t="str">
        <f t="shared" si="63"/>
        <v/>
      </c>
      <c r="X277" s="41" t="str">
        <f>IF($A277="","",IFERROR(MATCH($A277,Comenzi!$A$9:$A$108,0)+8,""))</f>
        <v/>
      </c>
      <c r="Y277" s="41" t="str">
        <f t="shared" si="64"/>
        <v/>
      </c>
      <c r="Z277" s="42" t="str">
        <f>IF($A277="","",IF($A277="?","Lipseste ID-ul comenzii (col. A din PI Furnizor)",IF(NOT(ISNUMBER($X277)),"ID comanda negasit in foaia Comenzi",IF(N($E277)&lt;=0,"Lipseste cantitatea",IF(N($G277)=0,"Pret unitar lipsa",IF($Y277&lt;&gt;1,"Curs sau moneda marfa lipsa (foaia Comenzi)",IF(INDEX(Comenzi!$AT:$AT,$X277)&lt;&gt;"OK","Avertisment comanda: "&amp;INDEX(Comenzi!$AT:$AT,$X277),"OK")))))))</f>
        <v/>
      </c>
      <c r="AA277" s="43" t="str">
        <f>IF(ISNUMBER($X277),INDEX(Comenzi!$H:$H,$X277),"")</f>
        <v/>
      </c>
      <c r="AB277" s="43" t="str">
        <f>IF(ISNUMBER($X277),INDEX(Comenzi!$I:$I,$X277),"")</f>
        <v/>
      </c>
      <c r="AC277" s="44" t="str">
        <f>IF(ISNUMBER($X277),IF(INDEX(Comenzi!$V:$V,$X277)="",Comenzi!$D$3,INDEX(Comenzi!$V:$V,$X277)),"")</f>
        <v/>
      </c>
      <c r="AD277" s="44" t="str">
        <f>IF(ISNUMBER($X277),IF(INDEX(Comenzi!$U:$U,$X277)="",Comenzi!$D$4,INDEX(Comenzi!$U:$U,$X277)),"")</f>
        <v/>
      </c>
      <c r="AE277" s="45" t="str">
        <f>IF($Y277&lt;&gt;1,"",IF(INDEX(Comenzi!$AM:$AM,$X277)="Greutate",INDEX('PI Furnizor'!$O:$O,ROW()-3),IF(INDEX(Comenzi!$AM:$AM,$X277)="Volum (CBM)",INDEX('PI Furnizor'!$Q:$Q,ROW()-3),IF(INDEX(Comenzi!$AM:$AM,$X277)="Valoare marfa",INDEX('PI Furnizor'!$N:$N,ROW()-3),$E277))))</f>
        <v/>
      </c>
    </row>
    <row r="278" spans="1:31" x14ac:dyDescent="0.3">
      <c r="A278" s="28" t="str">
        <f>IF(COUNTA(INDEX('PI Furnizor'!$A:$E,ROW()-3,0))=0,"",IF(INDEX('PI Furnizor'!$A:$A,ROW()-3)="","?",INDEX('PI Furnizor'!$A:$A,ROW()-3)))</f>
        <v/>
      </c>
      <c r="B278" s="29" t="str">
        <f>IF(ISNUMBER($X278),INDEX(Comenzi!$B:$B,$X278),"")</f>
        <v/>
      </c>
      <c r="C278" s="28" t="str">
        <f>IF($A278="","",INDEX('PI Furnizor'!$B:$B,ROW()-3)&amp;"")</f>
        <v/>
      </c>
      <c r="D278" s="28" t="str">
        <f>IF($A278="","",INDEX('PI Furnizor'!$C:$C,ROW()-3)&amp;"")</f>
        <v/>
      </c>
      <c r="E278" s="30" t="str">
        <f>IF($A278="","",N(INDEX('PI Furnizor'!$D:$D,ROW()-3)))</f>
        <v/>
      </c>
      <c r="F278" s="31" t="str">
        <f>IF(ISNUMBER($X278),INDEX(Comenzi!$G:$G,$X278),"")</f>
        <v/>
      </c>
      <c r="G278" s="32" t="str">
        <f>IF($A278="","",N(INDEX('PI Furnizor'!$E:$E,ROW()-3)))</f>
        <v/>
      </c>
      <c r="H278" s="33" t="str">
        <f t="shared" si="52"/>
        <v/>
      </c>
      <c r="I278" s="34" t="str">
        <f>IF($Y278&lt;&gt;1,"",IFERROR($AE278/INDEX(Comenzi!$AN:$AN,$X278),0))</f>
        <v/>
      </c>
      <c r="J278" s="33" t="str">
        <f>IF($Y278&lt;&gt;1,"",INDEX(Comenzi!$AG:$AG,$X278)*$I278/$E278)</f>
        <v/>
      </c>
      <c r="K278" s="33" t="str">
        <f t="shared" si="53"/>
        <v/>
      </c>
      <c r="L278" s="33" t="str">
        <f>IF($Y278&lt;&gt;1,"",$K278*$AD278+INDEX(Comenzi!$AJ:$AJ,$X278)*$I278/$E278)</f>
        <v/>
      </c>
      <c r="M278" s="33" t="str">
        <f t="shared" si="54"/>
        <v/>
      </c>
      <c r="N278" s="33" t="str">
        <f t="shared" si="55"/>
        <v/>
      </c>
      <c r="O278" s="33" t="str">
        <f>IF($Y278&lt;&gt;1,"",(INDEX(Comenzi!$AK:$AK,$X278)+N(INDEX(Comenzi!$T:$T,$X278)))*$I278/$E278)</f>
        <v/>
      </c>
      <c r="P278" s="35" t="str">
        <f t="shared" si="56"/>
        <v/>
      </c>
      <c r="Q278" s="36" t="str">
        <f t="shared" si="57"/>
        <v/>
      </c>
      <c r="R278" s="37" t="str">
        <f t="shared" si="58"/>
        <v/>
      </c>
      <c r="S278" s="38" t="str">
        <f t="shared" si="59"/>
        <v/>
      </c>
      <c r="T278" s="39" t="str">
        <f t="shared" si="60"/>
        <v/>
      </c>
      <c r="U278" s="40" t="str">
        <f t="shared" si="61"/>
        <v/>
      </c>
      <c r="V278" s="33" t="str">
        <f t="shared" si="62"/>
        <v/>
      </c>
      <c r="W278" s="33" t="str">
        <f t="shared" si="63"/>
        <v/>
      </c>
      <c r="X278" s="41" t="str">
        <f>IF($A278="","",IFERROR(MATCH($A278,Comenzi!$A$9:$A$108,0)+8,""))</f>
        <v/>
      </c>
      <c r="Y278" s="41" t="str">
        <f t="shared" si="64"/>
        <v/>
      </c>
      <c r="Z278" s="42" t="str">
        <f>IF($A278="","",IF($A278="?","Lipseste ID-ul comenzii (col. A din PI Furnizor)",IF(NOT(ISNUMBER($X278)),"ID comanda negasit in foaia Comenzi",IF(N($E278)&lt;=0,"Lipseste cantitatea",IF(N($G278)=0,"Pret unitar lipsa",IF($Y278&lt;&gt;1,"Curs sau moneda marfa lipsa (foaia Comenzi)",IF(INDEX(Comenzi!$AT:$AT,$X278)&lt;&gt;"OK","Avertisment comanda: "&amp;INDEX(Comenzi!$AT:$AT,$X278),"OK")))))))</f>
        <v/>
      </c>
      <c r="AA278" s="43" t="str">
        <f>IF(ISNUMBER($X278),INDEX(Comenzi!$H:$H,$X278),"")</f>
        <v/>
      </c>
      <c r="AB278" s="43" t="str">
        <f>IF(ISNUMBER($X278),INDEX(Comenzi!$I:$I,$X278),"")</f>
        <v/>
      </c>
      <c r="AC278" s="44" t="str">
        <f>IF(ISNUMBER($X278),IF(INDEX(Comenzi!$V:$V,$X278)="",Comenzi!$D$3,INDEX(Comenzi!$V:$V,$X278)),"")</f>
        <v/>
      </c>
      <c r="AD278" s="44" t="str">
        <f>IF(ISNUMBER($X278),IF(INDEX(Comenzi!$U:$U,$X278)="",Comenzi!$D$4,INDEX(Comenzi!$U:$U,$X278)),"")</f>
        <v/>
      </c>
      <c r="AE278" s="45" t="str">
        <f>IF($Y278&lt;&gt;1,"",IF(INDEX(Comenzi!$AM:$AM,$X278)="Greutate",INDEX('PI Furnizor'!$O:$O,ROW()-3),IF(INDEX(Comenzi!$AM:$AM,$X278)="Volum (CBM)",INDEX('PI Furnizor'!$Q:$Q,ROW()-3),IF(INDEX(Comenzi!$AM:$AM,$X278)="Valoare marfa",INDEX('PI Furnizor'!$N:$N,ROW()-3),$E278))))</f>
        <v/>
      </c>
    </row>
    <row r="279" spans="1:31" x14ac:dyDescent="0.3">
      <c r="A279" s="28" t="str">
        <f>IF(COUNTA(INDEX('PI Furnizor'!$A:$E,ROW()-3,0))=0,"",IF(INDEX('PI Furnizor'!$A:$A,ROW()-3)="","?",INDEX('PI Furnizor'!$A:$A,ROW()-3)))</f>
        <v/>
      </c>
      <c r="B279" s="29" t="str">
        <f>IF(ISNUMBER($X279),INDEX(Comenzi!$B:$B,$X279),"")</f>
        <v/>
      </c>
      <c r="C279" s="28" t="str">
        <f>IF($A279="","",INDEX('PI Furnizor'!$B:$B,ROW()-3)&amp;"")</f>
        <v/>
      </c>
      <c r="D279" s="28" t="str">
        <f>IF($A279="","",INDEX('PI Furnizor'!$C:$C,ROW()-3)&amp;"")</f>
        <v/>
      </c>
      <c r="E279" s="30" t="str">
        <f>IF($A279="","",N(INDEX('PI Furnizor'!$D:$D,ROW()-3)))</f>
        <v/>
      </c>
      <c r="F279" s="31" t="str">
        <f>IF(ISNUMBER($X279),INDEX(Comenzi!$G:$G,$X279),"")</f>
        <v/>
      </c>
      <c r="G279" s="32" t="str">
        <f>IF($A279="","",N(INDEX('PI Furnizor'!$E:$E,ROW()-3)))</f>
        <v/>
      </c>
      <c r="H279" s="33" t="str">
        <f t="shared" si="52"/>
        <v/>
      </c>
      <c r="I279" s="34" t="str">
        <f>IF($Y279&lt;&gt;1,"",IFERROR($AE279/INDEX(Comenzi!$AN:$AN,$X279),0))</f>
        <v/>
      </c>
      <c r="J279" s="33" t="str">
        <f>IF($Y279&lt;&gt;1,"",INDEX(Comenzi!$AG:$AG,$X279)*$I279/$E279)</f>
        <v/>
      </c>
      <c r="K279" s="33" t="str">
        <f t="shared" si="53"/>
        <v/>
      </c>
      <c r="L279" s="33" t="str">
        <f>IF($Y279&lt;&gt;1,"",$K279*$AD279+INDEX(Comenzi!$AJ:$AJ,$X279)*$I279/$E279)</f>
        <v/>
      </c>
      <c r="M279" s="33" t="str">
        <f t="shared" si="54"/>
        <v/>
      </c>
      <c r="N279" s="33" t="str">
        <f t="shared" si="55"/>
        <v/>
      </c>
      <c r="O279" s="33" t="str">
        <f>IF($Y279&lt;&gt;1,"",(INDEX(Comenzi!$AK:$AK,$X279)+N(INDEX(Comenzi!$T:$T,$X279)))*$I279/$E279)</f>
        <v/>
      </c>
      <c r="P279" s="35" t="str">
        <f t="shared" si="56"/>
        <v/>
      </c>
      <c r="Q279" s="36" t="str">
        <f t="shared" si="57"/>
        <v/>
      </c>
      <c r="R279" s="37" t="str">
        <f t="shared" si="58"/>
        <v/>
      </c>
      <c r="S279" s="38" t="str">
        <f t="shared" si="59"/>
        <v/>
      </c>
      <c r="T279" s="39" t="str">
        <f t="shared" si="60"/>
        <v/>
      </c>
      <c r="U279" s="40" t="str">
        <f t="shared" si="61"/>
        <v/>
      </c>
      <c r="V279" s="33" t="str">
        <f t="shared" si="62"/>
        <v/>
      </c>
      <c r="W279" s="33" t="str">
        <f t="shared" si="63"/>
        <v/>
      </c>
      <c r="X279" s="41" t="str">
        <f>IF($A279="","",IFERROR(MATCH($A279,Comenzi!$A$9:$A$108,0)+8,""))</f>
        <v/>
      </c>
      <c r="Y279" s="41" t="str">
        <f t="shared" si="64"/>
        <v/>
      </c>
      <c r="Z279" s="42" t="str">
        <f>IF($A279="","",IF($A279="?","Lipseste ID-ul comenzii (col. A din PI Furnizor)",IF(NOT(ISNUMBER($X279)),"ID comanda negasit in foaia Comenzi",IF(N($E279)&lt;=0,"Lipseste cantitatea",IF(N($G279)=0,"Pret unitar lipsa",IF($Y279&lt;&gt;1,"Curs sau moneda marfa lipsa (foaia Comenzi)",IF(INDEX(Comenzi!$AT:$AT,$X279)&lt;&gt;"OK","Avertisment comanda: "&amp;INDEX(Comenzi!$AT:$AT,$X279),"OK")))))))</f>
        <v/>
      </c>
      <c r="AA279" s="43" t="str">
        <f>IF(ISNUMBER($X279),INDEX(Comenzi!$H:$H,$X279),"")</f>
        <v/>
      </c>
      <c r="AB279" s="43" t="str">
        <f>IF(ISNUMBER($X279),INDEX(Comenzi!$I:$I,$X279),"")</f>
        <v/>
      </c>
      <c r="AC279" s="44" t="str">
        <f>IF(ISNUMBER($X279),IF(INDEX(Comenzi!$V:$V,$X279)="",Comenzi!$D$3,INDEX(Comenzi!$V:$V,$X279)),"")</f>
        <v/>
      </c>
      <c r="AD279" s="44" t="str">
        <f>IF(ISNUMBER($X279),IF(INDEX(Comenzi!$U:$U,$X279)="",Comenzi!$D$4,INDEX(Comenzi!$U:$U,$X279)),"")</f>
        <v/>
      </c>
      <c r="AE279" s="45" t="str">
        <f>IF($Y279&lt;&gt;1,"",IF(INDEX(Comenzi!$AM:$AM,$X279)="Greutate",INDEX('PI Furnizor'!$O:$O,ROW()-3),IF(INDEX(Comenzi!$AM:$AM,$X279)="Volum (CBM)",INDEX('PI Furnizor'!$Q:$Q,ROW()-3),IF(INDEX(Comenzi!$AM:$AM,$X279)="Valoare marfa",INDEX('PI Furnizor'!$N:$N,ROW()-3),$E279))))</f>
        <v/>
      </c>
    </row>
    <row r="280" spans="1:31" x14ac:dyDescent="0.3">
      <c r="A280" s="28" t="str">
        <f>IF(COUNTA(INDEX('PI Furnizor'!$A:$E,ROW()-3,0))=0,"",IF(INDEX('PI Furnizor'!$A:$A,ROW()-3)="","?",INDEX('PI Furnizor'!$A:$A,ROW()-3)))</f>
        <v/>
      </c>
      <c r="B280" s="29" t="str">
        <f>IF(ISNUMBER($X280),INDEX(Comenzi!$B:$B,$X280),"")</f>
        <v/>
      </c>
      <c r="C280" s="28" t="str">
        <f>IF($A280="","",INDEX('PI Furnizor'!$B:$B,ROW()-3)&amp;"")</f>
        <v/>
      </c>
      <c r="D280" s="28" t="str">
        <f>IF($A280="","",INDEX('PI Furnizor'!$C:$C,ROW()-3)&amp;"")</f>
        <v/>
      </c>
      <c r="E280" s="30" t="str">
        <f>IF($A280="","",N(INDEX('PI Furnizor'!$D:$D,ROW()-3)))</f>
        <v/>
      </c>
      <c r="F280" s="31" t="str">
        <f>IF(ISNUMBER($X280),INDEX(Comenzi!$G:$G,$X280),"")</f>
        <v/>
      </c>
      <c r="G280" s="32" t="str">
        <f>IF($A280="","",N(INDEX('PI Furnizor'!$E:$E,ROW()-3)))</f>
        <v/>
      </c>
      <c r="H280" s="33" t="str">
        <f t="shared" si="52"/>
        <v/>
      </c>
      <c r="I280" s="34" t="str">
        <f>IF($Y280&lt;&gt;1,"",IFERROR($AE280/INDEX(Comenzi!$AN:$AN,$X280),0))</f>
        <v/>
      </c>
      <c r="J280" s="33" t="str">
        <f>IF($Y280&lt;&gt;1,"",INDEX(Comenzi!$AG:$AG,$X280)*$I280/$E280)</f>
        <v/>
      </c>
      <c r="K280" s="33" t="str">
        <f t="shared" si="53"/>
        <v/>
      </c>
      <c r="L280" s="33" t="str">
        <f>IF($Y280&lt;&gt;1,"",$K280*$AD280+INDEX(Comenzi!$AJ:$AJ,$X280)*$I280/$E280)</f>
        <v/>
      </c>
      <c r="M280" s="33" t="str">
        <f t="shared" si="54"/>
        <v/>
      </c>
      <c r="N280" s="33" t="str">
        <f t="shared" si="55"/>
        <v/>
      </c>
      <c r="O280" s="33" t="str">
        <f>IF($Y280&lt;&gt;1,"",(INDEX(Comenzi!$AK:$AK,$X280)+N(INDEX(Comenzi!$T:$T,$X280)))*$I280/$E280)</f>
        <v/>
      </c>
      <c r="P280" s="35" t="str">
        <f t="shared" si="56"/>
        <v/>
      </c>
      <c r="Q280" s="36" t="str">
        <f t="shared" si="57"/>
        <v/>
      </c>
      <c r="R280" s="37" t="str">
        <f t="shared" si="58"/>
        <v/>
      </c>
      <c r="S280" s="38" t="str">
        <f t="shared" si="59"/>
        <v/>
      </c>
      <c r="T280" s="39" t="str">
        <f t="shared" si="60"/>
        <v/>
      </c>
      <c r="U280" s="40" t="str">
        <f t="shared" si="61"/>
        <v/>
      </c>
      <c r="V280" s="33" t="str">
        <f t="shared" si="62"/>
        <v/>
      </c>
      <c r="W280" s="33" t="str">
        <f t="shared" si="63"/>
        <v/>
      </c>
      <c r="X280" s="41" t="str">
        <f>IF($A280="","",IFERROR(MATCH($A280,Comenzi!$A$9:$A$108,0)+8,""))</f>
        <v/>
      </c>
      <c r="Y280" s="41" t="str">
        <f t="shared" si="64"/>
        <v/>
      </c>
      <c r="Z280" s="42" t="str">
        <f>IF($A280="","",IF($A280="?","Lipseste ID-ul comenzii (col. A din PI Furnizor)",IF(NOT(ISNUMBER($X280)),"ID comanda negasit in foaia Comenzi",IF(N($E280)&lt;=0,"Lipseste cantitatea",IF(N($G280)=0,"Pret unitar lipsa",IF($Y280&lt;&gt;1,"Curs sau moneda marfa lipsa (foaia Comenzi)",IF(INDEX(Comenzi!$AT:$AT,$X280)&lt;&gt;"OK","Avertisment comanda: "&amp;INDEX(Comenzi!$AT:$AT,$X280),"OK")))))))</f>
        <v/>
      </c>
      <c r="AA280" s="43" t="str">
        <f>IF(ISNUMBER($X280),INDEX(Comenzi!$H:$H,$X280),"")</f>
        <v/>
      </c>
      <c r="AB280" s="43" t="str">
        <f>IF(ISNUMBER($X280),INDEX(Comenzi!$I:$I,$X280),"")</f>
        <v/>
      </c>
      <c r="AC280" s="44" t="str">
        <f>IF(ISNUMBER($X280),IF(INDEX(Comenzi!$V:$V,$X280)="",Comenzi!$D$3,INDEX(Comenzi!$V:$V,$X280)),"")</f>
        <v/>
      </c>
      <c r="AD280" s="44" t="str">
        <f>IF(ISNUMBER($X280),IF(INDEX(Comenzi!$U:$U,$X280)="",Comenzi!$D$4,INDEX(Comenzi!$U:$U,$X280)),"")</f>
        <v/>
      </c>
      <c r="AE280" s="45" t="str">
        <f>IF($Y280&lt;&gt;1,"",IF(INDEX(Comenzi!$AM:$AM,$X280)="Greutate",INDEX('PI Furnizor'!$O:$O,ROW()-3),IF(INDEX(Comenzi!$AM:$AM,$X280)="Volum (CBM)",INDEX('PI Furnizor'!$Q:$Q,ROW()-3),IF(INDEX(Comenzi!$AM:$AM,$X280)="Valoare marfa",INDEX('PI Furnizor'!$N:$N,ROW()-3),$E280))))</f>
        <v/>
      </c>
    </row>
    <row r="281" spans="1:31" x14ac:dyDescent="0.3">
      <c r="A281" s="28" t="str">
        <f>IF(COUNTA(INDEX('PI Furnizor'!$A:$E,ROW()-3,0))=0,"",IF(INDEX('PI Furnizor'!$A:$A,ROW()-3)="","?",INDEX('PI Furnizor'!$A:$A,ROW()-3)))</f>
        <v/>
      </c>
      <c r="B281" s="29" t="str">
        <f>IF(ISNUMBER($X281),INDEX(Comenzi!$B:$B,$X281),"")</f>
        <v/>
      </c>
      <c r="C281" s="28" t="str">
        <f>IF($A281="","",INDEX('PI Furnizor'!$B:$B,ROW()-3)&amp;"")</f>
        <v/>
      </c>
      <c r="D281" s="28" t="str">
        <f>IF($A281="","",INDEX('PI Furnizor'!$C:$C,ROW()-3)&amp;"")</f>
        <v/>
      </c>
      <c r="E281" s="30" t="str">
        <f>IF($A281="","",N(INDEX('PI Furnizor'!$D:$D,ROW()-3)))</f>
        <v/>
      </c>
      <c r="F281" s="31" t="str">
        <f>IF(ISNUMBER($X281),INDEX(Comenzi!$G:$G,$X281),"")</f>
        <v/>
      </c>
      <c r="G281" s="32" t="str">
        <f>IF($A281="","",N(INDEX('PI Furnizor'!$E:$E,ROW()-3)))</f>
        <v/>
      </c>
      <c r="H281" s="33" t="str">
        <f t="shared" si="52"/>
        <v/>
      </c>
      <c r="I281" s="34" t="str">
        <f>IF($Y281&lt;&gt;1,"",IFERROR($AE281/INDEX(Comenzi!$AN:$AN,$X281),0))</f>
        <v/>
      </c>
      <c r="J281" s="33" t="str">
        <f>IF($Y281&lt;&gt;1,"",INDEX(Comenzi!$AG:$AG,$X281)*$I281/$E281)</f>
        <v/>
      </c>
      <c r="K281" s="33" t="str">
        <f t="shared" si="53"/>
        <v/>
      </c>
      <c r="L281" s="33" t="str">
        <f>IF($Y281&lt;&gt;1,"",$K281*$AD281+INDEX(Comenzi!$AJ:$AJ,$X281)*$I281/$E281)</f>
        <v/>
      </c>
      <c r="M281" s="33" t="str">
        <f t="shared" si="54"/>
        <v/>
      </c>
      <c r="N281" s="33" t="str">
        <f t="shared" si="55"/>
        <v/>
      </c>
      <c r="O281" s="33" t="str">
        <f>IF($Y281&lt;&gt;1,"",(INDEX(Comenzi!$AK:$AK,$X281)+N(INDEX(Comenzi!$T:$T,$X281)))*$I281/$E281)</f>
        <v/>
      </c>
      <c r="P281" s="35" t="str">
        <f t="shared" si="56"/>
        <v/>
      </c>
      <c r="Q281" s="36" t="str">
        <f t="shared" si="57"/>
        <v/>
      </c>
      <c r="R281" s="37" t="str">
        <f t="shared" si="58"/>
        <v/>
      </c>
      <c r="S281" s="38" t="str">
        <f t="shared" si="59"/>
        <v/>
      </c>
      <c r="T281" s="39" t="str">
        <f t="shared" si="60"/>
        <v/>
      </c>
      <c r="U281" s="40" t="str">
        <f t="shared" si="61"/>
        <v/>
      </c>
      <c r="V281" s="33" t="str">
        <f t="shared" si="62"/>
        <v/>
      </c>
      <c r="W281" s="33" t="str">
        <f t="shared" si="63"/>
        <v/>
      </c>
      <c r="X281" s="41" t="str">
        <f>IF($A281="","",IFERROR(MATCH($A281,Comenzi!$A$9:$A$108,0)+8,""))</f>
        <v/>
      </c>
      <c r="Y281" s="41" t="str">
        <f t="shared" si="64"/>
        <v/>
      </c>
      <c r="Z281" s="42" t="str">
        <f>IF($A281="","",IF($A281="?","Lipseste ID-ul comenzii (col. A din PI Furnizor)",IF(NOT(ISNUMBER($X281)),"ID comanda negasit in foaia Comenzi",IF(N($E281)&lt;=0,"Lipseste cantitatea",IF(N($G281)=0,"Pret unitar lipsa",IF($Y281&lt;&gt;1,"Curs sau moneda marfa lipsa (foaia Comenzi)",IF(INDEX(Comenzi!$AT:$AT,$X281)&lt;&gt;"OK","Avertisment comanda: "&amp;INDEX(Comenzi!$AT:$AT,$X281),"OK")))))))</f>
        <v/>
      </c>
      <c r="AA281" s="43" t="str">
        <f>IF(ISNUMBER($X281),INDEX(Comenzi!$H:$H,$X281),"")</f>
        <v/>
      </c>
      <c r="AB281" s="43" t="str">
        <f>IF(ISNUMBER($X281),INDEX(Comenzi!$I:$I,$X281),"")</f>
        <v/>
      </c>
      <c r="AC281" s="44" t="str">
        <f>IF(ISNUMBER($X281),IF(INDEX(Comenzi!$V:$V,$X281)="",Comenzi!$D$3,INDEX(Comenzi!$V:$V,$X281)),"")</f>
        <v/>
      </c>
      <c r="AD281" s="44" t="str">
        <f>IF(ISNUMBER($X281),IF(INDEX(Comenzi!$U:$U,$X281)="",Comenzi!$D$4,INDEX(Comenzi!$U:$U,$X281)),"")</f>
        <v/>
      </c>
      <c r="AE281" s="45" t="str">
        <f>IF($Y281&lt;&gt;1,"",IF(INDEX(Comenzi!$AM:$AM,$X281)="Greutate",INDEX('PI Furnizor'!$O:$O,ROW()-3),IF(INDEX(Comenzi!$AM:$AM,$X281)="Volum (CBM)",INDEX('PI Furnizor'!$Q:$Q,ROW()-3),IF(INDEX(Comenzi!$AM:$AM,$X281)="Valoare marfa",INDEX('PI Furnizor'!$N:$N,ROW()-3),$E281))))</f>
        <v/>
      </c>
    </row>
    <row r="282" spans="1:31" x14ac:dyDescent="0.3">
      <c r="A282" s="28" t="str">
        <f>IF(COUNTA(INDEX('PI Furnizor'!$A:$E,ROW()-3,0))=0,"",IF(INDEX('PI Furnizor'!$A:$A,ROW()-3)="","?",INDEX('PI Furnizor'!$A:$A,ROW()-3)))</f>
        <v/>
      </c>
      <c r="B282" s="29" t="str">
        <f>IF(ISNUMBER($X282),INDEX(Comenzi!$B:$B,$X282),"")</f>
        <v/>
      </c>
      <c r="C282" s="28" t="str">
        <f>IF($A282="","",INDEX('PI Furnizor'!$B:$B,ROW()-3)&amp;"")</f>
        <v/>
      </c>
      <c r="D282" s="28" t="str">
        <f>IF($A282="","",INDEX('PI Furnizor'!$C:$C,ROW()-3)&amp;"")</f>
        <v/>
      </c>
      <c r="E282" s="30" t="str">
        <f>IF($A282="","",N(INDEX('PI Furnizor'!$D:$D,ROW()-3)))</f>
        <v/>
      </c>
      <c r="F282" s="31" t="str">
        <f>IF(ISNUMBER($X282),INDEX(Comenzi!$G:$G,$X282),"")</f>
        <v/>
      </c>
      <c r="G282" s="32" t="str">
        <f>IF($A282="","",N(INDEX('PI Furnizor'!$E:$E,ROW()-3)))</f>
        <v/>
      </c>
      <c r="H282" s="33" t="str">
        <f t="shared" si="52"/>
        <v/>
      </c>
      <c r="I282" s="34" t="str">
        <f>IF($Y282&lt;&gt;1,"",IFERROR($AE282/INDEX(Comenzi!$AN:$AN,$X282),0))</f>
        <v/>
      </c>
      <c r="J282" s="33" t="str">
        <f>IF($Y282&lt;&gt;1,"",INDEX(Comenzi!$AG:$AG,$X282)*$I282/$E282)</f>
        <v/>
      </c>
      <c r="K282" s="33" t="str">
        <f t="shared" si="53"/>
        <v/>
      </c>
      <c r="L282" s="33" t="str">
        <f>IF($Y282&lt;&gt;1,"",$K282*$AD282+INDEX(Comenzi!$AJ:$AJ,$X282)*$I282/$E282)</f>
        <v/>
      </c>
      <c r="M282" s="33" t="str">
        <f t="shared" si="54"/>
        <v/>
      </c>
      <c r="N282" s="33" t="str">
        <f t="shared" si="55"/>
        <v/>
      </c>
      <c r="O282" s="33" t="str">
        <f>IF($Y282&lt;&gt;1,"",(INDEX(Comenzi!$AK:$AK,$X282)+N(INDEX(Comenzi!$T:$T,$X282)))*$I282/$E282)</f>
        <v/>
      </c>
      <c r="P282" s="35" t="str">
        <f t="shared" si="56"/>
        <v/>
      </c>
      <c r="Q282" s="36" t="str">
        <f t="shared" si="57"/>
        <v/>
      </c>
      <c r="R282" s="37" t="str">
        <f t="shared" si="58"/>
        <v/>
      </c>
      <c r="S282" s="38" t="str">
        <f t="shared" si="59"/>
        <v/>
      </c>
      <c r="T282" s="39" t="str">
        <f t="shared" si="60"/>
        <v/>
      </c>
      <c r="U282" s="40" t="str">
        <f t="shared" si="61"/>
        <v/>
      </c>
      <c r="V282" s="33" t="str">
        <f t="shared" si="62"/>
        <v/>
      </c>
      <c r="W282" s="33" t="str">
        <f t="shared" si="63"/>
        <v/>
      </c>
      <c r="X282" s="41" t="str">
        <f>IF($A282="","",IFERROR(MATCH($A282,Comenzi!$A$9:$A$108,0)+8,""))</f>
        <v/>
      </c>
      <c r="Y282" s="41" t="str">
        <f t="shared" si="64"/>
        <v/>
      </c>
      <c r="Z282" s="42" t="str">
        <f>IF($A282="","",IF($A282="?","Lipseste ID-ul comenzii (col. A din PI Furnizor)",IF(NOT(ISNUMBER($X282)),"ID comanda negasit in foaia Comenzi",IF(N($E282)&lt;=0,"Lipseste cantitatea",IF(N($G282)=0,"Pret unitar lipsa",IF($Y282&lt;&gt;1,"Curs sau moneda marfa lipsa (foaia Comenzi)",IF(INDEX(Comenzi!$AT:$AT,$X282)&lt;&gt;"OK","Avertisment comanda: "&amp;INDEX(Comenzi!$AT:$AT,$X282),"OK")))))))</f>
        <v/>
      </c>
      <c r="AA282" s="43" t="str">
        <f>IF(ISNUMBER($X282),INDEX(Comenzi!$H:$H,$X282),"")</f>
        <v/>
      </c>
      <c r="AB282" s="43" t="str">
        <f>IF(ISNUMBER($X282),INDEX(Comenzi!$I:$I,$X282),"")</f>
        <v/>
      </c>
      <c r="AC282" s="44" t="str">
        <f>IF(ISNUMBER($X282),IF(INDEX(Comenzi!$V:$V,$X282)="",Comenzi!$D$3,INDEX(Comenzi!$V:$V,$X282)),"")</f>
        <v/>
      </c>
      <c r="AD282" s="44" t="str">
        <f>IF(ISNUMBER($X282),IF(INDEX(Comenzi!$U:$U,$X282)="",Comenzi!$D$4,INDEX(Comenzi!$U:$U,$X282)),"")</f>
        <v/>
      </c>
      <c r="AE282" s="45" t="str">
        <f>IF($Y282&lt;&gt;1,"",IF(INDEX(Comenzi!$AM:$AM,$X282)="Greutate",INDEX('PI Furnizor'!$O:$O,ROW()-3),IF(INDEX(Comenzi!$AM:$AM,$X282)="Volum (CBM)",INDEX('PI Furnizor'!$Q:$Q,ROW()-3),IF(INDEX(Comenzi!$AM:$AM,$X282)="Valoare marfa",INDEX('PI Furnizor'!$N:$N,ROW()-3),$E282))))</f>
        <v/>
      </c>
    </row>
    <row r="283" spans="1:31" x14ac:dyDescent="0.3">
      <c r="A283" s="28" t="str">
        <f>IF(COUNTA(INDEX('PI Furnizor'!$A:$E,ROW()-3,0))=0,"",IF(INDEX('PI Furnizor'!$A:$A,ROW()-3)="","?",INDEX('PI Furnizor'!$A:$A,ROW()-3)))</f>
        <v/>
      </c>
      <c r="B283" s="29" t="str">
        <f>IF(ISNUMBER($X283),INDEX(Comenzi!$B:$B,$X283),"")</f>
        <v/>
      </c>
      <c r="C283" s="28" t="str">
        <f>IF($A283="","",INDEX('PI Furnizor'!$B:$B,ROW()-3)&amp;"")</f>
        <v/>
      </c>
      <c r="D283" s="28" t="str">
        <f>IF($A283="","",INDEX('PI Furnizor'!$C:$C,ROW()-3)&amp;"")</f>
        <v/>
      </c>
      <c r="E283" s="30" t="str">
        <f>IF($A283="","",N(INDEX('PI Furnizor'!$D:$D,ROW()-3)))</f>
        <v/>
      </c>
      <c r="F283" s="31" t="str">
        <f>IF(ISNUMBER($X283),INDEX(Comenzi!$G:$G,$X283),"")</f>
        <v/>
      </c>
      <c r="G283" s="32" t="str">
        <f>IF($A283="","",N(INDEX('PI Furnizor'!$E:$E,ROW()-3)))</f>
        <v/>
      </c>
      <c r="H283" s="33" t="str">
        <f t="shared" si="52"/>
        <v/>
      </c>
      <c r="I283" s="34" t="str">
        <f>IF($Y283&lt;&gt;1,"",IFERROR($AE283/INDEX(Comenzi!$AN:$AN,$X283),0))</f>
        <v/>
      </c>
      <c r="J283" s="33" t="str">
        <f>IF($Y283&lt;&gt;1,"",INDEX(Comenzi!$AG:$AG,$X283)*$I283/$E283)</f>
        <v/>
      </c>
      <c r="K283" s="33" t="str">
        <f t="shared" si="53"/>
        <v/>
      </c>
      <c r="L283" s="33" t="str">
        <f>IF($Y283&lt;&gt;1,"",$K283*$AD283+INDEX(Comenzi!$AJ:$AJ,$X283)*$I283/$E283)</f>
        <v/>
      </c>
      <c r="M283" s="33" t="str">
        <f t="shared" si="54"/>
        <v/>
      </c>
      <c r="N283" s="33" t="str">
        <f t="shared" si="55"/>
        <v/>
      </c>
      <c r="O283" s="33" t="str">
        <f>IF($Y283&lt;&gt;1,"",(INDEX(Comenzi!$AK:$AK,$X283)+N(INDEX(Comenzi!$T:$T,$X283)))*$I283/$E283)</f>
        <v/>
      </c>
      <c r="P283" s="35" t="str">
        <f t="shared" si="56"/>
        <v/>
      </c>
      <c r="Q283" s="36" t="str">
        <f t="shared" si="57"/>
        <v/>
      </c>
      <c r="R283" s="37" t="str">
        <f t="shared" si="58"/>
        <v/>
      </c>
      <c r="S283" s="38" t="str">
        <f t="shared" si="59"/>
        <v/>
      </c>
      <c r="T283" s="39" t="str">
        <f t="shared" si="60"/>
        <v/>
      </c>
      <c r="U283" s="40" t="str">
        <f t="shared" si="61"/>
        <v/>
      </c>
      <c r="V283" s="33" t="str">
        <f t="shared" si="62"/>
        <v/>
      </c>
      <c r="W283" s="33" t="str">
        <f t="shared" si="63"/>
        <v/>
      </c>
      <c r="X283" s="41" t="str">
        <f>IF($A283="","",IFERROR(MATCH($A283,Comenzi!$A$9:$A$108,0)+8,""))</f>
        <v/>
      </c>
      <c r="Y283" s="41" t="str">
        <f t="shared" si="64"/>
        <v/>
      </c>
      <c r="Z283" s="42" t="str">
        <f>IF($A283="","",IF($A283="?","Lipseste ID-ul comenzii (col. A din PI Furnizor)",IF(NOT(ISNUMBER($X283)),"ID comanda negasit in foaia Comenzi",IF(N($E283)&lt;=0,"Lipseste cantitatea",IF(N($G283)=0,"Pret unitar lipsa",IF($Y283&lt;&gt;1,"Curs sau moneda marfa lipsa (foaia Comenzi)",IF(INDEX(Comenzi!$AT:$AT,$X283)&lt;&gt;"OK","Avertisment comanda: "&amp;INDEX(Comenzi!$AT:$AT,$X283),"OK")))))))</f>
        <v/>
      </c>
      <c r="AA283" s="43" t="str">
        <f>IF(ISNUMBER($X283),INDEX(Comenzi!$H:$H,$X283),"")</f>
        <v/>
      </c>
      <c r="AB283" s="43" t="str">
        <f>IF(ISNUMBER($X283),INDEX(Comenzi!$I:$I,$X283),"")</f>
        <v/>
      </c>
      <c r="AC283" s="44" t="str">
        <f>IF(ISNUMBER($X283),IF(INDEX(Comenzi!$V:$V,$X283)="",Comenzi!$D$3,INDEX(Comenzi!$V:$V,$X283)),"")</f>
        <v/>
      </c>
      <c r="AD283" s="44" t="str">
        <f>IF(ISNUMBER($X283),IF(INDEX(Comenzi!$U:$U,$X283)="",Comenzi!$D$4,INDEX(Comenzi!$U:$U,$X283)),"")</f>
        <v/>
      </c>
      <c r="AE283" s="45" t="str">
        <f>IF($Y283&lt;&gt;1,"",IF(INDEX(Comenzi!$AM:$AM,$X283)="Greutate",INDEX('PI Furnizor'!$O:$O,ROW()-3),IF(INDEX(Comenzi!$AM:$AM,$X283)="Volum (CBM)",INDEX('PI Furnizor'!$Q:$Q,ROW()-3),IF(INDEX(Comenzi!$AM:$AM,$X283)="Valoare marfa",INDEX('PI Furnizor'!$N:$N,ROW()-3),$E283))))</f>
        <v/>
      </c>
    </row>
    <row r="284" spans="1:31" x14ac:dyDescent="0.3">
      <c r="A284" s="28" t="str">
        <f>IF(COUNTA(INDEX('PI Furnizor'!$A:$E,ROW()-3,0))=0,"",IF(INDEX('PI Furnizor'!$A:$A,ROW()-3)="","?",INDEX('PI Furnizor'!$A:$A,ROW()-3)))</f>
        <v/>
      </c>
      <c r="B284" s="29" t="str">
        <f>IF(ISNUMBER($X284),INDEX(Comenzi!$B:$B,$X284),"")</f>
        <v/>
      </c>
      <c r="C284" s="28" t="str">
        <f>IF($A284="","",INDEX('PI Furnizor'!$B:$B,ROW()-3)&amp;"")</f>
        <v/>
      </c>
      <c r="D284" s="28" t="str">
        <f>IF($A284="","",INDEX('PI Furnizor'!$C:$C,ROW()-3)&amp;"")</f>
        <v/>
      </c>
      <c r="E284" s="30" t="str">
        <f>IF($A284="","",N(INDEX('PI Furnizor'!$D:$D,ROW()-3)))</f>
        <v/>
      </c>
      <c r="F284" s="31" t="str">
        <f>IF(ISNUMBER($X284),INDEX(Comenzi!$G:$G,$X284),"")</f>
        <v/>
      </c>
      <c r="G284" s="32" t="str">
        <f>IF($A284="","",N(INDEX('PI Furnizor'!$E:$E,ROW()-3)))</f>
        <v/>
      </c>
      <c r="H284" s="33" t="str">
        <f t="shared" si="52"/>
        <v/>
      </c>
      <c r="I284" s="34" t="str">
        <f>IF($Y284&lt;&gt;1,"",IFERROR($AE284/INDEX(Comenzi!$AN:$AN,$X284),0))</f>
        <v/>
      </c>
      <c r="J284" s="33" t="str">
        <f>IF($Y284&lt;&gt;1,"",INDEX(Comenzi!$AG:$AG,$X284)*$I284/$E284)</f>
        <v/>
      </c>
      <c r="K284" s="33" t="str">
        <f t="shared" si="53"/>
        <v/>
      </c>
      <c r="L284" s="33" t="str">
        <f>IF($Y284&lt;&gt;1,"",$K284*$AD284+INDEX(Comenzi!$AJ:$AJ,$X284)*$I284/$E284)</f>
        <v/>
      </c>
      <c r="M284" s="33" t="str">
        <f t="shared" si="54"/>
        <v/>
      </c>
      <c r="N284" s="33" t="str">
        <f t="shared" si="55"/>
        <v/>
      </c>
      <c r="O284" s="33" t="str">
        <f>IF($Y284&lt;&gt;1,"",(INDEX(Comenzi!$AK:$AK,$X284)+N(INDEX(Comenzi!$T:$T,$X284)))*$I284/$E284)</f>
        <v/>
      </c>
      <c r="P284" s="35" t="str">
        <f t="shared" si="56"/>
        <v/>
      </c>
      <c r="Q284" s="36" t="str">
        <f t="shared" si="57"/>
        <v/>
      </c>
      <c r="R284" s="37" t="str">
        <f t="shared" si="58"/>
        <v/>
      </c>
      <c r="S284" s="38" t="str">
        <f t="shared" si="59"/>
        <v/>
      </c>
      <c r="T284" s="39" t="str">
        <f t="shared" si="60"/>
        <v/>
      </c>
      <c r="U284" s="40" t="str">
        <f t="shared" si="61"/>
        <v/>
      </c>
      <c r="V284" s="33" t="str">
        <f t="shared" si="62"/>
        <v/>
      </c>
      <c r="W284" s="33" t="str">
        <f t="shared" si="63"/>
        <v/>
      </c>
      <c r="X284" s="41" t="str">
        <f>IF($A284="","",IFERROR(MATCH($A284,Comenzi!$A$9:$A$108,0)+8,""))</f>
        <v/>
      </c>
      <c r="Y284" s="41" t="str">
        <f t="shared" si="64"/>
        <v/>
      </c>
      <c r="Z284" s="42" t="str">
        <f>IF($A284="","",IF($A284="?","Lipseste ID-ul comenzii (col. A din PI Furnizor)",IF(NOT(ISNUMBER($X284)),"ID comanda negasit in foaia Comenzi",IF(N($E284)&lt;=0,"Lipseste cantitatea",IF(N($G284)=0,"Pret unitar lipsa",IF($Y284&lt;&gt;1,"Curs sau moneda marfa lipsa (foaia Comenzi)",IF(INDEX(Comenzi!$AT:$AT,$X284)&lt;&gt;"OK","Avertisment comanda: "&amp;INDEX(Comenzi!$AT:$AT,$X284),"OK")))))))</f>
        <v/>
      </c>
      <c r="AA284" s="43" t="str">
        <f>IF(ISNUMBER($X284),INDEX(Comenzi!$H:$H,$X284),"")</f>
        <v/>
      </c>
      <c r="AB284" s="43" t="str">
        <f>IF(ISNUMBER($X284),INDEX(Comenzi!$I:$I,$X284),"")</f>
        <v/>
      </c>
      <c r="AC284" s="44" t="str">
        <f>IF(ISNUMBER($X284),IF(INDEX(Comenzi!$V:$V,$X284)="",Comenzi!$D$3,INDEX(Comenzi!$V:$V,$X284)),"")</f>
        <v/>
      </c>
      <c r="AD284" s="44" t="str">
        <f>IF(ISNUMBER($X284),IF(INDEX(Comenzi!$U:$U,$X284)="",Comenzi!$D$4,INDEX(Comenzi!$U:$U,$X284)),"")</f>
        <v/>
      </c>
      <c r="AE284" s="45" t="str">
        <f>IF($Y284&lt;&gt;1,"",IF(INDEX(Comenzi!$AM:$AM,$X284)="Greutate",INDEX('PI Furnizor'!$O:$O,ROW()-3),IF(INDEX(Comenzi!$AM:$AM,$X284)="Volum (CBM)",INDEX('PI Furnizor'!$Q:$Q,ROW()-3),IF(INDEX(Comenzi!$AM:$AM,$X284)="Valoare marfa",INDEX('PI Furnizor'!$N:$N,ROW()-3),$E284))))</f>
        <v/>
      </c>
    </row>
    <row r="285" spans="1:31" x14ac:dyDescent="0.3">
      <c r="A285" s="28" t="str">
        <f>IF(COUNTA(INDEX('PI Furnizor'!$A:$E,ROW()-3,0))=0,"",IF(INDEX('PI Furnizor'!$A:$A,ROW()-3)="","?",INDEX('PI Furnizor'!$A:$A,ROW()-3)))</f>
        <v/>
      </c>
      <c r="B285" s="29" t="str">
        <f>IF(ISNUMBER($X285),INDEX(Comenzi!$B:$B,$X285),"")</f>
        <v/>
      </c>
      <c r="C285" s="28" t="str">
        <f>IF($A285="","",INDEX('PI Furnizor'!$B:$B,ROW()-3)&amp;"")</f>
        <v/>
      </c>
      <c r="D285" s="28" t="str">
        <f>IF($A285="","",INDEX('PI Furnizor'!$C:$C,ROW()-3)&amp;"")</f>
        <v/>
      </c>
      <c r="E285" s="30" t="str">
        <f>IF($A285="","",N(INDEX('PI Furnizor'!$D:$D,ROW()-3)))</f>
        <v/>
      </c>
      <c r="F285" s="31" t="str">
        <f>IF(ISNUMBER($X285),INDEX(Comenzi!$G:$G,$X285),"")</f>
        <v/>
      </c>
      <c r="G285" s="32" t="str">
        <f>IF($A285="","",N(INDEX('PI Furnizor'!$E:$E,ROW()-3)))</f>
        <v/>
      </c>
      <c r="H285" s="33" t="str">
        <f t="shared" si="52"/>
        <v/>
      </c>
      <c r="I285" s="34" t="str">
        <f>IF($Y285&lt;&gt;1,"",IFERROR($AE285/INDEX(Comenzi!$AN:$AN,$X285),0))</f>
        <v/>
      </c>
      <c r="J285" s="33" t="str">
        <f>IF($Y285&lt;&gt;1,"",INDEX(Comenzi!$AG:$AG,$X285)*$I285/$E285)</f>
        <v/>
      </c>
      <c r="K285" s="33" t="str">
        <f t="shared" si="53"/>
        <v/>
      </c>
      <c r="L285" s="33" t="str">
        <f>IF($Y285&lt;&gt;1,"",$K285*$AD285+INDEX(Comenzi!$AJ:$AJ,$X285)*$I285/$E285)</f>
        <v/>
      </c>
      <c r="M285" s="33" t="str">
        <f t="shared" si="54"/>
        <v/>
      </c>
      <c r="N285" s="33" t="str">
        <f t="shared" si="55"/>
        <v/>
      </c>
      <c r="O285" s="33" t="str">
        <f>IF($Y285&lt;&gt;1,"",(INDEX(Comenzi!$AK:$AK,$X285)+N(INDEX(Comenzi!$T:$T,$X285)))*$I285/$E285)</f>
        <v/>
      </c>
      <c r="P285" s="35" t="str">
        <f t="shared" si="56"/>
        <v/>
      </c>
      <c r="Q285" s="36" t="str">
        <f t="shared" si="57"/>
        <v/>
      </c>
      <c r="R285" s="37" t="str">
        <f t="shared" si="58"/>
        <v/>
      </c>
      <c r="S285" s="38" t="str">
        <f t="shared" si="59"/>
        <v/>
      </c>
      <c r="T285" s="39" t="str">
        <f t="shared" si="60"/>
        <v/>
      </c>
      <c r="U285" s="40" t="str">
        <f t="shared" si="61"/>
        <v/>
      </c>
      <c r="V285" s="33" t="str">
        <f t="shared" si="62"/>
        <v/>
      </c>
      <c r="W285" s="33" t="str">
        <f t="shared" si="63"/>
        <v/>
      </c>
      <c r="X285" s="41" t="str">
        <f>IF($A285="","",IFERROR(MATCH($A285,Comenzi!$A$9:$A$108,0)+8,""))</f>
        <v/>
      </c>
      <c r="Y285" s="41" t="str">
        <f t="shared" si="64"/>
        <v/>
      </c>
      <c r="Z285" s="42" t="str">
        <f>IF($A285="","",IF($A285="?","Lipseste ID-ul comenzii (col. A din PI Furnizor)",IF(NOT(ISNUMBER($X285)),"ID comanda negasit in foaia Comenzi",IF(N($E285)&lt;=0,"Lipseste cantitatea",IF(N($G285)=0,"Pret unitar lipsa",IF($Y285&lt;&gt;1,"Curs sau moneda marfa lipsa (foaia Comenzi)",IF(INDEX(Comenzi!$AT:$AT,$X285)&lt;&gt;"OK","Avertisment comanda: "&amp;INDEX(Comenzi!$AT:$AT,$X285),"OK")))))))</f>
        <v/>
      </c>
      <c r="AA285" s="43" t="str">
        <f>IF(ISNUMBER($X285),INDEX(Comenzi!$H:$H,$X285),"")</f>
        <v/>
      </c>
      <c r="AB285" s="43" t="str">
        <f>IF(ISNUMBER($X285),INDEX(Comenzi!$I:$I,$X285),"")</f>
        <v/>
      </c>
      <c r="AC285" s="44" t="str">
        <f>IF(ISNUMBER($X285),IF(INDEX(Comenzi!$V:$V,$X285)="",Comenzi!$D$3,INDEX(Comenzi!$V:$V,$X285)),"")</f>
        <v/>
      </c>
      <c r="AD285" s="44" t="str">
        <f>IF(ISNUMBER($X285),IF(INDEX(Comenzi!$U:$U,$X285)="",Comenzi!$D$4,INDEX(Comenzi!$U:$U,$X285)),"")</f>
        <v/>
      </c>
      <c r="AE285" s="45" t="str">
        <f>IF($Y285&lt;&gt;1,"",IF(INDEX(Comenzi!$AM:$AM,$X285)="Greutate",INDEX('PI Furnizor'!$O:$O,ROW()-3),IF(INDEX(Comenzi!$AM:$AM,$X285)="Volum (CBM)",INDEX('PI Furnizor'!$Q:$Q,ROW()-3),IF(INDEX(Comenzi!$AM:$AM,$X285)="Valoare marfa",INDEX('PI Furnizor'!$N:$N,ROW()-3),$E285))))</f>
        <v/>
      </c>
    </row>
    <row r="286" spans="1:31" x14ac:dyDescent="0.3">
      <c r="A286" s="28" t="str">
        <f>IF(COUNTA(INDEX('PI Furnizor'!$A:$E,ROW()-3,0))=0,"",IF(INDEX('PI Furnizor'!$A:$A,ROW()-3)="","?",INDEX('PI Furnizor'!$A:$A,ROW()-3)))</f>
        <v/>
      </c>
      <c r="B286" s="29" t="str">
        <f>IF(ISNUMBER($X286),INDEX(Comenzi!$B:$B,$X286),"")</f>
        <v/>
      </c>
      <c r="C286" s="28" t="str">
        <f>IF($A286="","",INDEX('PI Furnizor'!$B:$B,ROW()-3)&amp;"")</f>
        <v/>
      </c>
      <c r="D286" s="28" t="str">
        <f>IF($A286="","",INDEX('PI Furnizor'!$C:$C,ROW()-3)&amp;"")</f>
        <v/>
      </c>
      <c r="E286" s="30" t="str">
        <f>IF($A286="","",N(INDEX('PI Furnizor'!$D:$D,ROW()-3)))</f>
        <v/>
      </c>
      <c r="F286" s="31" t="str">
        <f>IF(ISNUMBER($X286),INDEX(Comenzi!$G:$G,$X286),"")</f>
        <v/>
      </c>
      <c r="G286" s="32" t="str">
        <f>IF($A286="","",N(INDEX('PI Furnizor'!$E:$E,ROW()-3)))</f>
        <v/>
      </c>
      <c r="H286" s="33" t="str">
        <f t="shared" si="52"/>
        <v/>
      </c>
      <c r="I286" s="34" t="str">
        <f>IF($Y286&lt;&gt;1,"",IFERROR($AE286/INDEX(Comenzi!$AN:$AN,$X286),0))</f>
        <v/>
      </c>
      <c r="J286" s="33" t="str">
        <f>IF($Y286&lt;&gt;1,"",INDEX(Comenzi!$AG:$AG,$X286)*$I286/$E286)</f>
        <v/>
      </c>
      <c r="K286" s="33" t="str">
        <f t="shared" si="53"/>
        <v/>
      </c>
      <c r="L286" s="33" t="str">
        <f>IF($Y286&lt;&gt;1,"",$K286*$AD286+INDEX(Comenzi!$AJ:$AJ,$X286)*$I286/$E286)</f>
        <v/>
      </c>
      <c r="M286" s="33" t="str">
        <f t="shared" si="54"/>
        <v/>
      </c>
      <c r="N286" s="33" t="str">
        <f t="shared" si="55"/>
        <v/>
      </c>
      <c r="O286" s="33" t="str">
        <f>IF($Y286&lt;&gt;1,"",(INDEX(Comenzi!$AK:$AK,$X286)+N(INDEX(Comenzi!$T:$T,$X286)))*$I286/$E286)</f>
        <v/>
      </c>
      <c r="P286" s="35" t="str">
        <f t="shared" si="56"/>
        <v/>
      </c>
      <c r="Q286" s="36" t="str">
        <f t="shared" si="57"/>
        <v/>
      </c>
      <c r="R286" s="37" t="str">
        <f t="shared" si="58"/>
        <v/>
      </c>
      <c r="S286" s="38" t="str">
        <f t="shared" si="59"/>
        <v/>
      </c>
      <c r="T286" s="39" t="str">
        <f t="shared" si="60"/>
        <v/>
      </c>
      <c r="U286" s="40" t="str">
        <f t="shared" si="61"/>
        <v/>
      </c>
      <c r="V286" s="33" t="str">
        <f t="shared" si="62"/>
        <v/>
      </c>
      <c r="W286" s="33" t="str">
        <f t="shared" si="63"/>
        <v/>
      </c>
      <c r="X286" s="41" t="str">
        <f>IF($A286="","",IFERROR(MATCH($A286,Comenzi!$A$9:$A$108,0)+8,""))</f>
        <v/>
      </c>
      <c r="Y286" s="41" t="str">
        <f t="shared" si="64"/>
        <v/>
      </c>
      <c r="Z286" s="42" t="str">
        <f>IF($A286="","",IF($A286="?","Lipseste ID-ul comenzii (col. A din PI Furnizor)",IF(NOT(ISNUMBER($X286)),"ID comanda negasit in foaia Comenzi",IF(N($E286)&lt;=0,"Lipseste cantitatea",IF(N($G286)=0,"Pret unitar lipsa",IF($Y286&lt;&gt;1,"Curs sau moneda marfa lipsa (foaia Comenzi)",IF(INDEX(Comenzi!$AT:$AT,$X286)&lt;&gt;"OK","Avertisment comanda: "&amp;INDEX(Comenzi!$AT:$AT,$X286),"OK")))))))</f>
        <v/>
      </c>
      <c r="AA286" s="43" t="str">
        <f>IF(ISNUMBER($X286),INDEX(Comenzi!$H:$H,$X286),"")</f>
        <v/>
      </c>
      <c r="AB286" s="43" t="str">
        <f>IF(ISNUMBER($X286),INDEX(Comenzi!$I:$I,$X286),"")</f>
        <v/>
      </c>
      <c r="AC286" s="44" t="str">
        <f>IF(ISNUMBER($X286),IF(INDEX(Comenzi!$V:$V,$X286)="",Comenzi!$D$3,INDEX(Comenzi!$V:$V,$X286)),"")</f>
        <v/>
      </c>
      <c r="AD286" s="44" t="str">
        <f>IF(ISNUMBER($X286),IF(INDEX(Comenzi!$U:$U,$X286)="",Comenzi!$D$4,INDEX(Comenzi!$U:$U,$X286)),"")</f>
        <v/>
      </c>
      <c r="AE286" s="45" t="str">
        <f>IF($Y286&lt;&gt;1,"",IF(INDEX(Comenzi!$AM:$AM,$X286)="Greutate",INDEX('PI Furnizor'!$O:$O,ROW()-3),IF(INDEX(Comenzi!$AM:$AM,$X286)="Volum (CBM)",INDEX('PI Furnizor'!$Q:$Q,ROW()-3),IF(INDEX(Comenzi!$AM:$AM,$X286)="Valoare marfa",INDEX('PI Furnizor'!$N:$N,ROW()-3),$E286))))</f>
        <v/>
      </c>
    </row>
    <row r="287" spans="1:31" x14ac:dyDescent="0.3">
      <c r="A287" s="28" t="str">
        <f>IF(COUNTA(INDEX('PI Furnizor'!$A:$E,ROW()-3,0))=0,"",IF(INDEX('PI Furnizor'!$A:$A,ROW()-3)="","?",INDEX('PI Furnizor'!$A:$A,ROW()-3)))</f>
        <v/>
      </c>
      <c r="B287" s="29" t="str">
        <f>IF(ISNUMBER($X287),INDEX(Comenzi!$B:$B,$X287),"")</f>
        <v/>
      </c>
      <c r="C287" s="28" t="str">
        <f>IF($A287="","",INDEX('PI Furnizor'!$B:$B,ROW()-3)&amp;"")</f>
        <v/>
      </c>
      <c r="D287" s="28" t="str">
        <f>IF($A287="","",INDEX('PI Furnizor'!$C:$C,ROW()-3)&amp;"")</f>
        <v/>
      </c>
      <c r="E287" s="30" t="str">
        <f>IF($A287="","",N(INDEX('PI Furnizor'!$D:$D,ROW()-3)))</f>
        <v/>
      </c>
      <c r="F287" s="31" t="str">
        <f>IF(ISNUMBER($X287),INDEX(Comenzi!$G:$G,$X287),"")</f>
        <v/>
      </c>
      <c r="G287" s="32" t="str">
        <f>IF($A287="","",N(INDEX('PI Furnizor'!$E:$E,ROW()-3)))</f>
        <v/>
      </c>
      <c r="H287" s="33" t="str">
        <f t="shared" si="52"/>
        <v/>
      </c>
      <c r="I287" s="34" t="str">
        <f>IF($Y287&lt;&gt;1,"",IFERROR($AE287/INDEX(Comenzi!$AN:$AN,$X287),0))</f>
        <v/>
      </c>
      <c r="J287" s="33" t="str">
        <f>IF($Y287&lt;&gt;1,"",INDEX(Comenzi!$AG:$AG,$X287)*$I287/$E287)</f>
        <v/>
      </c>
      <c r="K287" s="33" t="str">
        <f t="shared" si="53"/>
        <v/>
      </c>
      <c r="L287" s="33" t="str">
        <f>IF($Y287&lt;&gt;1,"",$K287*$AD287+INDEX(Comenzi!$AJ:$AJ,$X287)*$I287/$E287)</f>
        <v/>
      </c>
      <c r="M287" s="33" t="str">
        <f t="shared" si="54"/>
        <v/>
      </c>
      <c r="N287" s="33" t="str">
        <f t="shared" si="55"/>
        <v/>
      </c>
      <c r="O287" s="33" t="str">
        <f>IF($Y287&lt;&gt;1,"",(INDEX(Comenzi!$AK:$AK,$X287)+N(INDEX(Comenzi!$T:$T,$X287)))*$I287/$E287)</f>
        <v/>
      </c>
      <c r="P287" s="35" t="str">
        <f t="shared" si="56"/>
        <v/>
      </c>
      <c r="Q287" s="36" t="str">
        <f t="shared" si="57"/>
        <v/>
      </c>
      <c r="R287" s="37" t="str">
        <f t="shared" si="58"/>
        <v/>
      </c>
      <c r="S287" s="38" t="str">
        <f t="shared" si="59"/>
        <v/>
      </c>
      <c r="T287" s="39" t="str">
        <f t="shared" si="60"/>
        <v/>
      </c>
      <c r="U287" s="40" t="str">
        <f t="shared" si="61"/>
        <v/>
      </c>
      <c r="V287" s="33" t="str">
        <f t="shared" si="62"/>
        <v/>
      </c>
      <c r="W287" s="33" t="str">
        <f t="shared" si="63"/>
        <v/>
      </c>
      <c r="X287" s="41" t="str">
        <f>IF($A287="","",IFERROR(MATCH($A287,Comenzi!$A$9:$A$108,0)+8,""))</f>
        <v/>
      </c>
      <c r="Y287" s="41" t="str">
        <f t="shared" si="64"/>
        <v/>
      </c>
      <c r="Z287" s="42" t="str">
        <f>IF($A287="","",IF($A287="?","Lipseste ID-ul comenzii (col. A din PI Furnizor)",IF(NOT(ISNUMBER($X287)),"ID comanda negasit in foaia Comenzi",IF(N($E287)&lt;=0,"Lipseste cantitatea",IF(N($G287)=0,"Pret unitar lipsa",IF($Y287&lt;&gt;1,"Curs sau moneda marfa lipsa (foaia Comenzi)",IF(INDEX(Comenzi!$AT:$AT,$X287)&lt;&gt;"OK","Avertisment comanda: "&amp;INDEX(Comenzi!$AT:$AT,$X287),"OK")))))))</f>
        <v/>
      </c>
      <c r="AA287" s="43" t="str">
        <f>IF(ISNUMBER($X287),INDEX(Comenzi!$H:$H,$X287),"")</f>
        <v/>
      </c>
      <c r="AB287" s="43" t="str">
        <f>IF(ISNUMBER($X287),INDEX(Comenzi!$I:$I,$X287),"")</f>
        <v/>
      </c>
      <c r="AC287" s="44" t="str">
        <f>IF(ISNUMBER($X287),IF(INDEX(Comenzi!$V:$V,$X287)="",Comenzi!$D$3,INDEX(Comenzi!$V:$V,$X287)),"")</f>
        <v/>
      </c>
      <c r="AD287" s="44" t="str">
        <f>IF(ISNUMBER($X287),IF(INDEX(Comenzi!$U:$U,$X287)="",Comenzi!$D$4,INDEX(Comenzi!$U:$U,$X287)),"")</f>
        <v/>
      </c>
      <c r="AE287" s="45" t="str">
        <f>IF($Y287&lt;&gt;1,"",IF(INDEX(Comenzi!$AM:$AM,$X287)="Greutate",INDEX('PI Furnizor'!$O:$O,ROW()-3),IF(INDEX(Comenzi!$AM:$AM,$X287)="Volum (CBM)",INDEX('PI Furnizor'!$Q:$Q,ROW()-3),IF(INDEX(Comenzi!$AM:$AM,$X287)="Valoare marfa",INDEX('PI Furnizor'!$N:$N,ROW()-3),$E287))))</f>
        <v/>
      </c>
    </row>
    <row r="288" spans="1:31" x14ac:dyDescent="0.3">
      <c r="A288" s="28" t="str">
        <f>IF(COUNTA(INDEX('PI Furnizor'!$A:$E,ROW()-3,0))=0,"",IF(INDEX('PI Furnizor'!$A:$A,ROW()-3)="","?",INDEX('PI Furnizor'!$A:$A,ROW()-3)))</f>
        <v/>
      </c>
      <c r="B288" s="29" t="str">
        <f>IF(ISNUMBER($X288),INDEX(Comenzi!$B:$B,$X288),"")</f>
        <v/>
      </c>
      <c r="C288" s="28" t="str">
        <f>IF($A288="","",INDEX('PI Furnizor'!$B:$B,ROW()-3)&amp;"")</f>
        <v/>
      </c>
      <c r="D288" s="28" t="str">
        <f>IF($A288="","",INDEX('PI Furnizor'!$C:$C,ROW()-3)&amp;"")</f>
        <v/>
      </c>
      <c r="E288" s="30" t="str">
        <f>IF($A288="","",N(INDEX('PI Furnizor'!$D:$D,ROW()-3)))</f>
        <v/>
      </c>
      <c r="F288" s="31" t="str">
        <f>IF(ISNUMBER($X288),INDEX(Comenzi!$G:$G,$X288),"")</f>
        <v/>
      </c>
      <c r="G288" s="32" t="str">
        <f>IF($A288="","",N(INDEX('PI Furnizor'!$E:$E,ROW()-3)))</f>
        <v/>
      </c>
      <c r="H288" s="33" t="str">
        <f t="shared" si="52"/>
        <v/>
      </c>
      <c r="I288" s="34" t="str">
        <f>IF($Y288&lt;&gt;1,"",IFERROR($AE288/INDEX(Comenzi!$AN:$AN,$X288),0))</f>
        <v/>
      </c>
      <c r="J288" s="33" t="str">
        <f>IF($Y288&lt;&gt;1,"",INDEX(Comenzi!$AG:$AG,$X288)*$I288/$E288)</f>
        <v/>
      </c>
      <c r="K288" s="33" t="str">
        <f t="shared" si="53"/>
        <v/>
      </c>
      <c r="L288" s="33" t="str">
        <f>IF($Y288&lt;&gt;1,"",$K288*$AD288+INDEX(Comenzi!$AJ:$AJ,$X288)*$I288/$E288)</f>
        <v/>
      </c>
      <c r="M288" s="33" t="str">
        <f t="shared" si="54"/>
        <v/>
      </c>
      <c r="N288" s="33" t="str">
        <f t="shared" si="55"/>
        <v/>
      </c>
      <c r="O288" s="33" t="str">
        <f>IF($Y288&lt;&gt;1,"",(INDEX(Comenzi!$AK:$AK,$X288)+N(INDEX(Comenzi!$T:$T,$X288)))*$I288/$E288)</f>
        <v/>
      </c>
      <c r="P288" s="35" t="str">
        <f t="shared" si="56"/>
        <v/>
      </c>
      <c r="Q288" s="36" t="str">
        <f t="shared" si="57"/>
        <v/>
      </c>
      <c r="R288" s="37" t="str">
        <f t="shared" si="58"/>
        <v/>
      </c>
      <c r="S288" s="38" t="str">
        <f t="shared" si="59"/>
        <v/>
      </c>
      <c r="T288" s="39" t="str">
        <f t="shared" si="60"/>
        <v/>
      </c>
      <c r="U288" s="40" t="str">
        <f t="shared" si="61"/>
        <v/>
      </c>
      <c r="V288" s="33" t="str">
        <f t="shared" si="62"/>
        <v/>
      </c>
      <c r="W288" s="33" t="str">
        <f t="shared" si="63"/>
        <v/>
      </c>
      <c r="X288" s="41" t="str">
        <f>IF($A288="","",IFERROR(MATCH($A288,Comenzi!$A$9:$A$108,0)+8,""))</f>
        <v/>
      </c>
      <c r="Y288" s="41" t="str">
        <f t="shared" si="64"/>
        <v/>
      </c>
      <c r="Z288" s="42" t="str">
        <f>IF($A288="","",IF($A288="?","Lipseste ID-ul comenzii (col. A din PI Furnizor)",IF(NOT(ISNUMBER($X288)),"ID comanda negasit in foaia Comenzi",IF(N($E288)&lt;=0,"Lipseste cantitatea",IF(N($G288)=0,"Pret unitar lipsa",IF($Y288&lt;&gt;1,"Curs sau moneda marfa lipsa (foaia Comenzi)",IF(INDEX(Comenzi!$AT:$AT,$X288)&lt;&gt;"OK","Avertisment comanda: "&amp;INDEX(Comenzi!$AT:$AT,$X288),"OK")))))))</f>
        <v/>
      </c>
      <c r="AA288" s="43" t="str">
        <f>IF(ISNUMBER($X288),INDEX(Comenzi!$H:$H,$X288),"")</f>
        <v/>
      </c>
      <c r="AB288" s="43" t="str">
        <f>IF(ISNUMBER($X288),INDEX(Comenzi!$I:$I,$X288),"")</f>
        <v/>
      </c>
      <c r="AC288" s="44" t="str">
        <f>IF(ISNUMBER($X288),IF(INDEX(Comenzi!$V:$V,$X288)="",Comenzi!$D$3,INDEX(Comenzi!$V:$V,$X288)),"")</f>
        <v/>
      </c>
      <c r="AD288" s="44" t="str">
        <f>IF(ISNUMBER($X288),IF(INDEX(Comenzi!$U:$U,$X288)="",Comenzi!$D$4,INDEX(Comenzi!$U:$U,$X288)),"")</f>
        <v/>
      </c>
      <c r="AE288" s="45" t="str">
        <f>IF($Y288&lt;&gt;1,"",IF(INDEX(Comenzi!$AM:$AM,$X288)="Greutate",INDEX('PI Furnizor'!$O:$O,ROW()-3),IF(INDEX(Comenzi!$AM:$AM,$X288)="Volum (CBM)",INDEX('PI Furnizor'!$Q:$Q,ROW()-3),IF(INDEX(Comenzi!$AM:$AM,$X288)="Valoare marfa",INDEX('PI Furnizor'!$N:$N,ROW()-3),$E288))))</f>
        <v/>
      </c>
    </row>
    <row r="289" spans="1:31" x14ac:dyDescent="0.3">
      <c r="A289" s="28" t="str">
        <f>IF(COUNTA(INDEX('PI Furnizor'!$A:$E,ROW()-3,0))=0,"",IF(INDEX('PI Furnizor'!$A:$A,ROW()-3)="","?",INDEX('PI Furnizor'!$A:$A,ROW()-3)))</f>
        <v/>
      </c>
      <c r="B289" s="29" t="str">
        <f>IF(ISNUMBER($X289),INDEX(Comenzi!$B:$B,$X289),"")</f>
        <v/>
      </c>
      <c r="C289" s="28" t="str">
        <f>IF($A289="","",INDEX('PI Furnizor'!$B:$B,ROW()-3)&amp;"")</f>
        <v/>
      </c>
      <c r="D289" s="28" t="str">
        <f>IF($A289="","",INDEX('PI Furnizor'!$C:$C,ROW()-3)&amp;"")</f>
        <v/>
      </c>
      <c r="E289" s="30" t="str">
        <f>IF($A289="","",N(INDEX('PI Furnizor'!$D:$D,ROW()-3)))</f>
        <v/>
      </c>
      <c r="F289" s="31" t="str">
        <f>IF(ISNUMBER($X289),INDEX(Comenzi!$G:$G,$X289),"")</f>
        <v/>
      </c>
      <c r="G289" s="32" t="str">
        <f>IF($A289="","",N(INDEX('PI Furnizor'!$E:$E,ROW()-3)))</f>
        <v/>
      </c>
      <c r="H289" s="33" t="str">
        <f t="shared" si="52"/>
        <v/>
      </c>
      <c r="I289" s="34" t="str">
        <f>IF($Y289&lt;&gt;1,"",IFERROR($AE289/INDEX(Comenzi!$AN:$AN,$X289),0))</f>
        <v/>
      </c>
      <c r="J289" s="33" t="str">
        <f>IF($Y289&lt;&gt;1,"",INDEX(Comenzi!$AG:$AG,$X289)*$I289/$E289)</f>
        <v/>
      </c>
      <c r="K289" s="33" t="str">
        <f t="shared" si="53"/>
        <v/>
      </c>
      <c r="L289" s="33" t="str">
        <f>IF($Y289&lt;&gt;1,"",$K289*$AD289+INDEX(Comenzi!$AJ:$AJ,$X289)*$I289/$E289)</f>
        <v/>
      </c>
      <c r="M289" s="33" t="str">
        <f t="shared" si="54"/>
        <v/>
      </c>
      <c r="N289" s="33" t="str">
        <f t="shared" si="55"/>
        <v/>
      </c>
      <c r="O289" s="33" t="str">
        <f>IF($Y289&lt;&gt;1,"",(INDEX(Comenzi!$AK:$AK,$X289)+N(INDEX(Comenzi!$T:$T,$X289)))*$I289/$E289)</f>
        <v/>
      </c>
      <c r="P289" s="35" t="str">
        <f t="shared" si="56"/>
        <v/>
      </c>
      <c r="Q289" s="36" t="str">
        <f t="shared" si="57"/>
        <v/>
      </c>
      <c r="R289" s="37" t="str">
        <f t="shared" si="58"/>
        <v/>
      </c>
      <c r="S289" s="38" t="str">
        <f t="shared" si="59"/>
        <v/>
      </c>
      <c r="T289" s="39" t="str">
        <f t="shared" si="60"/>
        <v/>
      </c>
      <c r="U289" s="40" t="str">
        <f t="shared" si="61"/>
        <v/>
      </c>
      <c r="V289" s="33" t="str">
        <f t="shared" si="62"/>
        <v/>
      </c>
      <c r="W289" s="33" t="str">
        <f t="shared" si="63"/>
        <v/>
      </c>
      <c r="X289" s="41" t="str">
        <f>IF($A289="","",IFERROR(MATCH($A289,Comenzi!$A$9:$A$108,0)+8,""))</f>
        <v/>
      </c>
      <c r="Y289" s="41" t="str">
        <f t="shared" si="64"/>
        <v/>
      </c>
      <c r="Z289" s="42" t="str">
        <f>IF($A289="","",IF($A289="?","Lipseste ID-ul comenzii (col. A din PI Furnizor)",IF(NOT(ISNUMBER($X289)),"ID comanda negasit in foaia Comenzi",IF(N($E289)&lt;=0,"Lipseste cantitatea",IF(N($G289)=0,"Pret unitar lipsa",IF($Y289&lt;&gt;1,"Curs sau moneda marfa lipsa (foaia Comenzi)",IF(INDEX(Comenzi!$AT:$AT,$X289)&lt;&gt;"OK","Avertisment comanda: "&amp;INDEX(Comenzi!$AT:$AT,$X289),"OK")))))))</f>
        <v/>
      </c>
      <c r="AA289" s="43" t="str">
        <f>IF(ISNUMBER($X289),INDEX(Comenzi!$H:$H,$X289),"")</f>
        <v/>
      </c>
      <c r="AB289" s="43" t="str">
        <f>IF(ISNUMBER($X289),INDEX(Comenzi!$I:$I,$X289),"")</f>
        <v/>
      </c>
      <c r="AC289" s="44" t="str">
        <f>IF(ISNUMBER($X289),IF(INDEX(Comenzi!$V:$V,$X289)="",Comenzi!$D$3,INDEX(Comenzi!$V:$V,$X289)),"")</f>
        <v/>
      </c>
      <c r="AD289" s="44" t="str">
        <f>IF(ISNUMBER($X289),IF(INDEX(Comenzi!$U:$U,$X289)="",Comenzi!$D$4,INDEX(Comenzi!$U:$U,$X289)),"")</f>
        <v/>
      </c>
      <c r="AE289" s="45" t="str">
        <f>IF($Y289&lt;&gt;1,"",IF(INDEX(Comenzi!$AM:$AM,$X289)="Greutate",INDEX('PI Furnizor'!$O:$O,ROW()-3),IF(INDEX(Comenzi!$AM:$AM,$X289)="Volum (CBM)",INDEX('PI Furnizor'!$Q:$Q,ROW()-3),IF(INDEX(Comenzi!$AM:$AM,$X289)="Valoare marfa",INDEX('PI Furnizor'!$N:$N,ROW()-3),$E289))))</f>
        <v/>
      </c>
    </row>
    <row r="290" spans="1:31" x14ac:dyDescent="0.3">
      <c r="A290" s="28" t="str">
        <f>IF(COUNTA(INDEX('PI Furnizor'!$A:$E,ROW()-3,0))=0,"",IF(INDEX('PI Furnizor'!$A:$A,ROW()-3)="","?",INDEX('PI Furnizor'!$A:$A,ROW()-3)))</f>
        <v/>
      </c>
      <c r="B290" s="29" t="str">
        <f>IF(ISNUMBER($X290),INDEX(Comenzi!$B:$B,$X290),"")</f>
        <v/>
      </c>
      <c r="C290" s="28" t="str">
        <f>IF($A290="","",INDEX('PI Furnizor'!$B:$B,ROW()-3)&amp;"")</f>
        <v/>
      </c>
      <c r="D290" s="28" t="str">
        <f>IF($A290="","",INDEX('PI Furnizor'!$C:$C,ROW()-3)&amp;"")</f>
        <v/>
      </c>
      <c r="E290" s="30" t="str">
        <f>IF($A290="","",N(INDEX('PI Furnizor'!$D:$D,ROW()-3)))</f>
        <v/>
      </c>
      <c r="F290" s="31" t="str">
        <f>IF(ISNUMBER($X290),INDEX(Comenzi!$G:$G,$X290),"")</f>
        <v/>
      </c>
      <c r="G290" s="32" t="str">
        <f>IF($A290="","",N(INDEX('PI Furnizor'!$E:$E,ROW()-3)))</f>
        <v/>
      </c>
      <c r="H290" s="33" t="str">
        <f t="shared" si="52"/>
        <v/>
      </c>
      <c r="I290" s="34" t="str">
        <f>IF($Y290&lt;&gt;1,"",IFERROR($AE290/INDEX(Comenzi!$AN:$AN,$X290),0))</f>
        <v/>
      </c>
      <c r="J290" s="33" t="str">
        <f>IF($Y290&lt;&gt;1,"",INDEX(Comenzi!$AG:$AG,$X290)*$I290/$E290)</f>
        <v/>
      </c>
      <c r="K290" s="33" t="str">
        <f t="shared" si="53"/>
        <v/>
      </c>
      <c r="L290" s="33" t="str">
        <f>IF($Y290&lt;&gt;1,"",$K290*$AD290+INDEX(Comenzi!$AJ:$AJ,$X290)*$I290/$E290)</f>
        <v/>
      </c>
      <c r="M290" s="33" t="str">
        <f t="shared" si="54"/>
        <v/>
      </c>
      <c r="N290" s="33" t="str">
        <f t="shared" si="55"/>
        <v/>
      </c>
      <c r="O290" s="33" t="str">
        <f>IF($Y290&lt;&gt;1,"",(INDEX(Comenzi!$AK:$AK,$X290)+N(INDEX(Comenzi!$T:$T,$X290)))*$I290/$E290)</f>
        <v/>
      </c>
      <c r="P290" s="35" t="str">
        <f t="shared" si="56"/>
        <v/>
      </c>
      <c r="Q290" s="36" t="str">
        <f t="shared" si="57"/>
        <v/>
      </c>
      <c r="R290" s="37" t="str">
        <f t="shared" si="58"/>
        <v/>
      </c>
      <c r="S290" s="38" t="str">
        <f t="shared" si="59"/>
        <v/>
      </c>
      <c r="T290" s="39" t="str">
        <f t="shared" si="60"/>
        <v/>
      </c>
      <c r="U290" s="40" t="str">
        <f t="shared" si="61"/>
        <v/>
      </c>
      <c r="V290" s="33" t="str">
        <f t="shared" si="62"/>
        <v/>
      </c>
      <c r="W290" s="33" t="str">
        <f t="shared" si="63"/>
        <v/>
      </c>
      <c r="X290" s="41" t="str">
        <f>IF($A290="","",IFERROR(MATCH($A290,Comenzi!$A$9:$A$108,0)+8,""))</f>
        <v/>
      </c>
      <c r="Y290" s="41" t="str">
        <f t="shared" si="64"/>
        <v/>
      </c>
      <c r="Z290" s="42" t="str">
        <f>IF($A290="","",IF($A290="?","Lipseste ID-ul comenzii (col. A din PI Furnizor)",IF(NOT(ISNUMBER($X290)),"ID comanda negasit in foaia Comenzi",IF(N($E290)&lt;=0,"Lipseste cantitatea",IF(N($G290)=0,"Pret unitar lipsa",IF($Y290&lt;&gt;1,"Curs sau moneda marfa lipsa (foaia Comenzi)",IF(INDEX(Comenzi!$AT:$AT,$X290)&lt;&gt;"OK","Avertisment comanda: "&amp;INDEX(Comenzi!$AT:$AT,$X290),"OK")))))))</f>
        <v/>
      </c>
      <c r="AA290" s="43" t="str">
        <f>IF(ISNUMBER($X290),INDEX(Comenzi!$H:$H,$X290),"")</f>
        <v/>
      </c>
      <c r="AB290" s="43" t="str">
        <f>IF(ISNUMBER($X290),INDEX(Comenzi!$I:$I,$X290),"")</f>
        <v/>
      </c>
      <c r="AC290" s="44" t="str">
        <f>IF(ISNUMBER($X290),IF(INDEX(Comenzi!$V:$V,$X290)="",Comenzi!$D$3,INDEX(Comenzi!$V:$V,$X290)),"")</f>
        <v/>
      </c>
      <c r="AD290" s="44" t="str">
        <f>IF(ISNUMBER($X290),IF(INDEX(Comenzi!$U:$U,$X290)="",Comenzi!$D$4,INDEX(Comenzi!$U:$U,$X290)),"")</f>
        <v/>
      </c>
      <c r="AE290" s="45" t="str">
        <f>IF($Y290&lt;&gt;1,"",IF(INDEX(Comenzi!$AM:$AM,$X290)="Greutate",INDEX('PI Furnizor'!$O:$O,ROW()-3),IF(INDEX(Comenzi!$AM:$AM,$X290)="Volum (CBM)",INDEX('PI Furnizor'!$Q:$Q,ROW()-3),IF(INDEX(Comenzi!$AM:$AM,$X290)="Valoare marfa",INDEX('PI Furnizor'!$N:$N,ROW()-3),$E290))))</f>
        <v/>
      </c>
    </row>
    <row r="291" spans="1:31" x14ac:dyDescent="0.3">
      <c r="A291" s="28" t="str">
        <f>IF(COUNTA(INDEX('PI Furnizor'!$A:$E,ROW()-3,0))=0,"",IF(INDEX('PI Furnizor'!$A:$A,ROW()-3)="","?",INDEX('PI Furnizor'!$A:$A,ROW()-3)))</f>
        <v/>
      </c>
      <c r="B291" s="29" t="str">
        <f>IF(ISNUMBER($X291),INDEX(Comenzi!$B:$B,$X291),"")</f>
        <v/>
      </c>
      <c r="C291" s="28" t="str">
        <f>IF($A291="","",INDEX('PI Furnizor'!$B:$B,ROW()-3)&amp;"")</f>
        <v/>
      </c>
      <c r="D291" s="28" t="str">
        <f>IF($A291="","",INDEX('PI Furnizor'!$C:$C,ROW()-3)&amp;"")</f>
        <v/>
      </c>
      <c r="E291" s="30" t="str">
        <f>IF($A291="","",N(INDEX('PI Furnizor'!$D:$D,ROW()-3)))</f>
        <v/>
      </c>
      <c r="F291" s="31" t="str">
        <f>IF(ISNUMBER($X291),INDEX(Comenzi!$G:$G,$X291),"")</f>
        <v/>
      </c>
      <c r="G291" s="32" t="str">
        <f>IF($A291="","",N(INDEX('PI Furnizor'!$E:$E,ROW()-3)))</f>
        <v/>
      </c>
      <c r="H291" s="33" t="str">
        <f t="shared" si="52"/>
        <v/>
      </c>
      <c r="I291" s="34" t="str">
        <f>IF($Y291&lt;&gt;1,"",IFERROR($AE291/INDEX(Comenzi!$AN:$AN,$X291),0))</f>
        <v/>
      </c>
      <c r="J291" s="33" t="str">
        <f>IF($Y291&lt;&gt;1,"",INDEX(Comenzi!$AG:$AG,$X291)*$I291/$E291)</f>
        <v/>
      </c>
      <c r="K291" s="33" t="str">
        <f t="shared" si="53"/>
        <v/>
      </c>
      <c r="L291" s="33" t="str">
        <f>IF($Y291&lt;&gt;1,"",$K291*$AD291+INDEX(Comenzi!$AJ:$AJ,$X291)*$I291/$E291)</f>
        <v/>
      </c>
      <c r="M291" s="33" t="str">
        <f t="shared" si="54"/>
        <v/>
      </c>
      <c r="N291" s="33" t="str">
        <f t="shared" si="55"/>
        <v/>
      </c>
      <c r="O291" s="33" t="str">
        <f>IF($Y291&lt;&gt;1,"",(INDEX(Comenzi!$AK:$AK,$X291)+N(INDEX(Comenzi!$T:$T,$X291)))*$I291/$E291)</f>
        <v/>
      </c>
      <c r="P291" s="35" t="str">
        <f t="shared" si="56"/>
        <v/>
      </c>
      <c r="Q291" s="36" t="str">
        <f t="shared" si="57"/>
        <v/>
      </c>
      <c r="R291" s="37" t="str">
        <f t="shared" si="58"/>
        <v/>
      </c>
      <c r="S291" s="38" t="str">
        <f t="shared" si="59"/>
        <v/>
      </c>
      <c r="T291" s="39" t="str">
        <f t="shared" si="60"/>
        <v/>
      </c>
      <c r="U291" s="40" t="str">
        <f t="shared" si="61"/>
        <v/>
      </c>
      <c r="V291" s="33" t="str">
        <f t="shared" si="62"/>
        <v/>
      </c>
      <c r="W291" s="33" t="str">
        <f t="shared" si="63"/>
        <v/>
      </c>
      <c r="X291" s="41" t="str">
        <f>IF($A291="","",IFERROR(MATCH($A291,Comenzi!$A$9:$A$108,0)+8,""))</f>
        <v/>
      </c>
      <c r="Y291" s="41" t="str">
        <f t="shared" si="64"/>
        <v/>
      </c>
      <c r="Z291" s="42" t="str">
        <f>IF($A291="","",IF($A291="?","Lipseste ID-ul comenzii (col. A din PI Furnizor)",IF(NOT(ISNUMBER($X291)),"ID comanda negasit in foaia Comenzi",IF(N($E291)&lt;=0,"Lipseste cantitatea",IF(N($G291)=0,"Pret unitar lipsa",IF($Y291&lt;&gt;1,"Curs sau moneda marfa lipsa (foaia Comenzi)",IF(INDEX(Comenzi!$AT:$AT,$X291)&lt;&gt;"OK","Avertisment comanda: "&amp;INDEX(Comenzi!$AT:$AT,$X291),"OK")))))))</f>
        <v/>
      </c>
      <c r="AA291" s="43" t="str">
        <f>IF(ISNUMBER($X291),INDEX(Comenzi!$H:$H,$X291),"")</f>
        <v/>
      </c>
      <c r="AB291" s="43" t="str">
        <f>IF(ISNUMBER($X291),INDEX(Comenzi!$I:$I,$X291),"")</f>
        <v/>
      </c>
      <c r="AC291" s="44" t="str">
        <f>IF(ISNUMBER($X291),IF(INDEX(Comenzi!$V:$V,$X291)="",Comenzi!$D$3,INDEX(Comenzi!$V:$V,$X291)),"")</f>
        <v/>
      </c>
      <c r="AD291" s="44" t="str">
        <f>IF(ISNUMBER($X291),IF(INDEX(Comenzi!$U:$U,$X291)="",Comenzi!$D$4,INDEX(Comenzi!$U:$U,$X291)),"")</f>
        <v/>
      </c>
      <c r="AE291" s="45" t="str">
        <f>IF($Y291&lt;&gt;1,"",IF(INDEX(Comenzi!$AM:$AM,$X291)="Greutate",INDEX('PI Furnizor'!$O:$O,ROW()-3),IF(INDEX(Comenzi!$AM:$AM,$X291)="Volum (CBM)",INDEX('PI Furnizor'!$Q:$Q,ROW()-3),IF(INDEX(Comenzi!$AM:$AM,$X291)="Valoare marfa",INDEX('PI Furnizor'!$N:$N,ROW()-3),$E291))))</f>
        <v/>
      </c>
    </row>
    <row r="292" spans="1:31" x14ac:dyDescent="0.3">
      <c r="A292" s="28" t="str">
        <f>IF(COUNTA(INDEX('PI Furnizor'!$A:$E,ROW()-3,0))=0,"",IF(INDEX('PI Furnizor'!$A:$A,ROW()-3)="","?",INDEX('PI Furnizor'!$A:$A,ROW()-3)))</f>
        <v/>
      </c>
      <c r="B292" s="29" t="str">
        <f>IF(ISNUMBER($X292),INDEX(Comenzi!$B:$B,$X292),"")</f>
        <v/>
      </c>
      <c r="C292" s="28" t="str">
        <f>IF($A292="","",INDEX('PI Furnizor'!$B:$B,ROW()-3)&amp;"")</f>
        <v/>
      </c>
      <c r="D292" s="28" t="str">
        <f>IF($A292="","",INDEX('PI Furnizor'!$C:$C,ROW()-3)&amp;"")</f>
        <v/>
      </c>
      <c r="E292" s="30" t="str">
        <f>IF($A292="","",N(INDEX('PI Furnizor'!$D:$D,ROW()-3)))</f>
        <v/>
      </c>
      <c r="F292" s="31" t="str">
        <f>IF(ISNUMBER($X292),INDEX(Comenzi!$G:$G,$X292),"")</f>
        <v/>
      </c>
      <c r="G292" s="32" t="str">
        <f>IF($A292="","",N(INDEX('PI Furnizor'!$E:$E,ROW()-3)))</f>
        <v/>
      </c>
      <c r="H292" s="33" t="str">
        <f t="shared" si="52"/>
        <v/>
      </c>
      <c r="I292" s="34" t="str">
        <f>IF($Y292&lt;&gt;1,"",IFERROR($AE292/INDEX(Comenzi!$AN:$AN,$X292),0))</f>
        <v/>
      </c>
      <c r="J292" s="33" t="str">
        <f>IF($Y292&lt;&gt;1,"",INDEX(Comenzi!$AG:$AG,$X292)*$I292/$E292)</f>
        <v/>
      </c>
      <c r="K292" s="33" t="str">
        <f t="shared" si="53"/>
        <v/>
      </c>
      <c r="L292" s="33" t="str">
        <f>IF($Y292&lt;&gt;1,"",$K292*$AD292+INDEX(Comenzi!$AJ:$AJ,$X292)*$I292/$E292)</f>
        <v/>
      </c>
      <c r="M292" s="33" t="str">
        <f t="shared" si="54"/>
        <v/>
      </c>
      <c r="N292" s="33" t="str">
        <f t="shared" si="55"/>
        <v/>
      </c>
      <c r="O292" s="33" t="str">
        <f>IF($Y292&lt;&gt;1,"",(INDEX(Comenzi!$AK:$AK,$X292)+N(INDEX(Comenzi!$T:$T,$X292)))*$I292/$E292)</f>
        <v/>
      </c>
      <c r="P292" s="35" t="str">
        <f t="shared" si="56"/>
        <v/>
      </c>
      <c r="Q292" s="36" t="str">
        <f t="shared" si="57"/>
        <v/>
      </c>
      <c r="R292" s="37" t="str">
        <f t="shared" si="58"/>
        <v/>
      </c>
      <c r="S292" s="38" t="str">
        <f t="shared" si="59"/>
        <v/>
      </c>
      <c r="T292" s="39" t="str">
        <f t="shared" si="60"/>
        <v/>
      </c>
      <c r="U292" s="40" t="str">
        <f t="shared" si="61"/>
        <v/>
      </c>
      <c r="V292" s="33" t="str">
        <f t="shared" si="62"/>
        <v/>
      </c>
      <c r="W292" s="33" t="str">
        <f t="shared" si="63"/>
        <v/>
      </c>
      <c r="X292" s="41" t="str">
        <f>IF($A292="","",IFERROR(MATCH($A292,Comenzi!$A$9:$A$108,0)+8,""))</f>
        <v/>
      </c>
      <c r="Y292" s="41" t="str">
        <f t="shared" si="64"/>
        <v/>
      </c>
      <c r="Z292" s="42" t="str">
        <f>IF($A292="","",IF($A292="?","Lipseste ID-ul comenzii (col. A din PI Furnizor)",IF(NOT(ISNUMBER($X292)),"ID comanda negasit in foaia Comenzi",IF(N($E292)&lt;=0,"Lipseste cantitatea",IF(N($G292)=0,"Pret unitar lipsa",IF($Y292&lt;&gt;1,"Curs sau moneda marfa lipsa (foaia Comenzi)",IF(INDEX(Comenzi!$AT:$AT,$X292)&lt;&gt;"OK","Avertisment comanda: "&amp;INDEX(Comenzi!$AT:$AT,$X292),"OK")))))))</f>
        <v/>
      </c>
      <c r="AA292" s="43" t="str">
        <f>IF(ISNUMBER($X292),INDEX(Comenzi!$H:$H,$X292),"")</f>
        <v/>
      </c>
      <c r="AB292" s="43" t="str">
        <f>IF(ISNUMBER($X292),INDEX(Comenzi!$I:$I,$X292),"")</f>
        <v/>
      </c>
      <c r="AC292" s="44" t="str">
        <f>IF(ISNUMBER($X292),IF(INDEX(Comenzi!$V:$V,$X292)="",Comenzi!$D$3,INDEX(Comenzi!$V:$V,$X292)),"")</f>
        <v/>
      </c>
      <c r="AD292" s="44" t="str">
        <f>IF(ISNUMBER($X292),IF(INDEX(Comenzi!$U:$U,$X292)="",Comenzi!$D$4,INDEX(Comenzi!$U:$U,$X292)),"")</f>
        <v/>
      </c>
      <c r="AE292" s="45" t="str">
        <f>IF($Y292&lt;&gt;1,"",IF(INDEX(Comenzi!$AM:$AM,$X292)="Greutate",INDEX('PI Furnizor'!$O:$O,ROW()-3),IF(INDEX(Comenzi!$AM:$AM,$X292)="Volum (CBM)",INDEX('PI Furnizor'!$Q:$Q,ROW()-3),IF(INDEX(Comenzi!$AM:$AM,$X292)="Valoare marfa",INDEX('PI Furnizor'!$N:$N,ROW()-3),$E292))))</f>
        <v/>
      </c>
    </row>
    <row r="293" spans="1:31" x14ac:dyDescent="0.3">
      <c r="A293" s="28" t="str">
        <f>IF(COUNTA(INDEX('PI Furnizor'!$A:$E,ROW()-3,0))=0,"",IF(INDEX('PI Furnizor'!$A:$A,ROW()-3)="","?",INDEX('PI Furnizor'!$A:$A,ROW()-3)))</f>
        <v/>
      </c>
      <c r="B293" s="29" t="str">
        <f>IF(ISNUMBER($X293),INDEX(Comenzi!$B:$B,$X293),"")</f>
        <v/>
      </c>
      <c r="C293" s="28" t="str">
        <f>IF($A293="","",INDEX('PI Furnizor'!$B:$B,ROW()-3)&amp;"")</f>
        <v/>
      </c>
      <c r="D293" s="28" t="str">
        <f>IF($A293="","",INDEX('PI Furnizor'!$C:$C,ROW()-3)&amp;"")</f>
        <v/>
      </c>
      <c r="E293" s="30" t="str">
        <f>IF($A293="","",N(INDEX('PI Furnizor'!$D:$D,ROW()-3)))</f>
        <v/>
      </c>
      <c r="F293" s="31" t="str">
        <f>IF(ISNUMBER($X293),INDEX(Comenzi!$G:$G,$X293),"")</f>
        <v/>
      </c>
      <c r="G293" s="32" t="str">
        <f>IF($A293="","",N(INDEX('PI Furnizor'!$E:$E,ROW()-3)))</f>
        <v/>
      </c>
      <c r="H293" s="33" t="str">
        <f t="shared" si="52"/>
        <v/>
      </c>
      <c r="I293" s="34" t="str">
        <f>IF($Y293&lt;&gt;1,"",IFERROR($AE293/INDEX(Comenzi!$AN:$AN,$X293),0))</f>
        <v/>
      </c>
      <c r="J293" s="33" t="str">
        <f>IF($Y293&lt;&gt;1,"",INDEX(Comenzi!$AG:$AG,$X293)*$I293/$E293)</f>
        <v/>
      </c>
      <c r="K293" s="33" t="str">
        <f t="shared" si="53"/>
        <v/>
      </c>
      <c r="L293" s="33" t="str">
        <f>IF($Y293&lt;&gt;1,"",$K293*$AD293+INDEX(Comenzi!$AJ:$AJ,$X293)*$I293/$E293)</f>
        <v/>
      </c>
      <c r="M293" s="33" t="str">
        <f t="shared" si="54"/>
        <v/>
      </c>
      <c r="N293" s="33" t="str">
        <f t="shared" si="55"/>
        <v/>
      </c>
      <c r="O293" s="33" t="str">
        <f>IF($Y293&lt;&gt;1,"",(INDEX(Comenzi!$AK:$AK,$X293)+N(INDEX(Comenzi!$T:$T,$X293)))*$I293/$E293)</f>
        <v/>
      </c>
      <c r="P293" s="35" t="str">
        <f t="shared" si="56"/>
        <v/>
      </c>
      <c r="Q293" s="36" t="str">
        <f t="shared" si="57"/>
        <v/>
      </c>
      <c r="R293" s="37" t="str">
        <f t="shared" si="58"/>
        <v/>
      </c>
      <c r="S293" s="38" t="str">
        <f t="shared" si="59"/>
        <v/>
      </c>
      <c r="T293" s="39" t="str">
        <f t="shared" si="60"/>
        <v/>
      </c>
      <c r="U293" s="40" t="str">
        <f t="shared" si="61"/>
        <v/>
      </c>
      <c r="V293" s="33" t="str">
        <f t="shared" si="62"/>
        <v/>
      </c>
      <c r="W293" s="33" t="str">
        <f t="shared" si="63"/>
        <v/>
      </c>
      <c r="X293" s="41" t="str">
        <f>IF($A293="","",IFERROR(MATCH($A293,Comenzi!$A$9:$A$108,0)+8,""))</f>
        <v/>
      </c>
      <c r="Y293" s="41" t="str">
        <f t="shared" si="64"/>
        <v/>
      </c>
      <c r="Z293" s="42" t="str">
        <f>IF($A293="","",IF($A293="?","Lipseste ID-ul comenzii (col. A din PI Furnizor)",IF(NOT(ISNUMBER($X293)),"ID comanda negasit in foaia Comenzi",IF(N($E293)&lt;=0,"Lipseste cantitatea",IF(N($G293)=0,"Pret unitar lipsa",IF($Y293&lt;&gt;1,"Curs sau moneda marfa lipsa (foaia Comenzi)",IF(INDEX(Comenzi!$AT:$AT,$X293)&lt;&gt;"OK","Avertisment comanda: "&amp;INDEX(Comenzi!$AT:$AT,$X293),"OK")))))))</f>
        <v/>
      </c>
      <c r="AA293" s="43" t="str">
        <f>IF(ISNUMBER($X293),INDEX(Comenzi!$H:$H,$X293),"")</f>
        <v/>
      </c>
      <c r="AB293" s="43" t="str">
        <f>IF(ISNUMBER($X293),INDEX(Comenzi!$I:$I,$X293),"")</f>
        <v/>
      </c>
      <c r="AC293" s="44" t="str">
        <f>IF(ISNUMBER($X293),IF(INDEX(Comenzi!$V:$V,$X293)="",Comenzi!$D$3,INDEX(Comenzi!$V:$V,$X293)),"")</f>
        <v/>
      </c>
      <c r="AD293" s="44" t="str">
        <f>IF(ISNUMBER($X293),IF(INDEX(Comenzi!$U:$U,$X293)="",Comenzi!$D$4,INDEX(Comenzi!$U:$U,$X293)),"")</f>
        <v/>
      </c>
      <c r="AE293" s="45" t="str">
        <f>IF($Y293&lt;&gt;1,"",IF(INDEX(Comenzi!$AM:$AM,$X293)="Greutate",INDEX('PI Furnizor'!$O:$O,ROW()-3),IF(INDEX(Comenzi!$AM:$AM,$X293)="Volum (CBM)",INDEX('PI Furnizor'!$Q:$Q,ROW()-3),IF(INDEX(Comenzi!$AM:$AM,$X293)="Valoare marfa",INDEX('PI Furnizor'!$N:$N,ROW()-3),$E293))))</f>
        <v/>
      </c>
    </row>
    <row r="294" spans="1:31" x14ac:dyDescent="0.3">
      <c r="A294" s="28" t="str">
        <f>IF(COUNTA(INDEX('PI Furnizor'!$A:$E,ROW()-3,0))=0,"",IF(INDEX('PI Furnizor'!$A:$A,ROW()-3)="","?",INDEX('PI Furnizor'!$A:$A,ROW()-3)))</f>
        <v/>
      </c>
      <c r="B294" s="29" t="str">
        <f>IF(ISNUMBER($X294),INDEX(Comenzi!$B:$B,$X294),"")</f>
        <v/>
      </c>
      <c r="C294" s="28" t="str">
        <f>IF($A294="","",INDEX('PI Furnizor'!$B:$B,ROW()-3)&amp;"")</f>
        <v/>
      </c>
      <c r="D294" s="28" t="str">
        <f>IF($A294="","",INDEX('PI Furnizor'!$C:$C,ROW()-3)&amp;"")</f>
        <v/>
      </c>
      <c r="E294" s="30" t="str">
        <f>IF($A294="","",N(INDEX('PI Furnizor'!$D:$D,ROW()-3)))</f>
        <v/>
      </c>
      <c r="F294" s="31" t="str">
        <f>IF(ISNUMBER($X294),INDEX(Comenzi!$G:$G,$X294),"")</f>
        <v/>
      </c>
      <c r="G294" s="32" t="str">
        <f>IF($A294="","",N(INDEX('PI Furnizor'!$E:$E,ROW()-3)))</f>
        <v/>
      </c>
      <c r="H294" s="33" t="str">
        <f t="shared" si="52"/>
        <v/>
      </c>
      <c r="I294" s="34" t="str">
        <f>IF($Y294&lt;&gt;1,"",IFERROR($AE294/INDEX(Comenzi!$AN:$AN,$X294),0))</f>
        <v/>
      </c>
      <c r="J294" s="33" t="str">
        <f>IF($Y294&lt;&gt;1,"",INDEX(Comenzi!$AG:$AG,$X294)*$I294/$E294)</f>
        <v/>
      </c>
      <c r="K294" s="33" t="str">
        <f t="shared" si="53"/>
        <v/>
      </c>
      <c r="L294" s="33" t="str">
        <f>IF($Y294&lt;&gt;1,"",$K294*$AD294+INDEX(Comenzi!$AJ:$AJ,$X294)*$I294/$E294)</f>
        <v/>
      </c>
      <c r="M294" s="33" t="str">
        <f t="shared" si="54"/>
        <v/>
      </c>
      <c r="N294" s="33" t="str">
        <f t="shared" si="55"/>
        <v/>
      </c>
      <c r="O294" s="33" t="str">
        <f>IF($Y294&lt;&gt;1,"",(INDEX(Comenzi!$AK:$AK,$X294)+N(INDEX(Comenzi!$T:$T,$X294)))*$I294/$E294)</f>
        <v/>
      </c>
      <c r="P294" s="35" t="str">
        <f t="shared" si="56"/>
        <v/>
      </c>
      <c r="Q294" s="36" t="str">
        <f t="shared" si="57"/>
        <v/>
      </c>
      <c r="R294" s="37" t="str">
        <f t="shared" si="58"/>
        <v/>
      </c>
      <c r="S294" s="38" t="str">
        <f t="shared" si="59"/>
        <v/>
      </c>
      <c r="T294" s="39" t="str">
        <f t="shared" si="60"/>
        <v/>
      </c>
      <c r="U294" s="40" t="str">
        <f t="shared" si="61"/>
        <v/>
      </c>
      <c r="V294" s="33" t="str">
        <f t="shared" si="62"/>
        <v/>
      </c>
      <c r="W294" s="33" t="str">
        <f t="shared" si="63"/>
        <v/>
      </c>
      <c r="X294" s="41" t="str">
        <f>IF($A294="","",IFERROR(MATCH($A294,Comenzi!$A$9:$A$108,0)+8,""))</f>
        <v/>
      </c>
      <c r="Y294" s="41" t="str">
        <f t="shared" si="64"/>
        <v/>
      </c>
      <c r="Z294" s="42" t="str">
        <f>IF($A294="","",IF($A294="?","Lipseste ID-ul comenzii (col. A din PI Furnizor)",IF(NOT(ISNUMBER($X294)),"ID comanda negasit in foaia Comenzi",IF(N($E294)&lt;=0,"Lipseste cantitatea",IF(N($G294)=0,"Pret unitar lipsa",IF($Y294&lt;&gt;1,"Curs sau moneda marfa lipsa (foaia Comenzi)",IF(INDEX(Comenzi!$AT:$AT,$X294)&lt;&gt;"OK","Avertisment comanda: "&amp;INDEX(Comenzi!$AT:$AT,$X294),"OK")))))))</f>
        <v/>
      </c>
      <c r="AA294" s="43" t="str">
        <f>IF(ISNUMBER($X294),INDEX(Comenzi!$H:$H,$X294),"")</f>
        <v/>
      </c>
      <c r="AB294" s="43" t="str">
        <f>IF(ISNUMBER($X294),INDEX(Comenzi!$I:$I,$X294),"")</f>
        <v/>
      </c>
      <c r="AC294" s="44" t="str">
        <f>IF(ISNUMBER($X294),IF(INDEX(Comenzi!$V:$V,$X294)="",Comenzi!$D$3,INDEX(Comenzi!$V:$V,$X294)),"")</f>
        <v/>
      </c>
      <c r="AD294" s="44" t="str">
        <f>IF(ISNUMBER($X294),IF(INDEX(Comenzi!$U:$U,$X294)="",Comenzi!$D$4,INDEX(Comenzi!$U:$U,$X294)),"")</f>
        <v/>
      </c>
      <c r="AE294" s="45" t="str">
        <f>IF($Y294&lt;&gt;1,"",IF(INDEX(Comenzi!$AM:$AM,$X294)="Greutate",INDEX('PI Furnizor'!$O:$O,ROW()-3),IF(INDEX(Comenzi!$AM:$AM,$X294)="Volum (CBM)",INDEX('PI Furnizor'!$Q:$Q,ROW()-3),IF(INDEX(Comenzi!$AM:$AM,$X294)="Valoare marfa",INDEX('PI Furnizor'!$N:$N,ROW()-3),$E294))))</f>
        <v/>
      </c>
    </row>
    <row r="295" spans="1:31" x14ac:dyDescent="0.3">
      <c r="A295" s="28" t="str">
        <f>IF(COUNTA(INDEX('PI Furnizor'!$A:$E,ROW()-3,0))=0,"",IF(INDEX('PI Furnizor'!$A:$A,ROW()-3)="","?",INDEX('PI Furnizor'!$A:$A,ROW()-3)))</f>
        <v/>
      </c>
      <c r="B295" s="29" t="str">
        <f>IF(ISNUMBER($X295),INDEX(Comenzi!$B:$B,$X295),"")</f>
        <v/>
      </c>
      <c r="C295" s="28" t="str">
        <f>IF($A295="","",INDEX('PI Furnizor'!$B:$B,ROW()-3)&amp;"")</f>
        <v/>
      </c>
      <c r="D295" s="28" t="str">
        <f>IF($A295="","",INDEX('PI Furnizor'!$C:$C,ROW()-3)&amp;"")</f>
        <v/>
      </c>
      <c r="E295" s="30" t="str">
        <f>IF($A295="","",N(INDEX('PI Furnizor'!$D:$D,ROW()-3)))</f>
        <v/>
      </c>
      <c r="F295" s="31" t="str">
        <f>IF(ISNUMBER($X295),INDEX(Comenzi!$G:$G,$X295),"")</f>
        <v/>
      </c>
      <c r="G295" s="32" t="str">
        <f>IF($A295="","",N(INDEX('PI Furnizor'!$E:$E,ROW()-3)))</f>
        <v/>
      </c>
      <c r="H295" s="33" t="str">
        <f t="shared" si="52"/>
        <v/>
      </c>
      <c r="I295" s="34" t="str">
        <f>IF($Y295&lt;&gt;1,"",IFERROR($AE295/INDEX(Comenzi!$AN:$AN,$X295),0))</f>
        <v/>
      </c>
      <c r="J295" s="33" t="str">
        <f>IF($Y295&lt;&gt;1,"",INDEX(Comenzi!$AG:$AG,$X295)*$I295/$E295)</f>
        <v/>
      </c>
      <c r="K295" s="33" t="str">
        <f t="shared" si="53"/>
        <v/>
      </c>
      <c r="L295" s="33" t="str">
        <f>IF($Y295&lt;&gt;1,"",$K295*$AD295+INDEX(Comenzi!$AJ:$AJ,$X295)*$I295/$E295)</f>
        <v/>
      </c>
      <c r="M295" s="33" t="str">
        <f t="shared" si="54"/>
        <v/>
      </c>
      <c r="N295" s="33" t="str">
        <f t="shared" si="55"/>
        <v/>
      </c>
      <c r="O295" s="33" t="str">
        <f>IF($Y295&lt;&gt;1,"",(INDEX(Comenzi!$AK:$AK,$X295)+N(INDEX(Comenzi!$T:$T,$X295)))*$I295/$E295)</f>
        <v/>
      </c>
      <c r="P295" s="35" t="str">
        <f t="shared" si="56"/>
        <v/>
      </c>
      <c r="Q295" s="36" t="str">
        <f t="shared" si="57"/>
        <v/>
      </c>
      <c r="R295" s="37" t="str">
        <f t="shared" si="58"/>
        <v/>
      </c>
      <c r="S295" s="38" t="str">
        <f t="shared" si="59"/>
        <v/>
      </c>
      <c r="T295" s="39" t="str">
        <f t="shared" si="60"/>
        <v/>
      </c>
      <c r="U295" s="40" t="str">
        <f t="shared" si="61"/>
        <v/>
      </c>
      <c r="V295" s="33" t="str">
        <f t="shared" si="62"/>
        <v/>
      </c>
      <c r="W295" s="33" t="str">
        <f t="shared" si="63"/>
        <v/>
      </c>
      <c r="X295" s="41" t="str">
        <f>IF($A295="","",IFERROR(MATCH($A295,Comenzi!$A$9:$A$108,0)+8,""))</f>
        <v/>
      </c>
      <c r="Y295" s="41" t="str">
        <f t="shared" si="64"/>
        <v/>
      </c>
      <c r="Z295" s="42" t="str">
        <f>IF($A295="","",IF($A295="?","Lipseste ID-ul comenzii (col. A din PI Furnizor)",IF(NOT(ISNUMBER($X295)),"ID comanda negasit in foaia Comenzi",IF(N($E295)&lt;=0,"Lipseste cantitatea",IF(N($G295)=0,"Pret unitar lipsa",IF($Y295&lt;&gt;1,"Curs sau moneda marfa lipsa (foaia Comenzi)",IF(INDEX(Comenzi!$AT:$AT,$X295)&lt;&gt;"OK","Avertisment comanda: "&amp;INDEX(Comenzi!$AT:$AT,$X295),"OK")))))))</f>
        <v/>
      </c>
      <c r="AA295" s="43" t="str">
        <f>IF(ISNUMBER($X295),INDEX(Comenzi!$H:$H,$X295),"")</f>
        <v/>
      </c>
      <c r="AB295" s="43" t="str">
        <f>IF(ISNUMBER($X295),INDEX(Comenzi!$I:$I,$X295),"")</f>
        <v/>
      </c>
      <c r="AC295" s="44" t="str">
        <f>IF(ISNUMBER($X295),IF(INDEX(Comenzi!$V:$V,$X295)="",Comenzi!$D$3,INDEX(Comenzi!$V:$V,$X295)),"")</f>
        <v/>
      </c>
      <c r="AD295" s="44" t="str">
        <f>IF(ISNUMBER($X295),IF(INDEX(Comenzi!$U:$U,$X295)="",Comenzi!$D$4,INDEX(Comenzi!$U:$U,$X295)),"")</f>
        <v/>
      </c>
      <c r="AE295" s="45" t="str">
        <f>IF($Y295&lt;&gt;1,"",IF(INDEX(Comenzi!$AM:$AM,$X295)="Greutate",INDEX('PI Furnizor'!$O:$O,ROW()-3),IF(INDEX(Comenzi!$AM:$AM,$X295)="Volum (CBM)",INDEX('PI Furnizor'!$Q:$Q,ROW()-3),IF(INDEX(Comenzi!$AM:$AM,$X295)="Valoare marfa",INDEX('PI Furnizor'!$N:$N,ROW()-3),$E295))))</f>
        <v/>
      </c>
    </row>
    <row r="296" spans="1:31" x14ac:dyDescent="0.3">
      <c r="A296" s="28" t="str">
        <f>IF(COUNTA(INDEX('PI Furnizor'!$A:$E,ROW()-3,0))=0,"",IF(INDEX('PI Furnizor'!$A:$A,ROW()-3)="","?",INDEX('PI Furnizor'!$A:$A,ROW()-3)))</f>
        <v/>
      </c>
      <c r="B296" s="29" t="str">
        <f>IF(ISNUMBER($X296),INDEX(Comenzi!$B:$B,$X296),"")</f>
        <v/>
      </c>
      <c r="C296" s="28" t="str">
        <f>IF($A296="","",INDEX('PI Furnizor'!$B:$B,ROW()-3)&amp;"")</f>
        <v/>
      </c>
      <c r="D296" s="28" t="str">
        <f>IF($A296="","",INDEX('PI Furnizor'!$C:$C,ROW()-3)&amp;"")</f>
        <v/>
      </c>
      <c r="E296" s="30" t="str">
        <f>IF($A296="","",N(INDEX('PI Furnizor'!$D:$D,ROW()-3)))</f>
        <v/>
      </c>
      <c r="F296" s="31" t="str">
        <f>IF(ISNUMBER($X296),INDEX(Comenzi!$G:$G,$X296),"")</f>
        <v/>
      </c>
      <c r="G296" s="32" t="str">
        <f>IF($A296="","",N(INDEX('PI Furnizor'!$E:$E,ROW()-3)))</f>
        <v/>
      </c>
      <c r="H296" s="33" t="str">
        <f t="shared" si="52"/>
        <v/>
      </c>
      <c r="I296" s="34" t="str">
        <f>IF($Y296&lt;&gt;1,"",IFERROR($AE296/INDEX(Comenzi!$AN:$AN,$X296),0))</f>
        <v/>
      </c>
      <c r="J296" s="33" t="str">
        <f>IF($Y296&lt;&gt;1,"",INDEX(Comenzi!$AG:$AG,$X296)*$I296/$E296)</f>
        <v/>
      </c>
      <c r="K296" s="33" t="str">
        <f t="shared" si="53"/>
        <v/>
      </c>
      <c r="L296" s="33" t="str">
        <f>IF($Y296&lt;&gt;1,"",$K296*$AD296+INDEX(Comenzi!$AJ:$AJ,$X296)*$I296/$E296)</f>
        <v/>
      </c>
      <c r="M296" s="33" t="str">
        <f t="shared" si="54"/>
        <v/>
      </c>
      <c r="N296" s="33" t="str">
        <f t="shared" si="55"/>
        <v/>
      </c>
      <c r="O296" s="33" t="str">
        <f>IF($Y296&lt;&gt;1,"",(INDEX(Comenzi!$AK:$AK,$X296)+N(INDEX(Comenzi!$T:$T,$X296)))*$I296/$E296)</f>
        <v/>
      </c>
      <c r="P296" s="35" t="str">
        <f t="shared" si="56"/>
        <v/>
      </c>
      <c r="Q296" s="36" t="str">
        <f t="shared" si="57"/>
        <v/>
      </c>
      <c r="R296" s="37" t="str">
        <f t="shared" si="58"/>
        <v/>
      </c>
      <c r="S296" s="38" t="str">
        <f t="shared" si="59"/>
        <v/>
      </c>
      <c r="T296" s="39" t="str">
        <f t="shared" si="60"/>
        <v/>
      </c>
      <c r="U296" s="40" t="str">
        <f t="shared" si="61"/>
        <v/>
      </c>
      <c r="V296" s="33" t="str">
        <f t="shared" si="62"/>
        <v/>
      </c>
      <c r="W296" s="33" t="str">
        <f t="shared" si="63"/>
        <v/>
      </c>
      <c r="X296" s="41" t="str">
        <f>IF($A296="","",IFERROR(MATCH($A296,Comenzi!$A$9:$A$108,0)+8,""))</f>
        <v/>
      </c>
      <c r="Y296" s="41" t="str">
        <f t="shared" si="64"/>
        <v/>
      </c>
      <c r="Z296" s="42" t="str">
        <f>IF($A296="","",IF($A296="?","Lipseste ID-ul comenzii (col. A din PI Furnizor)",IF(NOT(ISNUMBER($X296)),"ID comanda negasit in foaia Comenzi",IF(N($E296)&lt;=0,"Lipseste cantitatea",IF(N($G296)=0,"Pret unitar lipsa",IF($Y296&lt;&gt;1,"Curs sau moneda marfa lipsa (foaia Comenzi)",IF(INDEX(Comenzi!$AT:$AT,$X296)&lt;&gt;"OK","Avertisment comanda: "&amp;INDEX(Comenzi!$AT:$AT,$X296),"OK")))))))</f>
        <v/>
      </c>
      <c r="AA296" s="43" t="str">
        <f>IF(ISNUMBER($X296),INDEX(Comenzi!$H:$H,$X296),"")</f>
        <v/>
      </c>
      <c r="AB296" s="43" t="str">
        <f>IF(ISNUMBER($X296),INDEX(Comenzi!$I:$I,$X296),"")</f>
        <v/>
      </c>
      <c r="AC296" s="44" t="str">
        <f>IF(ISNUMBER($X296),IF(INDEX(Comenzi!$V:$V,$X296)="",Comenzi!$D$3,INDEX(Comenzi!$V:$V,$X296)),"")</f>
        <v/>
      </c>
      <c r="AD296" s="44" t="str">
        <f>IF(ISNUMBER($X296),IF(INDEX(Comenzi!$U:$U,$X296)="",Comenzi!$D$4,INDEX(Comenzi!$U:$U,$X296)),"")</f>
        <v/>
      </c>
      <c r="AE296" s="45" t="str">
        <f>IF($Y296&lt;&gt;1,"",IF(INDEX(Comenzi!$AM:$AM,$X296)="Greutate",INDEX('PI Furnizor'!$O:$O,ROW()-3),IF(INDEX(Comenzi!$AM:$AM,$X296)="Volum (CBM)",INDEX('PI Furnizor'!$Q:$Q,ROW()-3),IF(INDEX(Comenzi!$AM:$AM,$X296)="Valoare marfa",INDEX('PI Furnizor'!$N:$N,ROW()-3),$E296))))</f>
        <v/>
      </c>
    </row>
    <row r="297" spans="1:31" x14ac:dyDescent="0.3">
      <c r="A297" s="28" t="str">
        <f>IF(COUNTA(INDEX('PI Furnizor'!$A:$E,ROW()-3,0))=0,"",IF(INDEX('PI Furnizor'!$A:$A,ROW()-3)="","?",INDEX('PI Furnizor'!$A:$A,ROW()-3)))</f>
        <v/>
      </c>
      <c r="B297" s="29" t="str">
        <f>IF(ISNUMBER($X297),INDEX(Comenzi!$B:$B,$X297),"")</f>
        <v/>
      </c>
      <c r="C297" s="28" t="str">
        <f>IF($A297="","",INDEX('PI Furnizor'!$B:$B,ROW()-3)&amp;"")</f>
        <v/>
      </c>
      <c r="D297" s="28" t="str">
        <f>IF($A297="","",INDEX('PI Furnizor'!$C:$C,ROW()-3)&amp;"")</f>
        <v/>
      </c>
      <c r="E297" s="30" t="str">
        <f>IF($A297="","",N(INDEX('PI Furnizor'!$D:$D,ROW()-3)))</f>
        <v/>
      </c>
      <c r="F297" s="31" t="str">
        <f>IF(ISNUMBER($X297),INDEX(Comenzi!$G:$G,$X297),"")</f>
        <v/>
      </c>
      <c r="G297" s="32" t="str">
        <f>IF($A297="","",N(INDEX('PI Furnizor'!$E:$E,ROW()-3)))</f>
        <v/>
      </c>
      <c r="H297" s="33" t="str">
        <f t="shared" si="52"/>
        <v/>
      </c>
      <c r="I297" s="34" t="str">
        <f>IF($Y297&lt;&gt;1,"",IFERROR($AE297/INDEX(Comenzi!$AN:$AN,$X297),0))</f>
        <v/>
      </c>
      <c r="J297" s="33" t="str">
        <f>IF($Y297&lt;&gt;1,"",INDEX(Comenzi!$AG:$AG,$X297)*$I297/$E297)</f>
        <v/>
      </c>
      <c r="K297" s="33" t="str">
        <f t="shared" si="53"/>
        <v/>
      </c>
      <c r="L297" s="33" t="str">
        <f>IF($Y297&lt;&gt;1,"",$K297*$AD297+INDEX(Comenzi!$AJ:$AJ,$X297)*$I297/$E297)</f>
        <v/>
      </c>
      <c r="M297" s="33" t="str">
        <f t="shared" si="54"/>
        <v/>
      </c>
      <c r="N297" s="33" t="str">
        <f t="shared" si="55"/>
        <v/>
      </c>
      <c r="O297" s="33" t="str">
        <f>IF($Y297&lt;&gt;1,"",(INDEX(Comenzi!$AK:$AK,$X297)+N(INDEX(Comenzi!$T:$T,$X297)))*$I297/$E297)</f>
        <v/>
      </c>
      <c r="P297" s="35" t="str">
        <f t="shared" si="56"/>
        <v/>
      </c>
      <c r="Q297" s="36" t="str">
        <f t="shared" si="57"/>
        <v/>
      </c>
      <c r="R297" s="37" t="str">
        <f t="shared" si="58"/>
        <v/>
      </c>
      <c r="S297" s="38" t="str">
        <f t="shared" si="59"/>
        <v/>
      </c>
      <c r="T297" s="39" t="str">
        <f t="shared" si="60"/>
        <v/>
      </c>
      <c r="U297" s="40" t="str">
        <f t="shared" si="61"/>
        <v/>
      </c>
      <c r="V297" s="33" t="str">
        <f t="shared" si="62"/>
        <v/>
      </c>
      <c r="W297" s="33" t="str">
        <f t="shared" si="63"/>
        <v/>
      </c>
      <c r="X297" s="41" t="str">
        <f>IF($A297="","",IFERROR(MATCH($A297,Comenzi!$A$9:$A$108,0)+8,""))</f>
        <v/>
      </c>
      <c r="Y297" s="41" t="str">
        <f t="shared" si="64"/>
        <v/>
      </c>
      <c r="Z297" s="42" t="str">
        <f>IF($A297="","",IF($A297="?","Lipseste ID-ul comenzii (col. A din PI Furnizor)",IF(NOT(ISNUMBER($X297)),"ID comanda negasit in foaia Comenzi",IF(N($E297)&lt;=0,"Lipseste cantitatea",IF(N($G297)=0,"Pret unitar lipsa",IF($Y297&lt;&gt;1,"Curs sau moneda marfa lipsa (foaia Comenzi)",IF(INDEX(Comenzi!$AT:$AT,$X297)&lt;&gt;"OK","Avertisment comanda: "&amp;INDEX(Comenzi!$AT:$AT,$X297),"OK")))))))</f>
        <v/>
      </c>
      <c r="AA297" s="43" t="str">
        <f>IF(ISNUMBER($X297),INDEX(Comenzi!$H:$H,$X297),"")</f>
        <v/>
      </c>
      <c r="AB297" s="43" t="str">
        <f>IF(ISNUMBER($X297),INDEX(Comenzi!$I:$I,$X297),"")</f>
        <v/>
      </c>
      <c r="AC297" s="44" t="str">
        <f>IF(ISNUMBER($X297),IF(INDEX(Comenzi!$V:$V,$X297)="",Comenzi!$D$3,INDEX(Comenzi!$V:$V,$X297)),"")</f>
        <v/>
      </c>
      <c r="AD297" s="44" t="str">
        <f>IF(ISNUMBER($X297),IF(INDEX(Comenzi!$U:$U,$X297)="",Comenzi!$D$4,INDEX(Comenzi!$U:$U,$X297)),"")</f>
        <v/>
      </c>
      <c r="AE297" s="45" t="str">
        <f>IF($Y297&lt;&gt;1,"",IF(INDEX(Comenzi!$AM:$AM,$X297)="Greutate",INDEX('PI Furnizor'!$O:$O,ROW()-3),IF(INDEX(Comenzi!$AM:$AM,$X297)="Volum (CBM)",INDEX('PI Furnizor'!$Q:$Q,ROW()-3),IF(INDEX(Comenzi!$AM:$AM,$X297)="Valoare marfa",INDEX('PI Furnizor'!$N:$N,ROW()-3),$E297))))</f>
        <v/>
      </c>
    </row>
    <row r="298" spans="1:31" x14ac:dyDescent="0.3">
      <c r="A298" s="28" t="str">
        <f>IF(COUNTA(INDEX('PI Furnizor'!$A:$E,ROW()-3,0))=0,"",IF(INDEX('PI Furnizor'!$A:$A,ROW()-3)="","?",INDEX('PI Furnizor'!$A:$A,ROW()-3)))</f>
        <v/>
      </c>
      <c r="B298" s="29" t="str">
        <f>IF(ISNUMBER($X298),INDEX(Comenzi!$B:$B,$X298),"")</f>
        <v/>
      </c>
      <c r="C298" s="28" t="str">
        <f>IF($A298="","",INDEX('PI Furnizor'!$B:$B,ROW()-3)&amp;"")</f>
        <v/>
      </c>
      <c r="D298" s="28" t="str">
        <f>IF($A298="","",INDEX('PI Furnizor'!$C:$C,ROW()-3)&amp;"")</f>
        <v/>
      </c>
      <c r="E298" s="30" t="str">
        <f>IF($A298="","",N(INDEX('PI Furnizor'!$D:$D,ROW()-3)))</f>
        <v/>
      </c>
      <c r="F298" s="31" t="str">
        <f>IF(ISNUMBER($X298),INDEX(Comenzi!$G:$G,$X298),"")</f>
        <v/>
      </c>
      <c r="G298" s="32" t="str">
        <f>IF($A298="","",N(INDEX('PI Furnizor'!$E:$E,ROW()-3)))</f>
        <v/>
      </c>
      <c r="H298" s="33" t="str">
        <f t="shared" si="52"/>
        <v/>
      </c>
      <c r="I298" s="34" t="str">
        <f>IF($Y298&lt;&gt;1,"",IFERROR($AE298/INDEX(Comenzi!$AN:$AN,$X298),0))</f>
        <v/>
      </c>
      <c r="J298" s="33" t="str">
        <f>IF($Y298&lt;&gt;1,"",INDEX(Comenzi!$AG:$AG,$X298)*$I298/$E298)</f>
        <v/>
      </c>
      <c r="K298" s="33" t="str">
        <f t="shared" si="53"/>
        <v/>
      </c>
      <c r="L298" s="33" t="str">
        <f>IF($Y298&lt;&gt;1,"",$K298*$AD298+INDEX(Comenzi!$AJ:$AJ,$X298)*$I298/$E298)</f>
        <v/>
      </c>
      <c r="M298" s="33" t="str">
        <f t="shared" si="54"/>
        <v/>
      </c>
      <c r="N298" s="33" t="str">
        <f t="shared" si="55"/>
        <v/>
      </c>
      <c r="O298" s="33" t="str">
        <f>IF($Y298&lt;&gt;1,"",(INDEX(Comenzi!$AK:$AK,$X298)+N(INDEX(Comenzi!$T:$T,$X298)))*$I298/$E298)</f>
        <v/>
      </c>
      <c r="P298" s="35" t="str">
        <f t="shared" si="56"/>
        <v/>
      </c>
      <c r="Q298" s="36" t="str">
        <f t="shared" si="57"/>
        <v/>
      </c>
      <c r="R298" s="37" t="str">
        <f t="shared" si="58"/>
        <v/>
      </c>
      <c r="S298" s="38" t="str">
        <f t="shared" si="59"/>
        <v/>
      </c>
      <c r="T298" s="39" t="str">
        <f t="shared" si="60"/>
        <v/>
      </c>
      <c r="U298" s="40" t="str">
        <f t="shared" si="61"/>
        <v/>
      </c>
      <c r="V298" s="33" t="str">
        <f t="shared" si="62"/>
        <v/>
      </c>
      <c r="W298" s="33" t="str">
        <f t="shared" si="63"/>
        <v/>
      </c>
      <c r="X298" s="41" t="str">
        <f>IF($A298="","",IFERROR(MATCH($A298,Comenzi!$A$9:$A$108,0)+8,""))</f>
        <v/>
      </c>
      <c r="Y298" s="41" t="str">
        <f t="shared" si="64"/>
        <v/>
      </c>
      <c r="Z298" s="42" t="str">
        <f>IF($A298="","",IF($A298="?","Lipseste ID-ul comenzii (col. A din PI Furnizor)",IF(NOT(ISNUMBER($X298)),"ID comanda negasit in foaia Comenzi",IF(N($E298)&lt;=0,"Lipseste cantitatea",IF(N($G298)=0,"Pret unitar lipsa",IF($Y298&lt;&gt;1,"Curs sau moneda marfa lipsa (foaia Comenzi)",IF(INDEX(Comenzi!$AT:$AT,$X298)&lt;&gt;"OK","Avertisment comanda: "&amp;INDEX(Comenzi!$AT:$AT,$X298),"OK")))))))</f>
        <v/>
      </c>
      <c r="AA298" s="43" t="str">
        <f>IF(ISNUMBER($X298),INDEX(Comenzi!$H:$H,$X298),"")</f>
        <v/>
      </c>
      <c r="AB298" s="43" t="str">
        <f>IF(ISNUMBER($X298),INDEX(Comenzi!$I:$I,$X298),"")</f>
        <v/>
      </c>
      <c r="AC298" s="44" t="str">
        <f>IF(ISNUMBER($X298),IF(INDEX(Comenzi!$V:$V,$X298)="",Comenzi!$D$3,INDEX(Comenzi!$V:$V,$X298)),"")</f>
        <v/>
      </c>
      <c r="AD298" s="44" t="str">
        <f>IF(ISNUMBER($X298),IF(INDEX(Comenzi!$U:$U,$X298)="",Comenzi!$D$4,INDEX(Comenzi!$U:$U,$X298)),"")</f>
        <v/>
      </c>
      <c r="AE298" s="45" t="str">
        <f>IF($Y298&lt;&gt;1,"",IF(INDEX(Comenzi!$AM:$AM,$X298)="Greutate",INDEX('PI Furnizor'!$O:$O,ROW()-3),IF(INDEX(Comenzi!$AM:$AM,$X298)="Volum (CBM)",INDEX('PI Furnizor'!$Q:$Q,ROW()-3),IF(INDEX(Comenzi!$AM:$AM,$X298)="Valoare marfa",INDEX('PI Furnizor'!$N:$N,ROW()-3),$E298))))</f>
        <v/>
      </c>
    </row>
    <row r="299" spans="1:31" x14ac:dyDescent="0.3">
      <c r="A299" s="28" t="str">
        <f>IF(COUNTA(INDEX('PI Furnizor'!$A:$E,ROW()-3,0))=0,"",IF(INDEX('PI Furnizor'!$A:$A,ROW()-3)="","?",INDEX('PI Furnizor'!$A:$A,ROW()-3)))</f>
        <v/>
      </c>
      <c r="B299" s="29" t="str">
        <f>IF(ISNUMBER($X299),INDEX(Comenzi!$B:$B,$X299),"")</f>
        <v/>
      </c>
      <c r="C299" s="28" t="str">
        <f>IF($A299="","",INDEX('PI Furnizor'!$B:$B,ROW()-3)&amp;"")</f>
        <v/>
      </c>
      <c r="D299" s="28" t="str">
        <f>IF($A299="","",INDEX('PI Furnizor'!$C:$C,ROW()-3)&amp;"")</f>
        <v/>
      </c>
      <c r="E299" s="30" t="str">
        <f>IF($A299="","",N(INDEX('PI Furnizor'!$D:$D,ROW()-3)))</f>
        <v/>
      </c>
      <c r="F299" s="31" t="str">
        <f>IF(ISNUMBER($X299),INDEX(Comenzi!$G:$G,$X299),"")</f>
        <v/>
      </c>
      <c r="G299" s="32" t="str">
        <f>IF($A299="","",N(INDEX('PI Furnizor'!$E:$E,ROW()-3)))</f>
        <v/>
      </c>
      <c r="H299" s="33" t="str">
        <f t="shared" si="52"/>
        <v/>
      </c>
      <c r="I299" s="34" t="str">
        <f>IF($Y299&lt;&gt;1,"",IFERROR($AE299/INDEX(Comenzi!$AN:$AN,$X299),0))</f>
        <v/>
      </c>
      <c r="J299" s="33" t="str">
        <f>IF($Y299&lt;&gt;1,"",INDEX(Comenzi!$AG:$AG,$X299)*$I299/$E299)</f>
        <v/>
      </c>
      <c r="K299" s="33" t="str">
        <f t="shared" si="53"/>
        <v/>
      </c>
      <c r="L299" s="33" t="str">
        <f>IF($Y299&lt;&gt;1,"",$K299*$AD299+INDEX(Comenzi!$AJ:$AJ,$X299)*$I299/$E299)</f>
        <v/>
      </c>
      <c r="M299" s="33" t="str">
        <f t="shared" si="54"/>
        <v/>
      </c>
      <c r="N299" s="33" t="str">
        <f t="shared" si="55"/>
        <v/>
      </c>
      <c r="O299" s="33" t="str">
        <f>IF($Y299&lt;&gt;1,"",(INDEX(Comenzi!$AK:$AK,$X299)+N(INDEX(Comenzi!$T:$T,$X299)))*$I299/$E299)</f>
        <v/>
      </c>
      <c r="P299" s="35" t="str">
        <f t="shared" si="56"/>
        <v/>
      </c>
      <c r="Q299" s="36" t="str">
        <f t="shared" si="57"/>
        <v/>
      </c>
      <c r="R299" s="37" t="str">
        <f t="shared" si="58"/>
        <v/>
      </c>
      <c r="S299" s="38" t="str">
        <f t="shared" si="59"/>
        <v/>
      </c>
      <c r="T299" s="39" t="str">
        <f t="shared" si="60"/>
        <v/>
      </c>
      <c r="U299" s="40" t="str">
        <f t="shared" si="61"/>
        <v/>
      </c>
      <c r="V299" s="33" t="str">
        <f t="shared" si="62"/>
        <v/>
      </c>
      <c r="W299" s="33" t="str">
        <f t="shared" si="63"/>
        <v/>
      </c>
      <c r="X299" s="41" t="str">
        <f>IF($A299="","",IFERROR(MATCH($A299,Comenzi!$A$9:$A$108,0)+8,""))</f>
        <v/>
      </c>
      <c r="Y299" s="41" t="str">
        <f t="shared" si="64"/>
        <v/>
      </c>
      <c r="Z299" s="42" t="str">
        <f>IF($A299="","",IF($A299="?","Lipseste ID-ul comenzii (col. A din PI Furnizor)",IF(NOT(ISNUMBER($X299)),"ID comanda negasit in foaia Comenzi",IF(N($E299)&lt;=0,"Lipseste cantitatea",IF(N($G299)=0,"Pret unitar lipsa",IF($Y299&lt;&gt;1,"Curs sau moneda marfa lipsa (foaia Comenzi)",IF(INDEX(Comenzi!$AT:$AT,$X299)&lt;&gt;"OK","Avertisment comanda: "&amp;INDEX(Comenzi!$AT:$AT,$X299),"OK")))))))</f>
        <v/>
      </c>
      <c r="AA299" s="43" t="str">
        <f>IF(ISNUMBER($X299),INDEX(Comenzi!$H:$H,$X299),"")</f>
        <v/>
      </c>
      <c r="AB299" s="43" t="str">
        <f>IF(ISNUMBER($X299),INDEX(Comenzi!$I:$I,$X299),"")</f>
        <v/>
      </c>
      <c r="AC299" s="44" t="str">
        <f>IF(ISNUMBER($X299),IF(INDEX(Comenzi!$V:$V,$X299)="",Comenzi!$D$3,INDEX(Comenzi!$V:$V,$X299)),"")</f>
        <v/>
      </c>
      <c r="AD299" s="44" t="str">
        <f>IF(ISNUMBER($X299),IF(INDEX(Comenzi!$U:$U,$X299)="",Comenzi!$D$4,INDEX(Comenzi!$U:$U,$X299)),"")</f>
        <v/>
      </c>
      <c r="AE299" s="45" t="str">
        <f>IF($Y299&lt;&gt;1,"",IF(INDEX(Comenzi!$AM:$AM,$X299)="Greutate",INDEX('PI Furnizor'!$O:$O,ROW()-3),IF(INDEX(Comenzi!$AM:$AM,$X299)="Volum (CBM)",INDEX('PI Furnizor'!$Q:$Q,ROW()-3),IF(INDEX(Comenzi!$AM:$AM,$X299)="Valoare marfa",INDEX('PI Furnizor'!$N:$N,ROW()-3),$E299))))</f>
        <v/>
      </c>
    </row>
    <row r="300" spans="1:31" x14ac:dyDescent="0.3">
      <c r="A300" s="28" t="str">
        <f>IF(COUNTA(INDEX('PI Furnizor'!$A:$E,ROW()-3,0))=0,"",IF(INDEX('PI Furnizor'!$A:$A,ROW()-3)="","?",INDEX('PI Furnizor'!$A:$A,ROW()-3)))</f>
        <v/>
      </c>
      <c r="B300" s="29" t="str">
        <f>IF(ISNUMBER($X300),INDEX(Comenzi!$B:$B,$X300),"")</f>
        <v/>
      </c>
      <c r="C300" s="28" t="str">
        <f>IF($A300="","",INDEX('PI Furnizor'!$B:$B,ROW()-3)&amp;"")</f>
        <v/>
      </c>
      <c r="D300" s="28" t="str">
        <f>IF($A300="","",INDEX('PI Furnizor'!$C:$C,ROW()-3)&amp;"")</f>
        <v/>
      </c>
      <c r="E300" s="30" t="str">
        <f>IF($A300="","",N(INDEX('PI Furnizor'!$D:$D,ROW()-3)))</f>
        <v/>
      </c>
      <c r="F300" s="31" t="str">
        <f>IF(ISNUMBER($X300),INDEX(Comenzi!$G:$G,$X300),"")</f>
        <v/>
      </c>
      <c r="G300" s="32" t="str">
        <f>IF($A300="","",N(INDEX('PI Furnizor'!$E:$E,ROW()-3)))</f>
        <v/>
      </c>
      <c r="H300" s="33" t="str">
        <f t="shared" si="52"/>
        <v/>
      </c>
      <c r="I300" s="34" t="str">
        <f>IF($Y300&lt;&gt;1,"",IFERROR($AE300/INDEX(Comenzi!$AN:$AN,$X300),0))</f>
        <v/>
      </c>
      <c r="J300" s="33" t="str">
        <f>IF($Y300&lt;&gt;1,"",INDEX(Comenzi!$AG:$AG,$X300)*$I300/$E300)</f>
        <v/>
      </c>
      <c r="K300" s="33" t="str">
        <f t="shared" si="53"/>
        <v/>
      </c>
      <c r="L300" s="33" t="str">
        <f>IF($Y300&lt;&gt;1,"",$K300*$AD300+INDEX(Comenzi!$AJ:$AJ,$X300)*$I300/$E300)</f>
        <v/>
      </c>
      <c r="M300" s="33" t="str">
        <f t="shared" si="54"/>
        <v/>
      </c>
      <c r="N300" s="33" t="str">
        <f t="shared" si="55"/>
        <v/>
      </c>
      <c r="O300" s="33" t="str">
        <f>IF($Y300&lt;&gt;1,"",(INDEX(Comenzi!$AK:$AK,$X300)+N(INDEX(Comenzi!$T:$T,$X300)))*$I300/$E300)</f>
        <v/>
      </c>
      <c r="P300" s="35" t="str">
        <f t="shared" si="56"/>
        <v/>
      </c>
      <c r="Q300" s="36" t="str">
        <f t="shared" si="57"/>
        <v/>
      </c>
      <c r="R300" s="37" t="str">
        <f t="shared" si="58"/>
        <v/>
      </c>
      <c r="S300" s="38" t="str">
        <f t="shared" si="59"/>
        <v/>
      </c>
      <c r="T300" s="39" t="str">
        <f t="shared" si="60"/>
        <v/>
      </c>
      <c r="U300" s="40" t="str">
        <f t="shared" si="61"/>
        <v/>
      </c>
      <c r="V300" s="33" t="str">
        <f t="shared" si="62"/>
        <v/>
      </c>
      <c r="W300" s="33" t="str">
        <f t="shared" si="63"/>
        <v/>
      </c>
      <c r="X300" s="41" t="str">
        <f>IF($A300="","",IFERROR(MATCH($A300,Comenzi!$A$9:$A$108,0)+8,""))</f>
        <v/>
      </c>
      <c r="Y300" s="41" t="str">
        <f t="shared" si="64"/>
        <v/>
      </c>
      <c r="Z300" s="42" t="str">
        <f>IF($A300="","",IF($A300="?","Lipseste ID-ul comenzii (col. A din PI Furnizor)",IF(NOT(ISNUMBER($X300)),"ID comanda negasit in foaia Comenzi",IF(N($E300)&lt;=0,"Lipseste cantitatea",IF(N($G300)=0,"Pret unitar lipsa",IF($Y300&lt;&gt;1,"Curs sau moneda marfa lipsa (foaia Comenzi)",IF(INDEX(Comenzi!$AT:$AT,$X300)&lt;&gt;"OK","Avertisment comanda: "&amp;INDEX(Comenzi!$AT:$AT,$X300),"OK")))))))</f>
        <v/>
      </c>
      <c r="AA300" s="43" t="str">
        <f>IF(ISNUMBER($X300),INDEX(Comenzi!$H:$H,$X300),"")</f>
        <v/>
      </c>
      <c r="AB300" s="43" t="str">
        <f>IF(ISNUMBER($X300),INDEX(Comenzi!$I:$I,$X300),"")</f>
        <v/>
      </c>
      <c r="AC300" s="44" t="str">
        <f>IF(ISNUMBER($X300),IF(INDEX(Comenzi!$V:$V,$X300)="",Comenzi!$D$3,INDEX(Comenzi!$V:$V,$X300)),"")</f>
        <v/>
      </c>
      <c r="AD300" s="44" t="str">
        <f>IF(ISNUMBER($X300),IF(INDEX(Comenzi!$U:$U,$X300)="",Comenzi!$D$4,INDEX(Comenzi!$U:$U,$X300)),"")</f>
        <v/>
      </c>
      <c r="AE300" s="45" t="str">
        <f>IF($Y300&lt;&gt;1,"",IF(INDEX(Comenzi!$AM:$AM,$X300)="Greutate",INDEX('PI Furnizor'!$O:$O,ROW()-3),IF(INDEX(Comenzi!$AM:$AM,$X300)="Volum (CBM)",INDEX('PI Furnizor'!$Q:$Q,ROW()-3),IF(INDEX(Comenzi!$AM:$AM,$X300)="Valoare marfa",INDEX('PI Furnizor'!$N:$N,ROW()-3),$E300))))</f>
        <v/>
      </c>
    </row>
    <row r="301" spans="1:31" x14ac:dyDescent="0.3">
      <c r="A301" s="28" t="str">
        <f>IF(COUNTA(INDEX('PI Furnizor'!$A:$E,ROW()-3,0))=0,"",IF(INDEX('PI Furnizor'!$A:$A,ROW()-3)="","?",INDEX('PI Furnizor'!$A:$A,ROW()-3)))</f>
        <v/>
      </c>
      <c r="B301" s="29" t="str">
        <f>IF(ISNUMBER($X301),INDEX(Comenzi!$B:$B,$X301),"")</f>
        <v/>
      </c>
      <c r="C301" s="28" t="str">
        <f>IF($A301="","",INDEX('PI Furnizor'!$B:$B,ROW()-3)&amp;"")</f>
        <v/>
      </c>
      <c r="D301" s="28" t="str">
        <f>IF($A301="","",INDEX('PI Furnizor'!$C:$C,ROW()-3)&amp;"")</f>
        <v/>
      </c>
      <c r="E301" s="30" t="str">
        <f>IF($A301="","",N(INDEX('PI Furnizor'!$D:$D,ROW()-3)))</f>
        <v/>
      </c>
      <c r="F301" s="31" t="str">
        <f>IF(ISNUMBER($X301),INDEX(Comenzi!$G:$G,$X301),"")</f>
        <v/>
      </c>
      <c r="G301" s="32" t="str">
        <f>IF($A301="","",N(INDEX('PI Furnizor'!$E:$E,ROW()-3)))</f>
        <v/>
      </c>
      <c r="H301" s="33" t="str">
        <f t="shared" si="52"/>
        <v/>
      </c>
      <c r="I301" s="34" t="str">
        <f>IF($Y301&lt;&gt;1,"",IFERROR($AE301/INDEX(Comenzi!$AN:$AN,$X301),0))</f>
        <v/>
      </c>
      <c r="J301" s="33" t="str">
        <f>IF($Y301&lt;&gt;1,"",INDEX(Comenzi!$AG:$AG,$X301)*$I301/$E301)</f>
        <v/>
      </c>
      <c r="K301" s="33" t="str">
        <f t="shared" si="53"/>
        <v/>
      </c>
      <c r="L301" s="33" t="str">
        <f>IF($Y301&lt;&gt;1,"",$K301*$AD301+INDEX(Comenzi!$AJ:$AJ,$X301)*$I301/$E301)</f>
        <v/>
      </c>
      <c r="M301" s="33" t="str">
        <f t="shared" si="54"/>
        <v/>
      </c>
      <c r="N301" s="33" t="str">
        <f t="shared" si="55"/>
        <v/>
      </c>
      <c r="O301" s="33" t="str">
        <f>IF($Y301&lt;&gt;1,"",(INDEX(Comenzi!$AK:$AK,$X301)+N(INDEX(Comenzi!$T:$T,$X301)))*$I301/$E301)</f>
        <v/>
      </c>
      <c r="P301" s="35" t="str">
        <f t="shared" si="56"/>
        <v/>
      </c>
      <c r="Q301" s="36" t="str">
        <f t="shared" si="57"/>
        <v/>
      </c>
      <c r="R301" s="37" t="str">
        <f t="shared" si="58"/>
        <v/>
      </c>
      <c r="S301" s="38" t="str">
        <f t="shared" si="59"/>
        <v/>
      </c>
      <c r="T301" s="39" t="str">
        <f t="shared" si="60"/>
        <v/>
      </c>
      <c r="U301" s="40" t="str">
        <f t="shared" si="61"/>
        <v/>
      </c>
      <c r="V301" s="33" t="str">
        <f t="shared" si="62"/>
        <v/>
      </c>
      <c r="W301" s="33" t="str">
        <f t="shared" si="63"/>
        <v/>
      </c>
      <c r="X301" s="41" t="str">
        <f>IF($A301="","",IFERROR(MATCH($A301,Comenzi!$A$9:$A$108,0)+8,""))</f>
        <v/>
      </c>
      <c r="Y301" s="41" t="str">
        <f t="shared" si="64"/>
        <v/>
      </c>
      <c r="Z301" s="42" t="str">
        <f>IF($A301="","",IF($A301="?","Lipseste ID-ul comenzii (col. A din PI Furnizor)",IF(NOT(ISNUMBER($X301)),"ID comanda negasit in foaia Comenzi",IF(N($E301)&lt;=0,"Lipseste cantitatea",IF(N($G301)=0,"Pret unitar lipsa",IF($Y301&lt;&gt;1,"Curs sau moneda marfa lipsa (foaia Comenzi)",IF(INDEX(Comenzi!$AT:$AT,$X301)&lt;&gt;"OK","Avertisment comanda: "&amp;INDEX(Comenzi!$AT:$AT,$X301),"OK")))))))</f>
        <v/>
      </c>
      <c r="AA301" s="43" t="str">
        <f>IF(ISNUMBER($X301),INDEX(Comenzi!$H:$H,$X301),"")</f>
        <v/>
      </c>
      <c r="AB301" s="43" t="str">
        <f>IF(ISNUMBER($X301),INDEX(Comenzi!$I:$I,$X301),"")</f>
        <v/>
      </c>
      <c r="AC301" s="44" t="str">
        <f>IF(ISNUMBER($X301),IF(INDEX(Comenzi!$V:$V,$X301)="",Comenzi!$D$3,INDEX(Comenzi!$V:$V,$X301)),"")</f>
        <v/>
      </c>
      <c r="AD301" s="44" t="str">
        <f>IF(ISNUMBER($X301),IF(INDEX(Comenzi!$U:$U,$X301)="",Comenzi!$D$4,INDEX(Comenzi!$U:$U,$X301)),"")</f>
        <v/>
      </c>
      <c r="AE301" s="45" t="str">
        <f>IF($Y301&lt;&gt;1,"",IF(INDEX(Comenzi!$AM:$AM,$X301)="Greutate",INDEX('PI Furnizor'!$O:$O,ROW()-3),IF(INDEX(Comenzi!$AM:$AM,$X301)="Volum (CBM)",INDEX('PI Furnizor'!$Q:$Q,ROW()-3),IF(INDEX(Comenzi!$AM:$AM,$X301)="Valoare marfa",INDEX('PI Furnizor'!$N:$N,ROW()-3),$E301))))</f>
        <v/>
      </c>
    </row>
    <row r="302" spans="1:31" x14ac:dyDescent="0.3">
      <c r="A302" s="28" t="str">
        <f>IF(COUNTA(INDEX('PI Furnizor'!$A:$E,ROW()-3,0))=0,"",IF(INDEX('PI Furnizor'!$A:$A,ROW()-3)="","?",INDEX('PI Furnizor'!$A:$A,ROW()-3)))</f>
        <v/>
      </c>
      <c r="B302" s="29" t="str">
        <f>IF(ISNUMBER($X302),INDEX(Comenzi!$B:$B,$X302),"")</f>
        <v/>
      </c>
      <c r="C302" s="28" t="str">
        <f>IF($A302="","",INDEX('PI Furnizor'!$B:$B,ROW()-3)&amp;"")</f>
        <v/>
      </c>
      <c r="D302" s="28" t="str">
        <f>IF($A302="","",INDEX('PI Furnizor'!$C:$C,ROW()-3)&amp;"")</f>
        <v/>
      </c>
      <c r="E302" s="30" t="str">
        <f>IF($A302="","",N(INDEX('PI Furnizor'!$D:$D,ROW()-3)))</f>
        <v/>
      </c>
      <c r="F302" s="31" t="str">
        <f>IF(ISNUMBER($X302),INDEX(Comenzi!$G:$G,$X302),"")</f>
        <v/>
      </c>
      <c r="G302" s="32" t="str">
        <f>IF($A302="","",N(INDEX('PI Furnizor'!$E:$E,ROW()-3)))</f>
        <v/>
      </c>
      <c r="H302" s="33" t="str">
        <f t="shared" si="52"/>
        <v/>
      </c>
      <c r="I302" s="34" t="str">
        <f>IF($Y302&lt;&gt;1,"",IFERROR($AE302/INDEX(Comenzi!$AN:$AN,$X302),0))</f>
        <v/>
      </c>
      <c r="J302" s="33" t="str">
        <f>IF($Y302&lt;&gt;1,"",INDEX(Comenzi!$AG:$AG,$X302)*$I302/$E302)</f>
        <v/>
      </c>
      <c r="K302" s="33" t="str">
        <f t="shared" si="53"/>
        <v/>
      </c>
      <c r="L302" s="33" t="str">
        <f>IF($Y302&lt;&gt;1,"",$K302*$AD302+INDEX(Comenzi!$AJ:$AJ,$X302)*$I302/$E302)</f>
        <v/>
      </c>
      <c r="M302" s="33" t="str">
        <f t="shared" si="54"/>
        <v/>
      </c>
      <c r="N302" s="33" t="str">
        <f t="shared" si="55"/>
        <v/>
      </c>
      <c r="O302" s="33" t="str">
        <f>IF($Y302&lt;&gt;1,"",(INDEX(Comenzi!$AK:$AK,$X302)+N(INDEX(Comenzi!$T:$T,$X302)))*$I302/$E302)</f>
        <v/>
      </c>
      <c r="P302" s="35" t="str">
        <f t="shared" si="56"/>
        <v/>
      </c>
      <c r="Q302" s="36" t="str">
        <f t="shared" si="57"/>
        <v/>
      </c>
      <c r="R302" s="37" t="str">
        <f t="shared" si="58"/>
        <v/>
      </c>
      <c r="S302" s="38" t="str">
        <f t="shared" si="59"/>
        <v/>
      </c>
      <c r="T302" s="39" t="str">
        <f t="shared" si="60"/>
        <v/>
      </c>
      <c r="U302" s="40" t="str">
        <f t="shared" si="61"/>
        <v/>
      </c>
      <c r="V302" s="33" t="str">
        <f t="shared" si="62"/>
        <v/>
      </c>
      <c r="W302" s="33" t="str">
        <f t="shared" si="63"/>
        <v/>
      </c>
      <c r="X302" s="41" t="str">
        <f>IF($A302="","",IFERROR(MATCH($A302,Comenzi!$A$9:$A$108,0)+8,""))</f>
        <v/>
      </c>
      <c r="Y302" s="41" t="str">
        <f t="shared" si="64"/>
        <v/>
      </c>
      <c r="Z302" s="42" t="str">
        <f>IF($A302="","",IF($A302="?","Lipseste ID-ul comenzii (col. A din PI Furnizor)",IF(NOT(ISNUMBER($X302)),"ID comanda negasit in foaia Comenzi",IF(N($E302)&lt;=0,"Lipseste cantitatea",IF(N($G302)=0,"Pret unitar lipsa",IF($Y302&lt;&gt;1,"Curs sau moneda marfa lipsa (foaia Comenzi)",IF(INDEX(Comenzi!$AT:$AT,$X302)&lt;&gt;"OK","Avertisment comanda: "&amp;INDEX(Comenzi!$AT:$AT,$X302),"OK")))))))</f>
        <v/>
      </c>
      <c r="AA302" s="43" t="str">
        <f>IF(ISNUMBER($X302),INDEX(Comenzi!$H:$H,$X302),"")</f>
        <v/>
      </c>
      <c r="AB302" s="43" t="str">
        <f>IF(ISNUMBER($X302),INDEX(Comenzi!$I:$I,$X302),"")</f>
        <v/>
      </c>
      <c r="AC302" s="44" t="str">
        <f>IF(ISNUMBER($X302),IF(INDEX(Comenzi!$V:$V,$X302)="",Comenzi!$D$3,INDEX(Comenzi!$V:$V,$X302)),"")</f>
        <v/>
      </c>
      <c r="AD302" s="44" t="str">
        <f>IF(ISNUMBER($X302),IF(INDEX(Comenzi!$U:$U,$X302)="",Comenzi!$D$4,INDEX(Comenzi!$U:$U,$X302)),"")</f>
        <v/>
      </c>
      <c r="AE302" s="45" t="str">
        <f>IF($Y302&lt;&gt;1,"",IF(INDEX(Comenzi!$AM:$AM,$X302)="Greutate",INDEX('PI Furnizor'!$O:$O,ROW()-3),IF(INDEX(Comenzi!$AM:$AM,$X302)="Volum (CBM)",INDEX('PI Furnizor'!$Q:$Q,ROW()-3),IF(INDEX(Comenzi!$AM:$AM,$X302)="Valoare marfa",INDEX('PI Furnizor'!$N:$N,ROW()-3),$E302))))</f>
        <v/>
      </c>
    </row>
    <row r="303" spans="1:31" x14ac:dyDescent="0.3">
      <c r="A303" s="28" t="str">
        <f>IF(COUNTA(INDEX('PI Furnizor'!$A:$E,ROW()-3,0))=0,"",IF(INDEX('PI Furnizor'!$A:$A,ROW()-3)="","?",INDEX('PI Furnizor'!$A:$A,ROW()-3)))</f>
        <v/>
      </c>
      <c r="B303" s="29" t="str">
        <f>IF(ISNUMBER($X303),INDEX(Comenzi!$B:$B,$X303),"")</f>
        <v/>
      </c>
      <c r="C303" s="28" t="str">
        <f>IF($A303="","",INDEX('PI Furnizor'!$B:$B,ROW()-3)&amp;"")</f>
        <v/>
      </c>
      <c r="D303" s="28" t="str">
        <f>IF($A303="","",INDEX('PI Furnizor'!$C:$C,ROW()-3)&amp;"")</f>
        <v/>
      </c>
      <c r="E303" s="30" t="str">
        <f>IF($A303="","",N(INDEX('PI Furnizor'!$D:$D,ROW()-3)))</f>
        <v/>
      </c>
      <c r="F303" s="31" t="str">
        <f>IF(ISNUMBER($X303),INDEX(Comenzi!$G:$G,$X303),"")</f>
        <v/>
      </c>
      <c r="G303" s="32" t="str">
        <f>IF($A303="","",N(INDEX('PI Furnizor'!$E:$E,ROW()-3)))</f>
        <v/>
      </c>
      <c r="H303" s="33" t="str">
        <f t="shared" si="52"/>
        <v/>
      </c>
      <c r="I303" s="34" t="str">
        <f>IF($Y303&lt;&gt;1,"",IFERROR($AE303/INDEX(Comenzi!$AN:$AN,$X303),0))</f>
        <v/>
      </c>
      <c r="J303" s="33" t="str">
        <f>IF($Y303&lt;&gt;1,"",INDEX(Comenzi!$AG:$AG,$X303)*$I303/$E303)</f>
        <v/>
      </c>
      <c r="K303" s="33" t="str">
        <f t="shared" si="53"/>
        <v/>
      </c>
      <c r="L303" s="33" t="str">
        <f>IF($Y303&lt;&gt;1,"",$K303*$AD303+INDEX(Comenzi!$AJ:$AJ,$X303)*$I303/$E303)</f>
        <v/>
      </c>
      <c r="M303" s="33" t="str">
        <f t="shared" si="54"/>
        <v/>
      </c>
      <c r="N303" s="33" t="str">
        <f t="shared" si="55"/>
        <v/>
      </c>
      <c r="O303" s="33" t="str">
        <f>IF($Y303&lt;&gt;1,"",(INDEX(Comenzi!$AK:$AK,$X303)+N(INDEX(Comenzi!$T:$T,$X303)))*$I303/$E303)</f>
        <v/>
      </c>
      <c r="P303" s="35" t="str">
        <f t="shared" si="56"/>
        <v/>
      </c>
      <c r="Q303" s="36" t="str">
        <f t="shared" si="57"/>
        <v/>
      </c>
      <c r="R303" s="37" t="str">
        <f t="shared" si="58"/>
        <v/>
      </c>
      <c r="S303" s="38" t="str">
        <f t="shared" si="59"/>
        <v/>
      </c>
      <c r="T303" s="39" t="str">
        <f t="shared" si="60"/>
        <v/>
      </c>
      <c r="U303" s="40" t="str">
        <f t="shared" si="61"/>
        <v/>
      </c>
      <c r="V303" s="33" t="str">
        <f t="shared" si="62"/>
        <v/>
      </c>
      <c r="W303" s="33" t="str">
        <f t="shared" si="63"/>
        <v/>
      </c>
      <c r="X303" s="41" t="str">
        <f>IF($A303="","",IFERROR(MATCH($A303,Comenzi!$A$9:$A$108,0)+8,""))</f>
        <v/>
      </c>
      <c r="Y303" s="41" t="str">
        <f t="shared" si="64"/>
        <v/>
      </c>
      <c r="Z303" s="42" t="str">
        <f>IF($A303="","",IF($A303="?","Lipseste ID-ul comenzii (col. A din PI Furnizor)",IF(NOT(ISNUMBER($X303)),"ID comanda negasit in foaia Comenzi",IF(N($E303)&lt;=0,"Lipseste cantitatea",IF(N($G303)=0,"Pret unitar lipsa",IF($Y303&lt;&gt;1,"Curs sau moneda marfa lipsa (foaia Comenzi)",IF(INDEX(Comenzi!$AT:$AT,$X303)&lt;&gt;"OK","Avertisment comanda: "&amp;INDEX(Comenzi!$AT:$AT,$X303),"OK")))))))</f>
        <v/>
      </c>
      <c r="AA303" s="43" t="str">
        <f>IF(ISNUMBER($X303),INDEX(Comenzi!$H:$H,$X303),"")</f>
        <v/>
      </c>
      <c r="AB303" s="43" t="str">
        <f>IF(ISNUMBER($X303),INDEX(Comenzi!$I:$I,$X303),"")</f>
        <v/>
      </c>
      <c r="AC303" s="44" t="str">
        <f>IF(ISNUMBER($X303),IF(INDEX(Comenzi!$V:$V,$X303)="",Comenzi!$D$3,INDEX(Comenzi!$V:$V,$X303)),"")</f>
        <v/>
      </c>
      <c r="AD303" s="44" t="str">
        <f>IF(ISNUMBER($X303),IF(INDEX(Comenzi!$U:$U,$X303)="",Comenzi!$D$4,INDEX(Comenzi!$U:$U,$X303)),"")</f>
        <v/>
      </c>
      <c r="AE303" s="45" t="str">
        <f>IF($Y303&lt;&gt;1,"",IF(INDEX(Comenzi!$AM:$AM,$X303)="Greutate",INDEX('PI Furnizor'!$O:$O,ROW()-3),IF(INDEX(Comenzi!$AM:$AM,$X303)="Volum (CBM)",INDEX('PI Furnizor'!$Q:$Q,ROW()-3),IF(INDEX(Comenzi!$AM:$AM,$X303)="Valoare marfa",INDEX('PI Furnizor'!$N:$N,ROW()-3),$E303))))</f>
        <v/>
      </c>
    </row>
    <row r="304" spans="1:31" x14ac:dyDescent="0.3">
      <c r="A304" s="28" t="str">
        <f>IF(COUNTA(INDEX('PI Furnizor'!$A:$E,ROW()-3,0))=0,"",IF(INDEX('PI Furnizor'!$A:$A,ROW()-3)="","?",INDEX('PI Furnizor'!$A:$A,ROW()-3)))</f>
        <v/>
      </c>
      <c r="B304" s="29" t="str">
        <f>IF(ISNUMBER($X304),INDEX(Comenzi!$B:$B,$X304),"")</f>
        <v/>
      </c>
      <c r="C304" s="28" t="str">
        <f>IF($A304="","",INDEX('PI Furnizor'!$B:$B,ROW()-3)&amp;"")</f>
        <v/>
      </c>
      <c r="D304" s="28" t="str">
        <f>IF($A304="","",INDEX('PI Furnizor'!$C:$C,ROW()-3)&amp;"")</f>
        <v/>
      </c>
      <c r="E304" s="30" t="str">
        <f>IF($A304="","",N(INDEX('PI Furnizor'!$D:$D,ROW()-3)))</f>
        <v/>
      </c>
      <c r="F304" s="31" t="str">
        <f>IF(ISNUMBER($X304),INDEX(Comenzi!$G:$G,$X304),"")</f>
        <v/>
      </c>
      <c r="G304" s="32" t="str">
        <f>IF($A304="","",N(INDEX('PI Furnizor'!$E:$E,ROW()-3)))</f>
        <v/>
      </c>
      <c r="H304" s="33" t="str">
        <f t="shared" si="52"/>
        <v/>
      </c>
      <c r="I304" s="34" t="str">
        <f>IF($Y304&lt;&gt;1,"",IFERROR($AE304/INDEX(Comenzi!$AN:$AN,$X304),0))</f>
        <v/>
      </c>
      <c r="J304" s="33" t="str">
        <f>IF($Y304&lt;&gt;1,"",INDEX(Comenzi!$AG:$AG,$X304)*$I304/$E304)</f>
        <v/>
      </c>
      <c r="K304" s="33" t="str">
        <f t="shared" si="53"/>
        <v/>
      </c>
      <c r="L304" s="33" t="str">
        <f>IF($Y304&lt;&gt;1,"",$K304*$AD304+INDEX(Comenzi!$AJ:$AJ,$X304)*$I304/$E304)</f>
        <v/>
      </c>
      <c r="M304" s="33" t="str">
        <f t="shared" si="54"/>
        <v/>
      </c>
      <c r="N304" s="33" t="str">
        <f t="shared" si="55"/>
        <v/>
      </c>
      <c r="O304" s="33" t="str">
        <f>IF($Y304&lt;&gt;1,"",(INDEX(Comenzi!$AK:$AK,$X304)+N(INDEX(Comenzi!$T:$T,$X304)))*$I304/$E304)</f>
        <v/>
      </c>
      <c r="P304" s="35" t="str">
        <f t="shared" si="56"/>
        <v/>
      </c>
      <c r="Q304" s="36" t="str">
        <f t="shared" si="57"/>
        <v/>
      </c>
      <c r="R304" s="37" t="str">
        <f t="shared" si="58"/>
        <v/>
      </c>
      <c r="S304" s="38" t="str">
        <f t="shared" si="59"/>
        <v/>
      </c>
      <c r="T304" s="39" t="str">
        <f t="shared" si="60"/>
        <v/>
      </c>
      <c r="U304" s="40" t="str">
        <f t="shared" si="61"/>
        <v/>
      </c>
      <c r="V304" s="33" t="str">
        <f t="shared" si="62"/>
        <v/>
      </c>
      <c r="W304" s="33" t="str">
        <f t="shared" si="63"/>
        <v/>
      </c>
      <c r="X304" s="41" t="str">
        <f>IF($A304="","",IFERROR(MATCH($A304,Comenzi!$A$9:$A$108,0)+8,""))</f>
        <v/>
      </c>
      <c r="Y304" s="41" t="str">
        <f t="shared" si="64"/>
        <v/>
      </c>
      <c r="Z304" s="42" t="str">
        <f>IF($A304="","",IF($A304="?","Lipseste ID-ul comenzii (col. A din PI Furnizor)",IF(NOT(ISNUMBER($X304)),"ID comanda negasit in foaia Comenzi",IF(N($E304)&lt;=0,"Lipseste cantitatea",IF(N($G304)=0,"Pret unitar lipsa",IF($Y304&lt;&gt;1,"Curs sau moneda marfa lipsa (foaia Comenzi)",IF(INDEX(Comenzi!$AT:$AT,$X304)&lt;&gt;"OK","Avertisment comanda: "&amp;INDEX(Comenzi!$AT:$AT,$X304),"OK")))))))</f>
        <v/>
      </c>
      <c r="AA304" s="43" t="str">
        <f>IF(ISNUMBER($X304),INDEX(Comenzi!$H:$H,$X304),"")</f>
        <v/>
      </c>
      <c r="AB304" s="43" t="str">
        <f>IF(ISNUMBER($X304),INDEX(Comenzi!$I:$I,$X304),"")</f>
        <v/>
      </c>
      <c r="AC304" s="44" t="str">
        <f>IF(ISNUMBER($X304),IF(INDEX(Comenzi!$V:$V,$X304)="",Comenzi!$D$3,INDEX(Comenzi!$V:$V,$X304)),"")</f>
        <v/>
      </c>
      <c r="AD304" s="44" t="str">
        <f>IF(ISNUMBER($X304),IF(INDEX(Comenzi!$U:$U,$X304)="",Comenzi!$D$4,INDEX(Comenzi!$U:$U,$X304)),"")</f>
        <v/>
      </c>
      <c r="AE304" s="45" t="str">
        <f>IF($Y304&lt;&gt;1,"",IF(INDEX(Comenzi!$AM:$AM,$X304)="Greutate",INDEX('PI Furnizor'!$O:$O,ROW()-3),IF(INDEX(Comenzi!$AM:$AM,$X304)="Volum (CBM)",INDEX('PI Furnizor'!$Q:$Q,ROW()-3),IF(INDEX(Comenzi!$AM:$AM,$X304)="Valoare marfa",INDEX('PI Furnizor'!$N:$N,ROW()-3),$E304))))</f>
        <v/>
      </c>
    </row>
    <row r="305" spans="1:31" x14ac:dyDescent="0.3">
      <c r="A305" s="28" t="str">
        <f>IF(COUNTA(INDEX('PI Furnizor'!$A:$E,ROW()-3,0))=0,"",IF(INDEX('PI Furnizor'!$A:$A,ROW()-3)="","?",INDEX('PI Furnizor'!$A:$A,ROW()-3)))</f>
        <v/>
      </c>
      <c r="B305" s="29" t="str">
        <f>IF(ISNUMBER($X305),INDEX(Comenzi!$B:$B,$X305),"")</f>
        <v/>
      </c>
      <c r="C305" s="28" t="str">
        <f>IF($A305="","",INDEX('PI Furnizor'!$B:$B,ROW()-3)&amp;"")</f>
        <v/>
      </c>
      <c r="D305" s="28" t="str">
        <f>IF($A305="","",INDEX('PI Furnizor'!$C:$C,ROW()-3)&amp;"")</f>
        <v/>
      </c>
      <c r="E305" s="30" t="str">
        <f>IF($A305="","",N(INDEX('PI Furnizor'!$D:$D,ROW()-3)))</f>
        <v/>
      </c>
      <c r="F305" s="31" t="str">
        <f>IF(ISNUMBER($X305),INDEX(Comenzi!$G:$G,$X305),"")</f>
        <v/>
      </c>
      <c r="G305" s="32" t="str">
        <f>IF($A305="","",N(INDEX('PI Furnizor'!$E:$E,ROW()-3)))</f>
        <v/>
      </c>
      <c r="H305" s="33" t="str">
        <f t="shared" si="52"/>
        <v/>
      </c>
      <c r="I305" s="34" t="str">
        <f>IF($Y305&lt;&gt;1,"",IFERROR($AE305/INDEX(Comenzi!$AN:$AN,$X305),0))</f>
        <v/>
      </c>
      <c r="J305" s="33" t="str">
        <f>IF($Y305&lt;&gt;1,"",INDEX(Comenzi!$AG:$AG,$X305)*$I305/$E305)</f>
        <v/>
      </c>
      <c r="K305" s="33" t="str">
        <f t="shared" si="53"/>
        <v/>
      </c>
      <c r="L305" s="33" t="str">
        <f>IF($Y305&lt;&gt;1,"",$K305*$AD305+INDEX(Comenzi!$AJ:$AJ,$X305)*$I305/$E305)</f>
        <v/>
      </c>
      <c r="M305" s="33" t="str">
        <f t="shared" si="54"/>
        <v/>
      </c>
      <c r="N305" s="33" t="str">
        <f t="shared" si="55"/>
        <v/>
      </c>
      <c r="O305" s="33" t="str">
        <f>IF($Y305&lt;&gt;1,"",(INDEX(Comenzi!$AK:$AK,$X305)+N(INDEX(Comenzi!$T:$T,$X305)))*$I305/$E305)</f>
        <v/>
      </c>
      <c r="P305" s="35" t="str">
        <f t="shared" si="56"/>
        <v/>
      </c>
      <c r="Q305" s="36" t="str">
        <f t="shared" si="57"/>
        <v/>
      </c>
      <c r="R305" s="37" t="str">
        <f t="shared" si="58"/>
        <v/>
      </c>
      <c r="S305" s="38" t="str">
        <f t="shared" si="59"/>
        <v/>
      </c>
      <c r="T305" s="39" t="str">
        <f t="shared" si="60"/>
        <v/>
      </c>
      <c r="U305" s="40" t="str">
        <f t="shared" si="61"/>
        <v/>
      </c>
      <c r="V305" s="33" t="str">
        <f t="shared" si="62"/>
        <v/>
      </c>
      <c r="W305" s="33" t="str">
        <f t="shared" si="63"/>
        <v/>
      </c>
      <c r="X305" s="41" t="str">
        <f>IF($A305="","",IFERROR(MATCH($A305,Comenzi!$A$9:$A$108,0)+8,""))</f>
        <v/>
      </c>
      <c r="Y305" s="41" t="str">
        <f t="shared" si="64"/>
        <v/>
      </c>
      <c r="Z305" s="42" t="str">
        <f>IF($A305="","",IF($A305="?","Lipseste ID-ul comenzii (col. A din PI Furnizor)",IF(NOT(ISNUMBER($X305)),"ID comanda negasit in foaia Comenzi",IF(N($E305)&lt;=0,"Lipseste cantitatea",IF(N($G305)=0,"Pret unitar lipsa",IF($Y305&lt;&gt;1,"Curs sau moneda marfa lipsa (foaia Comenzi)",IF(INDEX(Comenzi!$AT:$AT,$X305)&lt;&gt;"OK","Avertisment comanda: "&amp;INDEX(Comenzi!$AT:$AT,$X305),"OK")))))))</f>
        <v/>
      </c>
      <c r="AA305" s="43" t="str">
        <f>IF(ISNUMBER($X305),INDEX(Comenzi!$H:$H,$X305),"")</f>
        <v/>
      </c>
      <c r="AB305" s="43" t="str">
        <f>IF(ISNUMBER($X305),INDEX(Comenzi!$I:$I,$X305),"")</f>
        <v/>
      </c>
      <c r="AC305" s="44" t="str">
        <f>IF(ISNUMBER($X305),IF(INDEX(Comenzi!$V:$V,$X305)="",Comenzi!$D$3,INDEX(Comenzi!$V:$V,$X305)),"")</f>
        <v/>
      </c>
      <c r="AD305" s="44" t="str">
        <f>IF(ISNUMBER($X305),IF(INDEX(Comenzi!$U:$U,$X305)="",Comenzi!$D$4,INDEX(Comenzi!$U:$U,$X305)),"")</f>
        <v/>
      </c>
      <c r="AE305" s="45" t="str">
        <f>IF($Y305&lt;&gt;1,"",IF(INDEX(Comenzi!$AM:$AM,$X305)="Greutate",INDEX('PI Furnizor'!$O:$O,ROW()-3),IF(INDEX(Comenzi!$AM:$AM,$X305)="Volum (CBM)",INDEX('PI Furnizor'!$Q:$Q,ROW()-3),IF(INDEX(Comenzi!$AM:$AM,$X305)="Valoare marfa",INDEX('PI Furnizor'!$N:$N,ROW()-3),$E305))))</f>
        <v/>
      </c>
    </row>
    <row r="306" spans="1:31" x14ac:dyDescent="0.3">
      <c r="A306" s="28" t="str">
        <f>IF(COUNTA(INDEX('PI Furnizor'!$A:$E,ROW()-3,0))=0,"",IF(INDEX('PI Furnizor'!$A:$A,ROW()-3)="","?",INDEX('PI Furnizor'!$A:$A,ROW()-3)))</f>
        <v/>
      </c>
      <c r="B306" s="29" t="str">
        <f>IF(ISNUMBER($X306),INDEX(Comenzi!$B:$B,$X306),"")</f>
        <v/>
      </c>
      <c r="C306" s="28" t="str">
        <f>IF($A306="","",INDEX('PI Furnizor'!$B:$B,ROW()-3)&amp;"")</f>
        <v/>
      </c>
      <c r="D306" s="28" t="str">
        <f>IF($A306="","",INDEX('PI Furnizor'!$C:$C,ROW()-3)&amp;"")</f>
        <v/>
      </c>
      <c r="E306" s="30" t="str">
        <f>IF($A306="","",N(INDEX('PI Furnizor'!$D:$D,ROW()-3)))</f>
        <v/>
      </c>
      <c r="F306" s="31" t="str">
        <f>IF(ISNUMBER($X306),INDEX(Comenzi!$G:$G,$X306),"")</f>
        <v/>
      </c>
      <c r="G306" s="32" t="str">
        <f>IF($A306="","",N(INDEX('PI Furnizor'!$E:$E,ROW()-3)))</f>
        <v/>
      </c>
      <c r="H306" s="33" t="str">
        <f t="shared" si="52"/>
        <v/>
      </c>
      <c r="I306" s="34" t="str">
        <f>IF($Y306&lt;&gt;1,"",IFERROR($AE306/INDEX(Comenzi!$AN:$AN,$X306),0))</f>
        <v/>
      </c>
      <c r="J306" s="33" t="str">
        <f>IF($Y306&lt;&gt;1,"",INDEX(Comenzi!$AG:$AG,$X306)*$I306/$E306)</f>
        <v/>
      </c>
      <c r="K306" s="33" t="str">
        <f t="shared" si="53"/>
        <v/>
      </c>
      <c r="L306" s="33" t="str">
        <f>IF($Y306&lt;&gt;1,"",$K306*$AD306+INDEX(Comenzi!$AJ:$AJ,$X306)*$I306/$E306)</f>
        <v/>
      </c>
      <c r="M306" s="33" t="str">
        <f t="shared" si="54"/>
        <v/>
      </c>
      <c r="N306" s="33" t="str">
        <f t="shared" si="55"/>
        <v/>
      </c>
      <c r="O306" s="33" t="str">
        <f>IF($Y306&lt;&gt;1,"",(INDEX(Comenzi!$AK:$AK,$X306)+N(INDEX(Comenzi!$T:$T,$X306)))*$I306/$E306)</f>
        <v/>
      </c>
      <c r="P306" s="35" t="str">
        <f t="shared" si="56"/>
        <v/>
      </c>
      <c r="Q306" s="36" t="str">
        <f t="shared" si="57"/>
        <v/>
      </c>
      <c r="R306" s="37" t="str">
        <f t="shared" si="58"/>
        <v/>
      </c>
      <c r="S306" s="38" t="str">
        <f t="shared" si="59"/>
        <v/>
      </c>
      <c r="T306" s="39" t="str">
        <f t="shared" si="60"/>
        <v/>
      </c>
      <c r="U306" s="40" t="str">
        <f t="shared" si="61"/>
        <v/>
      </c>
      <c r="V306" s="33" t="str">
        <f t="shared" si="62"/>
        <v/>
      </c>
      <c r="W306" s="33" t="str">
        <f t="shared" si="63"/>
        <v/>
      </c>
      <c r="X306" s="41" t="str">
        <f>IF($A306="","",IFERROR(MATCH($A306,Comenzi!$A$9:$A$108,0)+8,""))</f>
        <v/>
      </c>
      <c r="Y306" s="41" t="str">
        <f t="shared" si="64"/>
        <v/>
      </c>
      <c r="Z306" s="42" t="str">
        <f>IF($A306="","",IF($A306="?","Lipseste ID-ul comenzii (col. A din PI Furnizor)",IF(NOT(ISNUMBER($X306)),"ID comanda negasit in foaia Comenzi",IF(N($E306)&lt;=0,"Lipseste cantitatea",IF(N($G306)=0,"Pret unitar lipsa",IF($Y306&lt;&gt;1,"Curs sau moneda marfa lipsa (foaia Comenzi)",IF(INDEX(Comenzi!$AT:$AT,$X306)&lt;&gt;"OK","Avertisment comanda: "&amp;INDEX(Comenzi!$AT:$AT,$X306),"OK")))))))</f>
        <v/>
      </c>
      <c r="AA306" s="43" t="str">
        <f>IF(ISNUMBER($X306),INDEX(Comenzi!$H:$H,$X306),"")</f>
        <v/>
      </c>
      <c r="AB306" s="43" t="str">
        <f>IF(ISNUMBER($X306),INDEX(Comenzi!$I:$I,$X306),"")</f>
        <v/>
      </c>
      <c r="AC306" s="44" t="str">
        <f>IF(ISNUMBER($X306),IF(INDEX(Comenzi!$V:$V,$X306)="",Comenzi!$D$3,INDEX(Comenzi!$V:$V,$X306)),"")</f>
        <v/>
      </c>
      <c r="AD306" s="44" t="str">
        <f>IF(ISNUMBER($X306),IF(INDEX(Comenzi!$U:$U,$X306)="",Comenzi!$D$4,INDEX(Comenzi!$U:$U,$X306)),"")</f>
        <v/>
      </c>
      <c r="AE306" s="45" t="str">
        <f>IF($Y306&lt;&gt;1,"",IF(INDEX(Comenzi!$AM:$AM,$X306)="Greutate",INDEX('PI Furnizor'!$O:$O,ROW()-3),IF(INDEX(Comenzi!$AM:$AM,$X306)="Volum (CBM)",INDEX('PI Furnizor'!$Q:$Q,ROW()-3),IF(INDEX(Comenzi!$AM:$AM,$X306)="Valoare marfa",INDEX('PI Furnizor'!$N:$N,ROW()-3),$E306))))</f>
        <v/>
      </c>
    </row>
    <row r="307" spans="1:31" x14ac:dyDescent="0.3">
      <c r="A307" s="28" t="str">
        <f>IF(COUNTA(INDEX('PI Furnizor'!$A:$E,ROW()-3,0))=0,"",IF(INDEX('PI Furnizor'!$A:$A,ROW()-3)="","?",INDEX('PI Furnizor'!$A:$A,ROW()-3)))</f>
        <v/>
      </c>
      <c r="B307" s="29" t="str">
        <f>IF(ISNUMBER($X307),INDEX(Comenzi!$B:$B,$X307),"")</f>
        <v/>
      </c>
      <c r="C307" s="28" t="str">
        <f>IF($A307="","",INDEX('PI Furnizor'!$B:$B,ROW()-3)&amp;"")</f>
        <v/>
      </c>
      <c r="D307" s="28" t="str">
        <f>IF($A307="","",INDEX('PI Furnizor'!$C:$C,ROW()-3)&amp;"")</f>
        <v/>
      </c>
      <c r="E307" s="30" t="str">
        <f>IF($A307="","",N(INDEX('PI Furnizor'!$D:$D,ROW()-3)))</f>
        <v/>
      </c>
      <c r="F307" s="31" t="str">
        <f>IF(ISNUMBER($X307),INDEX(Comenzi!$G:$G,$X307),"")</f>
        <v/>
      </c>
      <c r="G307" s="32" t="str">
        <f>IF($A307="","",N(INDEX('PI Furnizor'!$E:$E,ROW()-3)))</f>
        <v/>
      </c>
      <c r="H307" s="33" t="str">
        <f t="shared" si="52"/>
        <v/>
      </c>
      <c r="I307" s="34" t="str">
        <f>IF($Y307&lt;&gt;1,"",IFERROR($AE307/INDEX(Comenzi!$AN:$AN,$X307),0))</f>
        <v/>
      </c>
      <c r="J307" s="33" t="str">
        <f>IF($Y307&lt;&gt;1,"",INDEX(Comenzi!$AG:$AG,$X307)*$I307/$E307)</f>
        <v/>
      </c>
      <c r="K307" s="33" t="str">
        <f t="shared" si="53"/>
        <v/>
      </c>
      <c r="L307" s="33" t="str">
        <f>IF($Y307&lt;&gt;1,"",$K307*$AD307+INDEX(Comenzi!$AJ:$AJ,$X307)*$I307/$E307)</f>
        <v/>
      </c>
      <c r="M307" s="33" t="str">
        <f t="shared" si="54"/>
        <v/>
      </c>
      <c r="N307" s="33" t="str">
        <f t="shared" si="55"/>
        <v/>
      </c>
      <c r="O307" s="33" t="str">
        <f>IF($Y307&lt;&gt;1,"",(INDEX(Comenzi!$AK:$AK,$X307)+N(INDEX(Comenzi!$T:$T,$X307)))*$I307/$E307)</f>
        <v/>
      </c>
      <c r="P307" s="35" t="str">
        <f t="shared" si="56"/>
        <v/>
      </c>
      <c r="Q307" s="36" t="str">
        <f t="shared" si="57"/>
        <v/>
      </c>
      <c r="R307" s="37" t="str">
        <f t="shared" si="58"/>
        <v/>
      </c>
      <c r="S307" s="38" t="str">
        <f t="shared" si="59"/>
        <v/>
      </c>
      <c r="T307" s="39" t="str">
        <f t="shared" si="60"/>
        <v/>
      </c>
      <c r="U307" s="40" t="str">
        <f t="shared" si="61"/>
        <v/>
      </c>
      <c r="V307" s="33" t="str">
        <f t="shared" si="62"/>
        <v/>
      </c>
      <c r="W307" s="33" t="str">
        <f t="shared" si="63"/>
        <v/>
      </c>
      <c r="X307" s="41" t="str">
        <f>IF($A307="","",IFERROR(MATCH($A307,Comenzi!$A$9:$A$108,0)+8,""))</f>
        <v/>
      </c>
      <c r="Y307" s="41" t="str">
        <f t="shared" si="64"/>
        <v/>
      </c>
      <c r="Z307" s="42" t="str">
        <f>IF($A307="","",IF($A307="?","Lipseste ID-ul comenzii (col. A din PI Furnizor)",IF(NOT(ISNUMBER($X307)),"ID comanda negasit in foaia Comenzi",IF(N($E307)&lt;=0,"Lipseste cantitatea",IF(N($G307)=0,"Pret unitar lipsa",IF($Y307&lt;&gt;1,"Curs sau moneda marfa lipsa (foaia Comenzi)",IF(INDEX(Comenzi!$AT:$AT,$X307)&lt;&gt;"OK","Avertisment comanda: "&amp;INDEX(Comenzi!$AT:$AT,$X307),"OK")))))))</f>
        <v/>
      </c>
      <c r="AA307" s="43" t="str">
        <f>IF(ISNUMBER($X307),INDEX(Comenzi!$H:$H,$X307),"")</f>
        <v/>
      </c>
      <c r="AB307" s="43" t="str">
        <f>IF(ISNUMBER($X307),INDEX(Comenzi!$I:$I,$X307),"")</f>
        <v/>
      </c>
      <c r="AC307" s="44" t="str">
        <f>IF(ISNUMBER($X307),IF(INDEX(Comenzi!$V:$V,$X307)="",Comenzi!$D$3,INDEX(Comenzi!$V:$V,$X307)),"")</f>
        <v/>
      </c>
      <c r="AD307" s="44" t="str">
        <f>IF(ISNUMBER($X307),IF(INDEX(Comenzi!$U:$U,$X307)="",Comenzi!$D$4,INDEX(Comenzi!$U:$U,$X307)),"")</f>
        <v/>
      </c>
      <c r="AE307" s="45" t="str">
        <f>IF($Y307&lt;&gt;1,"",IF(INDEX(Comenzi!$AM:$AM,$X307)="Greutate",INDEX('PI Furnizor'!$O:$O,ROW()-3),IF(INDEX(Comenzi!$AM:$AM,$X307)="Volum (CBM)",INDEX('PI Furnizor'!$Q:$Q,ROW()-3),IF(INDEX(Comenzi!$AM:$AM,$X307)="Valoare marfa",INDEX('PI Furnizor'!$N:$N,ROW()-3),$E307))))</f>
        <v/>
      </c>
    </row>
    <row r="308" spans="1:31" x14ac:dyDescent="0.3">
      <c r="A308" s="28" t="str">
        <f>IF(COUNTA(INDEX('PI Furnizor'!$A:$E,ROW()-3,0))=0,"",IF(INDEX('PI Furnizor'!$A:$A,ROW()-3)="","?",INDEX('PI Furnizor'!$A:$A,ROW()-3)))</f>
        <v/>
      </c>
      <c r="B308" s="29" t="str">
        <f>IF(ISNUMBER($X308),INDEX(Comenzi!$B:$B,$X308),"")</f>
        <v/>
      </c>
      <c r="C308" s="28" t="str">
        <f>IF($A308="","",INDEX('PI Furnizor'!$B:$B,ROW()-3)&amp;"")</f>
        <v/>
      </c>
      <c r="D308" s="28" t="str">
        <f>IF($A308="","",INDEX('PI Furnizor'!$C:$C,ROW()-3)&amp;"")</f>
        <v/>
      </c>
      <c r="E308" s="30" t="str">
        <f>IF($A308="","",N(INDEX('PI Furnizor'!$D:$D,ROW()-3)))</f>
        <v/>
      </c>
      <c r="F308" s="31" t="str">
        <f>IF(ISNUMBER($X308),INDEX(Comenzi!$G:$G,$X308),"")</f>
        <v/>
      </c>
      <c r="G308" s="32" t="str">
        <f>IF($A308="","",N(INDEX('PI Furnizor'!$E:$E,ROW()-3)))</f>
        <v/>
      </c>
      <c r="H308" s="33" t="str">
        <f t="shared" si="52"/>
        <v/>
      </c>
      <c r="I308" s="34" t="str">
        <f>IF($Y308&lt;&gt;1,"",IFERROR($AE308/INDEX(Comenzi!$AN:$AN,$X308),0))</f>
        <v/>
      </c>
      <c r="J308" s="33" t="str">
        <f>IF($Y308&lt;&gt;1,"",INDEX(Comenzi!$AG:$AG,$X308)*$I308/$E308)</f>
        <v/>
      </c>
      <c r="K308" s="33" t="str">
        <f t="shared" si="53"/>
        <v/>
      </c>
      <c r="L308" s="33" t="str">
        <f>IF($Y308&lt;&gt;1,"",$K308*$AD308+INDEX(Comenzi!$AJ:$AJ,$X308)*$I308/$E308)</f>
        <v/>
      </c>
      <c r="M308" s="33" t="str">
        <f t="shared" si="54"/>
        <v/>
      </c>
      <c r="N308" s="33" t="str">
        <f t="shared" si="55"/>
        <v/>
      </c>
      <c r="O308" s="33" t="str">
        <f>IF($Y308&lt;&gt;1,"",(INDEX(Comenzi!$AK:$AK,$X308)+N(INDEX(Comenzi!$T:$T,$X308)))*$I308/$E308)</f>
        <v/>
      </c>
      <c r="P308" s="35" t="str">
        <f t="shared" si="56"/>
        <v/>
      </c>
      <c r="Q308" s="36" t="str">
        <f t="shared" si="57"/>
        <v/>
      </c>
      <c r="R308" s="37" t="str">
        <f t="shared" si="58"/>
        <v/>
      </c>
      <c r="S308" s="38" t="str">
        <f t="shared" si="59"/>
        <v/>
      </c>
      <c r="T308" s="39" t="str">
        <f t="shared" si="60"/>
        <v/>
      </c>
      <c r="U308" s="40" t="str">
        <f t="shared" si="61"/>
        <v/>
      </c>
      <c r="V308" s="33" t="str">
        <f t="shared" si="62"/>
        <v/>
      </c>
      <c r="W308" s="33" t="str">
        <f t="shared" si="63"/>
        <v/>
      </c>
      <c r="X308" s="41" t="str">
        <f>IF($A308="","",IFERROR(MATCH($A308,Comenzi!$A$9:$A$108,0)+8,""))</f>
        <v/>
      </c>
      <c r="Y308" s="41" t="str">
        <f t="shared" si="64"/>
        <v/>
      </c>
      <c r="Z308" s="42" t="str">
        <f>IF($A308="","",IF($A308="?","Lipseste ID-ul comenzii (col. A din PI Furnizor)",IF(NOT(ISNUMBER($X308)),"ID comanda negasit in foaia Comenzi",IF(N($E308)&lt;=0,"Lipseste cantitatea",IF(N($G308)=0,"Pret unitar lipsa",IF($Y308&lt;&gt;1,"Curs sau moneda marfa lipsa (foaia Comenzi)",IF(INDEX(Comenzi!$AT:$AT,$X308)&lt;&gt;"OK","Avertisment comanda: "&amp;INDEX(Comenzi!$AT:$AT,$X308),"OK")))))))</f>
        <v/>
      </c>
      <c r="AA308" s="43" t="str">
        <f>IF(ISNUMBER($X308),INDEX(Comenzi!$H:$H,$X308),"")</f>
        <v/>
      </c>
      <c r="AB308" s="43" t="str">
        <f>IF(ISNUMBER($X308),INDEX(Comenzi!$I:$I,$X308),"")</f>
        <v/>
      </c>
      <c r="AC308" s="44" t="str">
        <f>IF(ISNUMBER($X308),IF(INDEX(Comenzi!$V:$V,$X308)="",Comenzi!$D$3,INDEX(Comenzi!$V:$V,$X308)),"")</f>
        <v/>
      </c>
      <c r="AD308" s="44" t="str">
        <f>IF(ISNUMBER($X308),IF(INDEX(Comenzi!$U:$U,$X308)="",Comenzi!$D$4,INDEX(Comenzi!$U:$U,$X308)),"")</f>
        <v/>
      </c>
      <c r="AE308" s="45" t="str">
        <f>IF($Y308&lt;&gt;1,"",IF(INDEX(Comenzi!$AM:$AM,$X308)="Greutate",INDEX('PI Furnizor'!$O:$O,ROW()-3),IF(INDEX(Comenzi!$AM:$AM,$X308)="Volum (CBM)",INDEX('PI Furnizor'!$Q:$Q,ROW()-3),IF(INDEX(Comenzi!$AM:$AM,$X308)="Valoare marfa",INDEX('PI Furnizor'!$N:$N,ROW()-3),$E308))))</f>
        <v/>
      </c>
    </row>
    <row r="309" spans="1:31" x14ac:dyDescent="0.3">
      <c r="A309" s="28" t="str">
        <f>IF(COUNTA(INDEX('PI Furnizor'!$A:$E,ROW()-3,0))=0,"",IF(INDEX('PI Furnizor'!$A:$A,ROW()-3)="","?",INDEX('PI Furnizor'!$A:$A,ROW()-3)))</f>
        <v/>
      </c>
      <c r="B309" s="29" t="str">
        <f>IF(ISNUMBER($X309),INDEX(Comenzi!$B:$B,$X309),"")</f>
        <v/>
      </c>
      <c r="C309" s="28" t="str">
        <f>IF($A309="","",INDEX('PI Furnizor'!$B:$B,ROW()-3)&amp;"")</f>
        <v/>
      </c>
      <c r="D309" s="28" t="str">
        <f>IF($A309="","",INDEX('PI Furnizor'!$C:$C,ROW()-3)&amp;"")</f>
        <v/>
      </c>
      <c r="E309" s="30" t="str">
        <f>IF($A309="","",N(INDEX('PI Furnizor'!$D:$D,ROW()-3)))</f>
        <v/>
      </c>
      <c r="F309" s="31" t="str">
        <f>IF(ISNUMBER($X309),INDEX(Comenzi!$G:$G,$X309),"")</f>
        <v/>
      </c>
      <c r="G309" s="32" t="str">
        <f>IF($A309="","",N(INDEX('PI Furnizor'!$E:$E,ROW()-3)))</f>
        <v/>
      </c>
      <c r="H309" s="33" t="str">
        <f t="shared" si="52"/>
        <v/>
      </c>
      <c r="I309" s="34" t="str">
        <f>IF($Y309&lt;&gt;1,"",IFERROR($AE309/INDEX(Comenzi!$AN:$AN,$X309),0))</f>
        <v/>
      </c>
      <c r="J309" s="33" t="str">
        <f>IF($Y309&lt;&gt;1,"",INDEX(Comenzi!$AG:$AG,$X309)*$I309/$E309)</f>
        <v/>
      </c>
      <c r="K309" s="33" t="str">
        <f t="shared" si="53"/>
        <v/>
      </c>
      <c r="L309" s="33" t="str">
        <f>IF($Y309&lt;&gt;1,"",$K309*$AD309+INDEX(Comenzi!$AJ:$AJ,$X309)*$I309/$E309)</f>
        <v/>
      </c>
      <c r="M309" s="33" t="str">
        <f t="shared" si="54"/>
        <v/>
      </c>
      <c r="N309" s="33" t="str">
        <f t="shared" si="55"/>
        <v/>
      </c>
      <c r="O309" s="33" t="str">
        <f>IF($Y309&lt;&gt;1,"",(INDEX(Comenzi!$AK:$AK,$X309)+N(INDEX(Comenzi!$T:$T,$X309)))*$I309/$E309)</f>
        <v/>
      </c>
      <c r="P309" s="35" t="str">
        <f t="shared" si="56"/>
        <v/>
      </c>
      <c r="Q309" s="36" t="str">
        <f t="shared" si="57"/>
        <v/>
      </c>
      <c r="R309" s="37" t="str">
        <f t="shared" si="58"/>
        <v/>
      </c>
      <c r="S309" s="38" t="str">
        <f t="shared" si="59"/>
        <v/>
      </c>
      <c r="T309" s="39" t="str">
        <f t="shared" si="60"/>
        <v/>
      </c>
      <c r="U309" s="40" t="str">
        <f t="shared" si="61"/>
        <v/>
      </c>
      <c r="V309" s="33" t="str">
        <f t="shared" si="62"/>
        <v/>
      </c>
      <c r="W309" s="33" t="str">
        <f t="shared" si="63"/>
        <v/>
      </c>
      <c r="X309" s="41" t="str">
        <f>IF($A309="","",IFERROR(MATCH($A309,Comenzi!$A$9:$A$108,0)+8,""))</f>
        <v/>
      </c>
      <c r="Y309" s="41" t="str">
        <f t="shared" si="64"/>
        <v/>
      </c>
      <c r="Z309" s="42" t="str">
        <f>IF($A309="","",IF($A309="?","Lipseste ID-ul comenzii (col. A din PI Furnizor)",IF(NOT(ISNUMBER($X309)),"ID comanda negasit in foaia Comenzi",IF(N($E309)&lt;=0,"Lipseste cantitatea",IF(N($G309)=0,"Pret unitar lipsa",IF($Y309&lt;&gt;1,"Curs sau moneda marfa lipsa (foaia Comenzi)",IF(INDEX(Comenzi!$AT:$AT,$X309)&lt;&gt;"OK","Avertisment comanda: "&amp;INDEX(Comenzi!$AT:$AT,$X309),"OK")))))))</f>
        <v/>
      </c>
      <c r="AA309" s="43" t="str">
        <f>IF(ISNUMBER($X309),INDEX(Comenzi!$H:$H,$X309),"")</f>
        <v/>
      </c>
      <c r="AB309" s="43" t="str">
        <f>IF(ISNUMBER($X309),INDEX(Comenzi!$I:$I,$X309),"")</f>
        <v/>
      </c>
      <c r="AC309" s="44" t="str">
        <f>IF(ISNUMBER($X309),IF(INDEX(Comenzi!$V:$V,$X309)="",Comenzi!$D$3,INDEX(Comenzi!$V:$V,$X309)),"")</f>
        <v/>
      </c>
      <c r="AD309" s="44" t="str">
        <f>IF(ISNUMBER($X309),IF(INDEX(Comenzi!$U:$U,$X309)="",Comenzi!$D$4,INDEX(Comenzi!$U:$U,$X309)),"")</f>
        <v/>
      </c>
      <c r="AE309" s="45" t="str">
        <f>IF($Y309&lt;&gt;1,"",IF(INDEX(Comenzi!$AM:$AM,$X309)="Greutate",INDEX('PI Furnizor'!$O:$O,ROW()-3),IF(INDEX(Comenzi!$AM:$AM,$X309)="Volum (CBM)",INDEX('PI Furnizor'!$Q:$Q,ROW()-3),IF(INDEX(Comenzi!$AM:$AM,$X309)="Valoare marfa",INDEX('PI Furnizor'!$N:$N,ROW()-3),$E309))))</f>
        <v/>
      </c>
    </row>
    <row r="310" spans="1:31" x14ac:dyDescent="0.3">
      <c r="A310" s="28" t="str">
        <f>IF(COUNTA(INDEX('PI Furnizor'!$A:$E,ROW()-3,0))=0,"",IF(INDEX('PI Furnizor'!$A:$A,ROW()-3)="","?",INDEX('PI Furnizor'!$A:$A,ROW()-3)))</f>
        <v/>
      </c>
      <c r="B310" s="29" t="str">
        <f>IF(ISNUMBER($X310),INDEX(Comenzi!$B:$B,$X310),"")</f>
        <v/>
      </c>
      <c r="C310" s="28" t="str">
        <f>IF($A310="","",INDEX('PI Furnizor'!$B:$B,ROW()-3)&amp;"")</f>
        <v/>
      </c>
      <c r="D310" s="28" t="str">
        <f>IF($A310="","",INDEX('PI Furnizor'!$C:$C,ROW()-3)&amp;"")</f>
        <v/>
      </c>
      <c r="E310" s="30" t="str">
        <f>IF($A310="","",N(INDEX('PI Furnizor'!$D:$D,ROW()-3)))</f>
        <v/>
      </c>
      <c r="F310" s="31" t="str">
        <f>IF(ISNUMBER($X310),INDEX(Comenzi!$G:$G,$X310),"")</f>
        <v/>
      </c>
      <c r="G310" s="32" t="str">
        <f>IF($A310="","",N(INDEX('PI Furnizor'!$E:$E,ROW()-3)))</f>
        <v/>
      </c>
      <c r="H310" s="33" t="str">
        <f t="shared" si="52"/>
        <v/>
      </c>
      <c r="I310" s="34" t="str">
        <f>IF($Y310&lt;&gt;1,"",IFERROR($AE310/INDEX(Comenzi!$AN:$AN,$X310),0))</f>
        <v/>
      </c>
      <c r="J310" s="33" t="str">
        <f>IF($Y310&lt;&gt;1,"",INDEX(Comenzi!$AG:$AG,$X310)*$I310/$E310)</f>
        <v/>
      </c>
      <c r="K310" s="33" t="str">
        <f t="shared" si="53"/>
        <v/>
      </c>
      <c r="L310" s="33" t="str">
        <f>IF($Y310&lt;&gt;1,"",$K310*$AD310+INDEX(Comenzi!$AJ:$AJ,$X310)*$I310/$E310)</f>
        <v/>
      </c>
      <c r="M310" s="33" t="str">
        <f t="shared" si="54"/>
        <v/>
      </c>
      <c r="N310" s="33" t="str">
        <f t="shared" si="55"/>
        <v/>
      </c>
      <c r="O310" s="33" t="str">
        <f>IF($Y310&lt;&gt;1,"",(INDEX(Comenzi!$AK:$AK,$X310)+N(INDEX(Comenzi!$T:$T,$X310)))*$I310/$E310)</f>
        <v/>
      </c>
      <c r="P310" s="35" t="str">
        <f t="shared" si="56"/>
        <v/>
      </c>
      <c r="Q310" s="36" t="str">
        <f t="shared" si="57"/>
        <v/>
      </c>
      <c r="R310" s="37" t="str">
        <f t="shared" si="58"/>
        <v/>
      </c>
      <c r="S310" s="38" t="str">
        <f t="shared" si="59"/>
        <v/>
      </c>
      <c r="T310" s="39" t="str">
        <f t="shared" si="60"/>
        <v/>
      </c>
      <c r="U310" s="40" t="str">
        <f t="shared" si="61"/>
        <v/>
      </c>
      <c r="V310" s="33" t="str">
        <f t="shared" si="62"/>
        <v/>
      </c>
      <c r="W310" s="33" t="str">
        <f t="shared" si="63"/>
        <v/>
      </c>
      <c r="X310" s="41" t="str">
        <f>IF($A310="","",IFERROR(MATCH($A310,Comenzi!$A$9:$A$108,0)+8,""))</f>
        <v/>
      </c>
      <c r="Y310" s="41" t="str">
        <f t="shared" si="64"/>
        <v/>
      </c>
      <c r="Z310" s="42" t="str">
        <f>IF($A310="","",IF($A310="?","Lipseste ID-ul comenzii (col. A din PI Furnizor)",IF(NOT(ISNUMBER($X310)),"ID comanda negasit in foaia Comenzi",IF(N($E310)&lt;=0,"Lipseste cantitatea",IF(N($G310)=0,"Pret unitar lipsa",IF($Y310&lt;&gt;1,"Curs sau moneda marfa lipsa (foaia Comenzi)",IF(INDEX(Comenzi!$AT:$AT,$X310)&lt;&gt;"OK","Avertisment comanda: "&amp;INDEX(Comenzi!$AT:$AT,$X310),"OK")))))))</f>
        <v/>
      </c>
      <c r="AA310" s="43" t="str">
        <f>IF(ISNUMBER($X310),INDEX(Comenzi!$H:$H,$X310),"")</f>
        <v/>
      </c>
      <c r="AB310" s="43" t="str">
        <f>IF(ISNUMBER($X310),INDEX(Comenzi!$I:$I,$X310),"")</f>
        <v/>
      </c>
      <c r="AC310" s="44" t="str">
        <f>IF(ISNUMBER($X310),IF(INDEX(Comenzi!$V:$V,$X310)="",Comenzi!$D$3,INDEX(Comenzi!$V:$V,$X310)),"")</f>
        <v/>
      </c>
      <c r="AD310" s="44" t="str">
        <f>IF(ISNUMBER($X310),IF(INDEX(Comenzi!$U:$U,$X310)="",Comenzi!$D$4,INDEX(Comenzi!$U:$U,$X310)),"")</f>
        <v/>
      </c>
      <c r="AE310" s="45" t="str">
        <f>IF($Y310&lt;&gt;1,"",IF(INDEX(Comenzi!$AM:$AM,$X310)="Greutate",INDEX('PI Furnizor'!$O:$O,ROW()-3),IF(INDEX(Comenzi!$AM:$AM,$X310)="Volum (CBM)",INDEX('PI Furnizor'!$Q:$Q,ROW()-3),IF(INDEX(Comenzi!$AM:$AM,$X310)="Valoare marfa",INDEX('PI Furnizor'!$N:$N,ROW()-3),$E310))))</f>
        <v/>
      </c>
    </row>
    <row r="311" spans="1:31" x14ac:dyDescent="0.3">
      <c r="A311" s="28" t="str">
        <f>IF(COUNTA(INDEX('PI Furnizor'!$A:$E,ROW()-3,0))=0,"",IF(INDEX('PI Furnizor'!$A:$A,ROW()-3)="","?",INDEX('PI Furnizor'!$A:$A,ROW()-3)))</f>
        <v/>
      </c>
      <c r="B311" s="29" t="str">
        <f>IF(ISNUMBER($X311),INDEX(Comenzi!$B:$B,$X311),"")</f>
        <v/>
      </c>
      <c r="C311" s="28" t="str">
        <f>IF($A311="","",INDEX('PI Furnizor'!$B:$B,ROW()-3)&amp;"")</f>
        <v/>
      </c>
      <c r="D311" s="28" t="str">
        <f>IF($A311="","",INDEX('PI Furnizor'!$C:$C,ROW()-3)&amp;"")</f>
        <v/>
      </c>
      <c r="E311" s="30" t="str">
        <f>IF($A311="","",N(INDEX('PI Furnizor'!$D:$D,ROW()-3)))</f>
        <v/>
      </c>
      <c r="F311" s="31" t="str">
        <f>IF(ISNUMBER($X311),INDEX(Comenzi!$G:$G,$X311),"")</f>
        <v/>
      </c>
      <c r="G311" s="32" t="str">
        <f>IF($A311="","",N(INDEX('PI Furnizor'!$E:$E,ROW()-3)))</f>
        <v/>
      </c>
      <c r="H311" s="33" t="str">
        <f t="shared" si="52"/>
        <v/>
      </c>
      <c r="I311" s="34" t="str">
        <f>IF($Y311&lt;&gt;1,"",IFERROR($AE311/INDEX(Comenzi!$AN:$AN,$X311),0))</f>
        <v/>
      </c>
      <c r="J311" s="33" t="str">
        <f>IF($Y311&lt;&gt;1,"",INDEX(Comenzi!$AG:$AG,$X311)*$I311/$E311)</f>
        <v/>
      </c>
      <c r="K311" s="33" t="str">
        <f t="shared" si="53"/>
        <v/>
      </c>
      <c r="L311" s="33" t="str">
        <f>IF($Y311&lt;&gt;1,"",$K311*$AD311+INDEX(Comenzi!$AJ:$AJ,$X311)*$I311/$E311)</f>
        <v/>
      </c>
      <c r="M311" s="33" t="str">
        <f t="shared" si="54"/>
        <v/>
      </c>
      <c r="N311" s="33" t="str">
        <f t="shared" si="55"/>
        <v/>
      </c>
      <c r="O311" s="33" t="str">
        <f>IF($Y311&lt;&gt;1,"",(INDEX(Comenzi!$AK:$AK,$X311)+N(INDEX(Comenzi!$T:$T,$X311)))*$I311/$E311)</f>
        <v/>
      </c>
      <c r="P311" s="35" t="str">
        <f t="shared" si="56"/>
        <v/>
      </c>
      <c r="Q311" s="36" t="str">
        <f t="shared" si="57"/>
        <v/>
      </c>
      <c r="R311" s="37" t="str">
        <f t="shared" si="58"/>
        <v/>
      </c>
      <c r="S311" s="38" t="str">
        <f t="shared" si="59"/>
        <v/>
      </c>
      <c r="T311" s="39" t="str">
        <f t="shared" si="60"/>
        <v/>
      </c>
      <c r="U311" s="40" t="str">
        <f t="shared" si="61"/>
        <v/>
      </c>
      <c r="V311" s="33" t="str">
        <f t="shared" si="62"/>
        <v/>
      </c>
      <c r="W311" s="33" t="str">
        <f t="shared" si="63"/>
        <v/>
      </c>
      <c r="X311" s="41" t="str">
        <f>IF($A311="","",IFERROR(MATCH($A311,Comenzi!$A$9:$A$108,0)+8,""))</f>
        <v/>
      </c>
      <c r="Y311" s="41" t="str">
        <f t="shared" si="64"/>
        <v/>
      </c>
      <c r="Z311" s="42" t="str">
        <f>IF($A311="","",IF($A311="?","Lipseste ID-ul comenzii (col. A din PI Furnizor)",IF(NOT(ISNUMBER($X311)),"ID comanda negasit in foaia Comenzi",IF(N($E311)&lt;=0,"Lipseste cantitatea",IF(N($G311)=0,"Pret unitar lipsa",IF($Y311&lt;&gt;1,"Curs sau moneda marfa lipsa (foaia Comenzi)",IF(INDEX(Comenzi!$AT:$AT,$X311)&lt;&gt;"OK","Avertisment comanda: "&amp;INDEX(Comenzi!$AT:$AT,$X311),"OK")))))))</f>
        <v/>
      </c>
      <c r="AA311" s="43" t="str">
        <f>IF(ISNUMBER($X311),INDEX(Comenzi!$H:$H,$X311),"")</f>
        <v/>
      </c>
      <c r="AB311" s="43" t="str">
        <f>IF(ISNUMBER($X311),INDEX(Comenzi!$I:$I,$X311),"")</f>
        <v/>
      </c>
      <c r="AC311" s="44" t="str">
        <f>IF(ISNUMBER($X311),IF(INDEX(Comenzi!$V:$V,$X311)="",Comenzi!$D$3,INDEX(Comenzi!$V:$V,$X311)),"")</f>
        <v/>
      </c>
      <c r="AD311" s="44" t="str">
        <f>IF(ISNUMBER($X311),IF(INDEX(Comenzi!$U:$U,$X311)="",Comenzi!$D$4,INDEX(Comenzi!$U:$U,$X311)),"")</f>
        <v/>
      </c>
      <c r="AE311" s="45" t="str">
        <f>IF($Y311&lt;&gt;1,"",IF(INDEX(Comenzi!$AM:$AM,$X311)="Greutate",INDEX('PI Furnizor'!$O:$O,ROW()-3),IF(INDEX(Comenzi!$AM:$AM,$X311)="Volum (CBM)",INDEX('PI Furnizor'!$Q:$Q,ROW()-3),IF(INDEX(Comenzi!$AM:$AM,$X311)="Valoare marfa",INDEX('PI Furnizor'!$N:$N,ROW()-3),$E311))))</f>
        <v/>
      </c>
    </row>
    <row r="312" spans="1:31" x14ac:dyDescent="0.3">
      <c r="A312" s="28" t="str">
        <f>IF(COUNTA(INDEX('PI Furnizor'!$A:$E,ROW()-3,0))=0,"",IF(INDEX('PI Furnizor'!$A:$A,ROW()-3)="","?",INDEX('PI Furnizor'!$A:$A,ROW()-3)))</f>
        <v/>
      </c>
      <c r="B312" s="29" t="str">
        <f>IF(ISNUMBER($X312),INDEX(Comenzi!$B:$B,$X312),"")</f>
        <v/>
      </c>
      <c r="C312" s="28" t="str">
        <f>IF($A312="","",INDEX('PI Furnizor'!$B:$B,ROW()-3)&amp;"")</f>
        <v/>
      </c>
      <c r="D312" s="28" t="str">
        <f>IF($A312="","",INDEX('PI Furnizor'!$C:$C,ROW()-3)&amp;"")</f>
        <v/>
      </c>
      <c r="E312" s="30" t="str">
        <f>IF($A312="","",N(INDEX('PI Furnizor'!$D:$D,ROW()-3)))</f>
        <v/>
      </c>
      <c r="F312" s="31" t="str">
        <f>IF(ISNUMBER($X312),INDEX(Comenzi!$G:$G,$X312),"")</f>
        <v/>
      </c>
      <c r="G312" s="32" t="str">
        <f>IF($A312="","",N(INDEX('PI Furnizor'!$E:$E,ROW()-3)))</f>
        <v/>
      </c>
      <c r="H312" s="33" t="str">
        <f t="shared" si="52"/>
        <v/>
      </c>
      <c r="I312" s="34" t="str">
        <f>IF($Y312&lt;&gt;1,"",IFERROR($AE312/INDEX(Comenzi!$AN:$AN,$X312),0))</f>
        <v/>
      </c>
      <c r="J312" s="33" t="str">
        <f>IF($Y312&lt;&gt;1,"",INDEX(Comenzi!$AG:$AG,$X312)*$I312/$E312)</f>
        <v/>
      </c>
      <c r="K312" s="33" t="str">
        <f t="shared" si="53"/>
        <v/>
      </c>
      <c r="L312" s="33" t="str">
        <f>IF($Y312&lt;&gt;1,"",$K312*$AD312+INDEX(Comenzi!$AJ:$AJ,$X312)*$I312/$E312)</f>
        <v/>
      </c>
      <c r="M312" s="33" t="str">
        <f t="shared" si="54"/>
        <v/>
      </c>
      <c r="N312" s="33" t="str">
        <f t="shared" si="55"/>
        <v/>
      </c>
      <c r="O312" s="33" t="str">
        <f>IF($Y312&lt;&gt;1,"",(INDEX(Comenzi!$AK:$AK,$X312)+N(INDEX(Comenzi!$T:$T,$X312)))*$I312/$E312)</f>
        <v/>
      </c>
      <c r="P312" s="35" t="str">
        <f t="shared" si="56"/>
        <v/>
      </c>
      <c r="Q312" s="36" t="str">
        <f t="shared" si="57"/>
        <v/>
      </c>
      <c r="R312" s="37" t="str">
        <f t="shared" si="58"/>
        <v/>
      </c>
      <c r="S312" s="38" t="str">
        <f t="shared" si="59"/>
        <v/>
      </c>
      <c r="T312" s="39" t="str">
        <f t="shared" si="60"/>
        <v/>
      </c>
      <c r="U312" s="40" t="str">
        <f t="shared" si="61"/>
        <v/>
      </c>
      <c r="V312" s="33" t="str">
        <f t="shared" si="62"/>
        <v/>
      </c>
      <c r="W312" s="33" t="str">
        <f t="shared" si="63"/>
        <v/>
      </c>
      <c r="X312" s="41" t="str">
        <f>IF($A312="","",IFERROR(MATCH($A312,Comenzi!$A$9:$A$108,0)+8,""))</f>
        <v/>
      </c>
      <c r="Y312" s="41" t="str">
        <f t="shared" si="64"/>
        <v/>
      </c>
      <c r="Z312" s="42" t="str">
        <f>IF($A312="","",IF($A312="?","Lipseste ID-ul comenzii (col. A din PI Furnizor)",IF(NOT(ISNUMBER($X312)),"ID comanda negasit in foaia Comenzi",IF(N($E312)&lt;=0,"Lipseste cantitatea",IF(N($G312)=0,"Pret unitar lipsa",IF($Y312&lt;&gt;1,"Curs sau moneda marfa lipsa (foaia Comenzi)",IF(INDEX(Comenzi!$AT:$AT,$X312)&lt;&gt;"OK","Avertisment comanda: "&amp;INDEX(Comenzi!$AT:$AT,$X312),"OK")))))))</f>
        <v/>
      </c>
      <c r="AA312" s="43" t="str">
        <f>IF(ISNUMBER($X312),INDEX(Comenzi!$H:$H,$X312),"")</f>
        <v/>
      </c>
      <c r="AB312" s="43" t="str">
        <f>IF(ISNUMBER($X312),INDEX(Comenzi!$I:$I,$X312),"")</f>
        <v/>
      </c>
      <c r="AC312" s="44" t="str">
        <f>IF(ISNUMBER($X312),IF(INDEX(Comenzi!$V:$V,$X312)="",Comenzi!$D$3,INDEX(Comenzi!$V:$V,$X312)),"")</f>
        <v/>
      </c>
      <c r="AD312" s="44" t="str">
        <f>IF(ISNUMBER($X312),IF(INDEX(Comenzi!$U:$U,$X312)="",Comenzi!$D$4,INDEX(Comenzi!$U:$U,$X312)),"")</f>
        <v/>
      </c>
      <c r="AE312" s="45" t="str">
        <f>IF($Y312&lt;&gt;1,"",IF(INDEX(Comenzi!$AM:$AM,$X312)="Greutate",INDEX('PI Furnizor'!$O:$O,ROW()-3),IF(INDEX(Comenzi!$AM:$AM,$X312)="Volum (CBM)",INDEX('PI Furnizor'!$Q:$Q,ROW()-3),IF(INDEX(Comenzi!$AM:$AM,$X312)="Valoare marfa",INDEX('PI Furnizor'!$N:$N,ROW()-3),$E312))))</f>
        <v/>
      </c>
    </row>
    <row r="313" spans="1:31" x14ac:dyDescent="0.3">
      <c r="A313" s="28" t="str">
        <f>IF(COUNTA(INDEX('PI Furnizor'!$A:$E,ROW()-3,0))=0,"",IF(INDEX('PI Furnizor'!$A:$A,ROW()-3)="","?",INDEX('PI Furnizor'!$A:$A,ROW()-3)))</f>
        <v/>
      </c>
      <c r="B313" s="29" t="str">
        <f>IF(ISNUMBER($X313),INDEX(Comenzi!$B:$B,$X313),"")</f>
        <v/>
      </c>
      <c r="C313" s="28" t="str">
        <f>IF($A313="","",INDEX('PI Furnizor'!$B:$B,ROW()-3)&amp;"")</f>
        <v/>
      </c>
      <c r="D313" s="28" t="str">
        <f>IF($A313="","",INDEX('PI Furnizor'!$C:$C,ROW()-3)&amp;"")</f>
        <v/>
      </c>
      <c r="E313" s="30" t="str">
        <f>IF($A313="","",N(INDEX('PI Furnizor'!$D:$D,ROW()-3)))</f>
        <v/>
      </c>
      <c r="F313" s="31" t="str">
        <f>IF(ISNUMBER($X313),INDEX(Comenzi!$G:$G,$X313),"")</f>
        <v/>
      </c>
      <c r="G313" s="32" t="str">
        <f>IF($A313="","",N(INDEX('PI Furnizor'!$E:$E,ROW()-3)))</f>
        <v/>
      </c>
      <c r="H313" s="33" t="str">
        <f t="shared" si="52"/>
        <v/>
      </c>
      <c r="I313" s="34" t="str">
        <f>IF($Y313&lt;&gt;1,"",IFERROR($AE313/INDEX(Comenzi!$AN:$AN,$X313),0))</f>
        <v/>
      </c>
      <c r="J313" s="33" t="str">
        <f>IF($Y313&lt;&gt;1,"",INDEX(Comenzi!$AG:$AG,$X313)*$I313/$E313)</f>
        <v/>
      </c>
      <c r="K313" s="33" t="str">
        <f t="shared" si="53"/>
        <v/>
      </c>
      <c r="L313" s="33" t="str">
        <f>IF($Y313&lt;&gt;1,"",$K313*$AD313+INDEX(Comenzi!$AJ:$AJ,$X313)*$I313/$E313)</f>
        <v/>
      </c>
      <c r="M313" s="33" t="str">
        <f t="shared" si="54"/>
        <v/>
      </c>
      <c r="N313" s="33" t="str">
        <f t="shared" si="55"/>
        <v/>
      </c>
      <c r="O313" s="33" t="str">
        <f>IF($Y313&lt;&gt;1,"",(INDEX(Comenzi!$AK:$AK,$X313)+N(INDEX(Comenzi!$T:$T,$X313)))*$I313/$E313)</f>
        <v/>
      </c>
      <c r="P313" s="35" t="str">
        <f t="shared" si="56"/>
        <v/>
      </c>
      <c r="Q313" s="36" t="str">
        <f t="shared" si="57"/>
        <v/>
      </c>
      <c r="R313" s="37" t="str">
        <f t="shared" si="58"/>
        <v/>
      </c>
      <c r="S313" s="38" t="str">
        <f t="shared" si="59"/>
        <v/>
      </c>
      <c r="T313" s="39" t="str">
        <f t="shared" si="60"/>
        <v/>
      </c>
      <c r="U313" s="40" t="str">
        <f t="shared" si="61"/>
        <v/>
      </c>
      <c r="V313" s="33" t="str">
        <f t="shared" si="62"/>
        <v/>
      </c>
      <c r="W313" s="33" t="str">
        <f t="shared" si="63"/>
        <v/>
      </c>
      <c r="X313" s="41" t="str">
        <f>IF($A313="","",IFERROR(MATCH($A313,Comenzi!$A$9:$A$108,0)+8,""))</f>
        <v/>
      </c>
      <c r="Y313" s="41" t="str">
        <f t="shared" si="64"/>
        <v/>
      </c>
      <c r="Z313" s="42" t="str">
        <f>IF($A313="","",IF($A313="?","Lipseste ID-ul comenzii (col. A din PI Furnizor)",IF(NOT(ISNUMBER($X313)),"ID comanda negasit in foaia Comenzi",IF(N($E313)&lt;=0,"Lipseste cantitatea",IF(N($G313)=0,"Pret unitar lipsa",IF($Y313&lt;&gt;1,"Curs sau moneda marfa lipsa (foaia Comenzi)",IF(INDEX(Comenzi!$AT:$AT,$X313)&lt;&gt;"OK","Avertisment comanda: "&amp;INDEX(Comenzi!$AT:$AT,$X313),"OK")))))))</f>
        <v/>
      </c>
      <c r="AA313" s="43" t="str">
        <f>IF(ISNUMBER($X313),INDEX(Comenzi!$H:$H,$X313),"")</f>
        <v/>
      </c>
      <c r="AB313" s="43" t="str">
        <f>IF(ISNUMBER($X313),INDEX(Comenzi!$I:$I,$X313),"")</f>
        <v/>
      </c>
      <c r="AC313" s="44" t="str">
        <f>IF(ISNUMBER($X313),IF(INDEX(Comenzi!$V:$V,$X313)="",Comenzi!$D$3,INDEX(Comenzi!$V:$V,$X313)),"")</f>
        <v/>
      </c>
      <c r="AD313" s="44" t="str">
        <f>IF(ISNUMBER($X313),IF(INDEX(Comenzi!$U:$U,$X313)="",Comenzi!$D$4,INDEX(Comenzi!$U:$U,$X313)),"")</f>
        <v/>
      </c>
      <c r="AE313" s="45" t="str">
        <f>IF($Y313&lt;&gt;1,"",IF(INDEX(Comenzi!$AM:$AM,$X313)="Greutate",INDEX('PI Furnizor'!$O:$O,ROW()-3),IF(INDEX(Comenzi!$AM:$AM,$X313)="Volum (CBM)",INDEX('PI Furnizor'!$Q:$Q,ROW()-3),IF(INDEX(Comenzi!$AM:$AM,$X313)="Valoare marfa",INDEX('PI Furnizor'!$N:$N,ROW()-3),$E313))))</f>
        <v/>
      </c>
    </row>
    <row r="314" spans="1:31" x14ac:dyDescent="0.3">
      <c r="A314" s="28" t="str">
        <f>IF(COUNTA(INDEX('PI Furnizor'!$A:$E,ROW()-3,0))=0,"",IF(INDEX('PI Furnizor'!$A:$A,ROW()-3)="","?",INDEX('PI Furnizor'!$A:$A,ROW()-3)))</f>
        <v/>
      </c>
      <c r="B314" s="29" t="str">
        <f>IF(ISNUMBER($X314),INDEX(Comenzi!$B:$B,$X314),"")</f>
        <v/>
      </c>
      <c r="C314" s="28" t="str">
        <f>IF($A314="","",INDEX('PI Furnizor'!$B:$B,ROW()-3)&amp;"")</f>
        <v/>
      </c>
      <c r="D314" s="28" t="str">
        <f>IF($A314="","",INDEX('PI Furnizor'!$C:$C,ROW()-3)&amp;"")</f>
        <v/>
      </c>
      <c r="E314" s="30" t="str">
        <f>IF($A314="","",N(INDEX('PI Furnizor'!$D:$D,ROW()-3)))</f>
        <v/>
      </c>
      <c r="F314" s="31" t="str">
        <f>IF(ISNUMBER($X314),INDEX(Comenzi!$G:$G,$X314),"")</f>
        <v/>
      </c>
      <c r="G314" s="32" t="str">
        <f>IF($A314="","",N(INDEX('PI Furnizor'!$E:$E,ROW()-3)))</f>
        <v/>
      </c>
      <c r="H314" s="33" t="str">
        <f t="shared" si="52"/>
        <v/>
      </c>
      <c r="I314" s="34" t="str">
        <f>IF($Y314&lt;&gt;1,"",IFERROR($AE314/INDEX(Comenzi!$AN:$AN,$X314),0))</f>
        <v/>
      </c>
      <c r="J314" s="33" t="str">
        <f>IF($Y314&lt;&gt;1,"",INDEX(Comenzi!$AG:$AG,$X314)*$I314/$E314)</f>
        <v/>
      </c>
      <c r="K314" s="33" t="str">
        <f t="shared" si="53"/>
        <v/>
      </c>
      <c r="L314" s="33" t="str">
        <f>IF($Y314&lt;&gt;1,"",$K314*$AD314+INDEX(Comenzi!$AJ:$AJ,$X314)*$I314/$E314)</f>
        <v/>
      </c>
      <c r="M314" s="33" t="str">
        <f t="shared" si="54"/>
        <v/>
      </c>
      <c r="N314" s="33" t="str">
        <f t="shared" si="55"/>
        <v/>
      </c>
      <c r="O314" s="33" t="str">
        <f>IF($Y314&lt;&gt;1,"",(INDEX(Comenzi!$AK:$AK,$X314)+N(INDEX(Comenzi!$T:$T,$X314)))*$I314/$E314)</f>
        <v/>
      </c>
      <c r="P314" s="35" t="str">
        <f t="shared" si="56"/>
        <v/>
      </c>
      <c r="Q314" s="36" t="str">
        <f t="shared" si="57"/>
        <v/>
      </c>
      <c r="R314" s="37" t="str">
        <f t="shared" si="58"/>
        <v/>
      </c>
      <c r="S314" s="38" t="str">
        <f t="shared" si="59"/>
        <v/>
      </c>
      <c r="T314" s="39" t="str">
        <f t="shared" si="60"/>
        <v/>
      </c>
      <c r="U314" s="40" t="str">
        <f t="shared" si="61"/>
        <v/>
      </c>
      <c r="V314" s="33" t="str">
        <f t="shared" si="62"/>
        <v/>
      </c>
      <c r="W314" s="33" t="str">
        <f t="shared" si="63"/>
        <v/>
      </c>
      <c r="X314" s="41" t="str">
        <f>IF($A314="","",IFERROR(MATCH($A314,Comenzi!$A$9:$A$108,0)+8,""))</f>
        <v/>
      </c>
      <c r="Y314" s="41" t="str">
        <f t="shared" si="64"/>
        <v/>
      </c>
      <c r="Z314" s="42" t="str">
        <f>IF($A314="","",IF($A314="?","Lipseste ID-ul comenzii (col. A din PI Furnizor)",IF(NOT(ISNUMBER($X314)),"ID comanda negasit in foaia Comenzi",IF(N($E314)&lt;=0,"Lipseste cantitatea",IF(N($G314)=0,"Pret unitar lipsa",IF($Y314&lt;&gt;1,"Curs sau moneda marfa lipsa (foaia Comenzi)",IF(INDEX(Comenzi!$AT:$AT,$X314)&lt;&gt;"OK","Avertisment comanda: "&amp;INDEX(Comenzi!$AT:$AT,$X314),"OK")))))))</f>
        <v/>
      </c>
      <c r="AA314" s="43" t="str">
        <f>IF(ISNUMBER($X314),INDEX(Comenzi!$H:$H,$X314),"")</f>
        <v/>
      </c>
      <c r="AB314" s="43" t="str">
        <f>IF(ISNUMBER($X314),INDEX(Comenzi!$I:$I,$X314),"")</f>
        <v/>
      </c>
      <c r="AC314" s="44" t="str">
        <f>IF(ISNUMBER($X314),IF(INDEX(Comenzi!$V:$V,$X314)="",Comenzi!$D$3,INDEX(Comenzi!$V:$V,$X314)),"")</f>
        <v/>
      </c>
      <c r="AD314" s="44" t="str">
        <f>IF(ISNUMBER($X314),IF(INDEX(Comenzi!$U:$U,$X314)="",Comenzi!$D$4,INDEX(Comenzi!$U:$U,$X314)),"")</f>
        <v/>
      </c>
      <c r="AE314" s="45" t="str">
        <f>IF($Y314&lt;&gt;1,"",IF(INDEX(Comenzi!$AM:$AM,$X314)="Greutate",INDEX('PI Furnizor'!$O:$O,ROW()-3),IF(INDEX(Comenzi!$AM:$AM,$X314)="Volum (CBM)",INDEX('PI Furnizor'!$Q:$Q,ROW()-3),IF(INDEX(Comenzi!$AM:$AM,$X314)="Valoare marfa",INDEX('PI Furnizor'!$N:$N,ROW()-3),$E314))))</f>
        <v/>
      </c>
    </row>
    <row r="315" spans="1:31" x14ac:dyDescent="0.3">
      <c r="A315" s="28" t="str">
        <f>IF(COUNTA(INDEX('PI Furnizor'!$A:$E,ROW()-3,0))=0,"",IF(INDEX('PI Furnizor'!$A:$A,ROW()-3)="","?",INDEX('PI Furnizor'!$A:$A,ROW()-3)))</f>
        <v/>
      </c>
      <c r="B315" s="29" t="str">
        <f>IF(ISNUMBER($X315),INDEX(Comenzi!$B:$B,$X315),"")</f>
        <v/>
      </c>
      <c r="C315" s="28" t="str">
        <f>IF($A315="","",INDEX('PI Furnizor'!$B:$B,ROW()-3)&amp;"")</f>
        <v/>
      </c>
      <c r="D315" s="28" t="str">
        <f>IF($A315="","",INDEX('PI Furnizor'!$C:$C,ROW()-3)&amp;"")</f>
        <v/>
      </c>
      <c r="E315" s="30" t="str">
        <f>IF($A315="","",N(INDEX('PI Furnizor'!$D:$D,ROW()-3)))</f>
        <v/>
      </c>
      <c r="F315" s="31" t="str">
        <f>IF(ISNUMBER($X315),INDEX(Comenzi!$G:$G,$X315),"")</f>
        <v/>
      </c>
      <c r="G315" s="32" t="str">
        <f>IF($A315="","",N(INDEX('PI Furnizor'!$E:$E,ROW()-3)))</f>
        <v/>
      </c>
      <c r="H315" s="33" t="str">
        <f t="shared" si="52"/>
        <v/>
      </c>
      <c r="I315" s="34" t="str">
        <f>IF($Y315&lt;&gt;1,"",IFERROR($AE315/INDEX(Comenzi!$AN:$AN,$X315),0))</f>
        <v/>
      </c>
      <c r="J315" s="33" t="str">
        <f>IF($Y315&lt;&gt;1,"",INDEX(Comenzi!$AG:$AG,$X315)*$I315/$E315)</f>
        <v/>
      </c>
      <c r="K315" s="33" t="str">
        <f t="shared" si="53"/>
        <v/>
      </c>
      <c r="L315" s="33" t="str">
        <f>IF($Y315&lt;&gt;1,"",$K315*$AD315+INDEX(Comenzi!$AJ:$AJ,$X315)*$I315/$E315)</f>
        <v/>
      </c>
      <c r="M315" s="33" t="str">
        <f t="shared" si="54"/>
        <v/>
      </c>
      <c r="N315" s="33" t="str">
        <f t="shared" si="55"/>
        <v/>
      </c>
      <c r="O315" s="33" t="str">
        <f>IF($Y315&lt;&gt;1,"",(INDEX(Comenzi!$AK:$AK,$X315)+N(INDEX(Comenzi!$T:$T,$X315)))*$I315/$E315)</f>
        <v/>
      </c>
      <c r="P315" s="35" t="str">
        <f t="shared" si="56"/>
        <v/>
      </c>
      <c r="Q315" s="36" t="str">
        <f t="shared" si="57"/>
        <v/>
      </c>
      <c r="R315" s="37" t="str">
        <f t="shared" si="58"/>
        <v/>
      </c>
      <c r="S315" s="38" t="str">
        <f t="shared" si="59"/>
        <v/>
      </c>
      <c r="T315" s="39" t="str">
        <f t="shared" si="60"/>
        <v/>
      </c>
      <c r="U315" s="40" t="str">
        <f t="shared" si="61"/>
        <v/>
      </c>
      <c r="V315" s="33" t="str">
        <f t="shared" si="62"/>
        <v/>
      </c>
      <c r="W315" s="33" t="str">
        <f t="shared" si="63"/>
        <v/>
      </c>
      <c r="X315" s="41" t="str">
        <f>IF($A315="","",IFERROR(MATCH($A315,Comenzi!$A$9:$A$108,0)+8,""))</f>
        <v/>
      </c>
      <c r="Y315" s="41" t="str">
        <f t="shared" si="64"/>
        <v/>
      </c>
      <c r="Z315" s="42" t="str">
        <f>IF($A315="","",IF($A315="?","Lipseste ID-ul comenzii (col. A din PI Furnizor)",IF(NOT(ISNUMBER($X315)),"ID comanda negasit in foaia Comenzi",IF(N($E315)&lt;=0,"Lipseste cantitatea",IF(N($G315)=0,"Pret unitar lipsa",IF($Y315&lt;&gt;1,"Curs sau moneda marfa lipsa (foaia Comenzi)",IF(INDEX(Comenzi!$AT:$AT,$X315)&lt;&gt;"OK","Avertisment comanda: "&amp;INDEX(Comenzi!$AT:$AT,$X315),"OK")))))))</f>
        <v/>
      </c>
      <c r="AA315" s="43" t="str">
        <f>IF(ISNUMBER($X315),INDEX(Comenzi!$H:$H,$X315),"")</f>
        <v/>
      </c>
      <c r="AB315" s="43" t="str">
        <f>IF(ISNUMBER($X315),INDEX(Comenzi!$I:$I,$X315),"")</f>
        <v/>
      </c>
      <c r="AC315" s="44" t="str">
        <f>IF(ISNUMBER($X315),IF(INDEX(Comenzi!$V:$V,$X315)="",Comenzi!$D$3,INDEX(Comenzi!$V:$V,$X315)),"")</f>
        <v/>
      </c>
      <c r="AD315" s="44" t="str">
        <f>IF(ISNUMBER($X315),IF(INDEX(Comenzi!$U:$U,$X315)="",Comenzi!$D$4,INDEX(Comenzi!$U:$U,$X315)),"")</f>
        <v/>
      </c>
      <c r="AE315" s="45" t="str">
        <f>IF($Y315&lt;&gt;1,"",IF(INDEX(Comenzi!$AM:$AM,$X315)="Greutate",INDEX('PI Furnizor'!$O:$O,ROW()-3),IF(INDEX(Comenzi!$AM:$AM,$X315)="Volum (CBM)",INDEX('PI Furnizor'!$Q:$Q,ROW()-3),IF(INDEX(Comenzi!$AM:$AM,$X315)="Valoare marfa",INDEX('PI Furnizor'!$N:$N,ROW()-3),$E315))))</f>
        <v/>
      </c>
    </row>
    <row r="316" spans="1:31" x14ac:dyDescent="0.3">
      <c r="A316" s="28" t="str">
        <f>IF(COUNTA(INDEX('PI Furnizor'!$A:$E,ROW()-3,0))=0,"",IF(INDEX('PI Furnizor'!$A:$A,ROW()-3)="","?",INDEX('PI Furnizor'!$A:$A,ROW()-3)))</f>
        <v/>
      </c>
      <c r="B316" s="29" t="str">
        <f>IF(ISNUMBER($X316),INDEX(Comenzi!$B:$B,$X316),"")</f>
        <v/>
      </c>
      <c r="C316" s="28" t="str">
        <f>IF($A316="","",INDEX('PI Furnizor'!$B:$B,ROW()-3)&amp;"")</f>
        <v/>
      </c>
      <c r="D316" s="28" t="str">
        <f>IF($A316="","",INDEX('PI Furnizor'!$C:$C,ROW()-3)&amp;"")</f>
        <v/>
      </c>
      <c r="E316" s="30" t="str">
        <f>IF($A316="","",N(INDEX('PI Furnizor'!$D:$D,ROW()-3)))</f>
        <v/>
      </c>
      <c r="F316" s="31" t="str">
        <f>IF(ISNUMBER($X316),INDEX(Comenzi!$G:$G,$X316),"")</f>
        <v/>
      </c>
      <c r="G316" s="32" t="str">
        <f>IF($A316="","",N(INDEX('PI Furnizor'!$E:$E,ROW()-3)))</f>
        <v/>
      </c>
      <c r="H316" s="33" t="str">
        <f t="shared" si="52"/>
        <v/>
      </c>
      <c r="I316" s="34" t="str">
        <f>IF($Y316&lt;&gt;1,"",IFERROR($AE316/INDEX(Comenzi!$AN:$AN,$X316),0))</f>
        <v/>
      </c>
      <c r="J316" s="33" t="str">
        <f>IF($Y316&lt;&gt;1,"",INDEX(Comenzi!$AG:$AG,$X316)*$I316/$E316)</f>
        <v/>
      </c>
      <c r="K316" s="33" t="str">
        <f t="shared" si="53"/>
        <v/>
      </c>
      <c r="L316" s="33" t="str">
        <f>IF($Y316&lt;&gt;1,"",$K316*$AD316+INDEX(Comenzi!$AJ:$AJ,$X316)*$I316/$E316)</f>
        <v/>
      </c>
      <c r="M316" s="33" t="str">
        <f t="shared" si="54"/>
        <v/>
      </c>
      <c r="N316" s="33" t="str">
        <f t="shared" si="55"/>
        <v/>
      </c>
      <c r="O316" s="33" t="str">
        <f>IF($Y316&lt;&gt;1,"",(INDEX(Comenzi!$AK:$AK,$X316)+N(INDEX(Comenzi!$T:$T,$X316)))*$I316/$E316)</f>
        <v/>
      </c>
      <c r="P316" s="35" t="str">
        <f t="shared" si="56"/>
        <v/>
      </c>
      <c r="Q316" s="36" t="str">
        <f t="shared" si="57"/>
        <v/>
      </c>
      <c r="R316" s="37" t="str">
        <f t="shared" si="58"/>
        <v/>
      </c>
      <c r="S316" s="38" t="str">
        <f t="shared" si="59"/>
        <v/>
      </c>
      <c r="T316" s="39" t="str">
        <f t="shared" si="60"/>
        <v/>
      </c>
      <c r="U316" s="40" t="str">
        <f t="shared" si="61"/>
        <v/>
      </c>
      <c r="V316" s="33" t="str">
        <f t="shared" si="62"/>
        <v/>
      </c>
      <c r="W316" s="33" t="str">
        <f t="shared" si="63"/>
        <v/>
      </c>
      <c r="X316" s="41" t="str">
        <f>IF($A316="","",IFERROR(MATCH($A316,Comenzi!$A$9:$A$108,0)+8,""))</f>
        <v/>
      </c>
      <c r="Y316" s="41" t="str">
        <f t="shared" si="64"/>
        <v/>
      </c>
      <c r="Z316" s="42" t="str">
        <f>IF($A316="","",IF($A316="?","Lipseste ID-ul comenzii (col. A din PI Furnizor)",IF(NOT(ISNUMBER($X316)),"ID comanda negasit in foaia Comenzi",IF(N($E316)&lt;=0,"Lipseste cantitatea",IF(N($G316)=0,"Pret unitar lipsa",IF($Y316&lt;&gt;1,"Curs sau moneda marfa lipsa (foaia Comenzi)",IF(INDEX(Comenzi!$AT:$AT,$X316)&lt;&gt;"OK","Avertisment comanda: "&amp;INDEX(Comenzi!$AT:$AT,$X316),"OK")))))))</f>
        <v/>
      </c>
      <c r="AA316" s="43" t="str">
        <f>IF(ISNUMBER($X316),INDEX(Comenzi!$H:$H,$X316),"")</f>
        <v/>
      </c>
      <c r="AB316" s="43" t="str">
        <f>IF(ISNUMBER($X316),INDEX(Comenzi!$I:$I,$X316),"")</f>
        <v/>
      </c>
      <c r="AC316" s="44" t="str">
        <f>IF(ISNUMBER($X316),IF(INDEX(Comenzi!$V:$V,$X316)="",Comenzi!$D$3,INDEX(Comenzi!$V:$V,$X316)),"")</f>
        <v/>
      </c>
      <c r="AD316" s="44" t="str">
        <f>IF(ISNUMBER($X316),IF(INDEX(Comenzi!$U:$U,$X316)="",Comenzi!$D$4,INDEX(Comenzi!$U:$U,$X316)),"")</f>
        <v/>
      </c>
      <c r="AE316" s="45" t="str">
        <f>IF($Y316&lt;&gt;1,"",IF(INDEX(Comenzi!$AM:$AM,$X316)="Greutate",INDEX('PI Furnizor'!$O:$O,ROW()-3),IF(INDEX(Comenzi!$AM:$AM,$X316)="Volum (CBM)",INDEX('PI Furnizor'!$Q:$Q,ROW()-3),IF(INDEX(Comenzi!$AM:$AM,$X316)="Valoare marfa",INDEX('PI Furnizor'!$N:$N,ROW()-3),$E316))))</f>
        <v/>
      </c>
    </row>
    <row r="317" spans="1:31" x14ac:dyDescent="0.3">
      <c r="A317" s="28" t="str">
        <f>IF(COUNTA(INDEX('PI Furnizor'!$A:$E,ROW()-3,0))=0,"",IF(INDEX('PI Furnizor'!$A:$A,ROW()-3)="","?",INDEX('PI Furnizor'!$A:$A,ROW()-3)))</f>
        <v/>
      </c>
      <c r="B317" s="29" t="str">
        <f>IF(ISNUMBER($X317),INDEX(Comenzi!$B:$B,$X317),"")</f>
        <v/>
      </c>
      <c r="C317" s="28" t="str">
        <f>IF($A317="","",INDEX('PI Furnizor'!$B:$B,ROW()-3)&amp;"")</f>
        <v/>
      </c>
      <c r="D317" s="28" t="str">
        <f>IF($A317="","",INDEX('PI Furnizor'!$C:$C,ROW()-3)&amp;"")</f>
        <v/>
      </c>
      <c r="E317" s="30" t="str">
        <f>IF($A317="","",N(INDEX('PI Furnizor'!$D:$D,ROW()-3)))</f>
        <v/>
      </c>
      <c r="F317" s="31" t="str">
        <f>IF(ISNUMBER($X317),INDEX(Comenzi!$G:$G,$X317),"")</f>
        <v/>
      </c>
      <c r="G317" s="32" t="str">
        <f>IF($A317="","",N(INDEX('PI Furnizor'!$E:$E,ROW()-3)))</f>
        <v/>
      </c>
      <c r="H317" s="33" t="str">
        <f t="shared" si="52"/>
        <v/>
      </c>
      <c r="I317" s="34" t="str">
        <f>IF($Y317&lt;&gt;1,"",IFERROR($AE317/INDEX(Comenzi!$AN:$AN,$X317),0))</f>
        <v/>
      </c>
      <c r="J317" s="33" t="str">
        <f>IF($Y317&lt;&gt;1,"",INDEX(Comenzi!$AG:$AG,$X317)*$I317/$E317)</f>
        <v/>
      </c>
      <c r="K317" s="33" t="str">
        <f t="shared" si="53"/>
        <v/>
      </c>
      <c r="L317" s="33" t="str">
        <f>IF($Y317&lt;&gt;1,"",$K317*$AD317+INDEX(Comenzi!$AJ:$AJ,$X317)*$I317/$E317)</f>
        <v/>
      </c>
      <c r="M317" s="33" t="str">
        <f t="shared" si="54"/>
        <v/>
      </c>
      <c r="N317" s="33" t="str">
        <f t="shared" si="55"/>
        <v/>
      </c>
      <c r="O317" s="33" t="str">
        <f>IF($Y317&lt;&gt;1,"",(INDEX(Comenzi!$AK:$AK,$X317)+N(INDEX(Comenzi!$T:$T,$X317)))*$I317/$E317)</f>
        <v/>
      </c>
      <c r="P317" s="35" t="str">
        <f t="shared" si="56"/>
        <v/>
      </c>
      <c r="Q317" s="36" t="str">
        <f t="shared" si="57"/>
        <v/>
      </c>
      <c r="R317" s="37" t="str">
        <f t="shared" si="58"/>
        <v/>
      </c>
      <c r="S317" s="38" t="str">
        <f t="shared" si="59"/>
        <v/>
      </c>
      <c r="T317" s="39" t="str">
        <f t="shared" si="60"/>
        <v/>
      </c>
      <c r="U317" s="40" t="str">
        <f t="shared" si="61"/>
        <v/>
      </c>
      <c r="V317" s="33" t="str">
        <f t="shared" si="62"/>
        <v/>
      </c>
      <c r="W317" s="33" t="str">
        <f t="shared" si="63"/>
        <v/>
      </c>
      <c r="X317" s="41" t="str">
        <f>IF($A317="","",IFERROR(MATCH($A317,Comenzi!$A$9:$A$108,0)+8,""))</f>
        <v/>
      </c>
      <c r="Y317" s="41" t="str">
        <f t="shared" si="64"/>
        <v/>
      </c>
      <c r="Z317" s="42" t="str">
        <f>IF($A317="","",IF($A317="?","Lipseste ID-ul comenzii (col. A din PI Furnizor)",IF(NOT(ISNUMBER($X317)),"ID comanda negasit in foaia Comenzi",IF(N($E317)&lt;=0,"Lipseste cantitatea",IF(N($G317)=0,"Pret unitar lipsa",IF($Y317&lt;&gt;1,"Curs sau moneda marfa lipsa (foaia Comenzi)",IF(INDEX(Comenzi!$AT:$AT,$X317)&lt;&gt;"OK","Avertisment comanda: "&amp;INDEX(Comenzi!$AT:$AT,$X317),"OK")))))))</f>
        <v/>
      </c>
      <c r="AA317" s="43" t="str">
        <f>IF(ISNUMBER($X317),INDEX(Comenzi!$H:$H,$X317),"")</f>
        <v/>
      </c>
      <c r="AB317" s="43" t="str">
        <f>IF(ISNUMBER($X317),INDEX(Comenzi!$I:$I,$X317),"")</f>
        <v/>
      </c>
      <c r="AC317" s="44" t="str">
        <f>IF(ISNUMBER($X317),IF(INDEX(Comenzi!$V:$V,$X317)="",Comenzi!$D$3,INDEX(Comenzi!$V:$V,$X317)),"")</f>
        <v/>
      </c>
      <c r="AD317" s="44" t="str">
        <f>IF(ISNUMBER($X317),IF(INDEX(Comenzi!$U:$U,$X317)="",Comenzi!$D$4,INDEX(Comenzi!$U:$U,$X317)),"")</f>
        <v/>
      </c>
      <c r="AE317" s="45" t="str">
        <f>IF($Y317&lt;&gt;1,"",IF(INDEX(Comenzi!$AM:$AM,$X317)="Greutate",INDEX('PI Furnizor'!$O:$O,ROW()-3),IF(INDEX(Comenzi!$AM:$AM,$X317)="Volum (CBM)",INDEX('PI Furnizor'!$Q:$Q,ROW()-3),IF(INDEX(Comenzi!$AM:$AM,$X317)="Valoare marfa",INDEX('PI Furnizor'!$N:$N,ROW()-3),$E317))))</f>
        <v/>
      </c>
    </row>
    <row r="318" spans="1:31" x14ac:dyDescent="0.3">
      <c r="A318" s="28" t="str">
        <f>IF(COUNTA(INDEX('PI Furnizor'!$A:$E,ROW()-3,0))=0,"",IF(INDEX('PI Furnizor'!$A:$A,ROW()-3)="","?",INDEX('PI Furnizor'!$A:$A,ROW()-3)))</f>
        <v/>
      </c>
      <c r="B318" s="29" t="str">
        <f>IF(ISNUMBER($X318),INDEX(Comenzi!$B:$B,$X318),"")</f>
        <v/>
      </c>
      <c r="C318" s="28" t="str">
        <f>IF($A318="","",INDEX('PI Furnizor'!$B:$B,ROW()-3)&amp;"")</f>
        <v/>
      </c>
      <c r="D318" s="28" t="str">
        <f>IF($A318="","",INDEX('PI Furnizor'!$C:$C,ROW()-3)&amp;"")</f>
        <v/>
      </c>
      <c r="E318" s="30" t="str">
        <f>IF($A318="","",N(INDEX('PI Furnizor'!$D:$D,ROW()-3)))</f>
        <v/>
      </c>
      <c r="F318" s="31" t="str">
        <f>IF(ISNUMBER($X318),INDEX(Comenzi!$G:$G,$X318),"")</f>
        <v/>
      </c>
      <c r="G318" s="32" t="str">
        <f>IF($A318="","",N(INDEX('PI Furnizor'!$E:$E,ROW()-3)))</f>
        <v/>
      </c>
      <c r="H318" s="33" t="str">
        <f t="shared" si="52"/>
        <v/>
      </c>
      <c r="I318" s="34" t="str">
        <f>IF($Y318&lt;&gt;1,"",IFERROR($AE318/INDEX(Comenzi!$AN:$AN,$X318),0))</f>
        <v/>
      </c>
      <c r="J318" s="33" t="str">
        <f>IF($Y318&lt;&gt;1,"",INDEX(Comenzi!$AG:$AG,$X318)*$I318/$E318)</f>
        <v/>
      </c>
      <c r="K318" s="33" t="str">
        <f t="shared" si="53"/>
        <v/>
      </c>
      <c r="L318" s="33" t="str">
        <f>IF($Y318&lt;&gt;1,"",$K318*$AD318+INDEX(Comenzi!$AJ:$AJ,$X318)*$I318/$E318)</f>
        <v/>
      </c>
      <c r="M318" s="33" t="str">
        <f t="shared" si="54"/>
        <v/>
      </c>
      <c r="N318" s="33" t="str">
        <f t="shared" si="55"/>
        <v/>
      </c>
      <c r="O318" s="33" t="str">
        <f>IF($Y318&lt;&gt;1,"",(INDEX(Comenzi!$AK:$AK,$X318)+N(INDEX(Comenzi!$T:$T,$X318)))*$I318/$E318)</f>
        <v/>
      </c>
      <c r="P318" s="35" t="str">
        <f t="shared" si="56"/>
        <v/>
      </c>
      <c r="Q318" s="36" t="str">
        <f t="shared" si="57"/>
        <v/>
      </c>
      <c r="R318" s="37" t="str">
        <f t="shared" si="58"/>
        <v/>
      </c>
      <c r="S318" s="38" t="str">
        <f t="shared" si="59"/>
        <v/>
      </c>
      <c r="T318" s="39" t="str">
        <f t="shared" si="60"/>
        <v/>
      </c>
      <c r="U318" s="40" t="str">
        <f t="shared" si="61"/>
        <v/>
      </c>
      <c r="V318" s="33" t="str">
        <f t="shared" si="62"/>
        <v/>
      </c>
      <c r="W318" s="33" t="str">
        <f t="shared" si="63"/>
        <v/>
      </c>
      <c r="X318" s="41" t="str">
        <f>IF($A318="","",IFERROR(MATCH($A318,Comenzi!$A$9:$A$108,0)+8,""))</f>
        <v/>
      </c>
      <c r="Y318" s="41" t="str">
        <f t="shared" si="64"/>
        <v/>
      </c>
      <c r="Z318" s="42" t="str">
        <f>IF($A318="","",IF($A318="?","Lipseste ID-ul comenzii (col. A din PI Furnizor)",IF(NOT(ISNUMBER($X318)),"ID comanda negasit in foaia Comenzi",IF(N($E318)&lt;=0,"Lipseste cantitatea",IF(N($G318)=0,"Pret unitar lipsa",IF($Y318&lt;&gt;1,"Curs sau moneda marfa lipsa (foaia Comenzi)",IF(INDEX(Comenzi!$AT:$AT,$X318)&lt;&gt;"OK","Avertisment comanda: "&amp;INDEX(Comenzi!$AT:$AT,$X318),"OK")))))))</f>
        <v/>
      </c>
      <c r="AA318" s="43" t="str">
        <f>IF(ISNUMBER($X318),INDEX(Comenzi!$H:$H,$X318),"")</f>
        <v/>
      </c>
      <c r="AB318" s="43" t="str">
        <f>IF(ISNUMBER($X318),INDEX(Comenzi!$I:$I,$X318),"")</f>
        <v/>
      </c>
      <c r="AC318" s="44" t="str">
        <f>IF(ISNUMBER($X318),IF(INDEX(Comenzi!$V:$V,$X318)="",Comenzi!$D$3,INDEX(Comenzi!$V:$V,$X318)),"")</f>
        <v/>
      </c>
      <c r="AD318" s="44" t="str">
        <f>IF(ISNUMBER($X318),IF(INDEX(Comenzi!$U:$U,$X318)="",Comenzi!$D$4,INDEX(Comenzi!$U:$U,$X318)),"")</f>
        <v/>
      </c>
      <c r="AE318" s="45" t="str">
        <f>IF($Y318&lt;&gt;1,"",IF(INDEX(Comenzi!$AM:$AM,$X318)="Greutate",INDEX('PI Furnizor'!$O:$O,ROW()-3),IF(INDEX(Comenzi!$AM:$AM,$X318)="Volum (CBM)",INDEX('PI Furnizor'!$Q:$Q,ROW()-3),IF(INDEX(Comenzi!$AM:$AM,$X318)="Valoare marfa",INDEX('PI Furnizor'!$N:$N,ROW()-3),$E318))))</f>
        <v/>
      </c>
    </row>
    <row r="319" spans="1:31" x14ac:dyDescent="0.3">
      <c r="A319" s="28" t="str">
        <f>IF(COUNTA(INDEX('PI Furnizor'!$A:$E,ROW()-3,0))=0,"",IF(INDEX('PI Furnizor'!$A:$A,ROW()-3)="","?",INDEX('PI Furnizor'!$A:$A,ROW()-3)))</f>
        <v/>
      </c>
      <c r="B319" s="29" t="str">
        <f>IF(ISNUMBER($X319),INDEX(Comenzi!$B:$B,$X319),"")</f>
        <v/>
      </c>
      <c r="C319" s="28" t="str">
        <f>IF($A319="","",INDEX('PI Furnizor'!$B:$B,ROW()-3)&amp;"")</f>
        <v/>
      </c>
      <c r="D319" s="28" t="str">
        <f>IF($A319="","",INDEX('PI Furnizor'!$C:$C,ROW()-3)&amp;"")</f>
        <v/>
      </c>
      <c r="E319" s="30" t="str">
        <f>IF($A319="","",N(INDEX('PI Furnizor'!$D:$D,ROW()-3)))</f>
        <v/>
      </c>
      <c r="F319" s="31" t="str">
        <f>IF(ISNUMBER($X319),INDEX(Comenzi!$G:$G,$X319),"")</f>
        <v/>
      </c>
      <c r="G319" s="32" t="str">
        <f>IF($A319="","",N(INDEX('PI Furnizor'!$E:$E,ROW()-3)))</f>
        <v/>
      </c>
      <c r="H319" s="33" t="str">
        <f t="shared" si="52"/>
        <v/>
      </c>
      <c r="I319" s="34" t="str">
        <f>IF($Y319&lt;&gt;1,"",IFERROR($AE319/INDEX(Comenzi!$AN:$AN,$X319),0))</f>
        <v/>
      </c>
      <c r="J319" s="33" t="str">
        <f>IF($Y319&lt;&gt;1,"",INDEX(Comenzi!$AG:$AG,$X319)*$I319/$E319)</f>
        <v/>
      </c>
      <c r="K319" s="33" t="str">
        <f t="shared" si="53"/>
        <v/>
      </c>
      <c r="L319" s="33" t="str">
        <f>IF($Y319&lt;&gt;1,"",$K319*$AD319+INDEX(Comenzi!$AJ:$AJ,$X319)*$I319/$E319)</f>
        <v/>
      </c>
      <c r="M319" s="33" t="str">
        <f t="shared" si="54"/>
        <v/>
      </c>
      <c r="N319" s="33" t="str">
        <f t="shared" si="55"/>
        <v/>
      </c>
      <c r="O319" s="33" t="str">
        <f>IF($Y319&lt;&gt;1,"",(INDEX(Comenzi!$AK:$AK,$X319)+N(INDEX(Comenzi!$T:$T,$X319)))*$I319/$E319)</f>
        <v/>
      </c>
      <c r="P319" s="35" t="str">
        <f t="shared" si="56"/>
        <v/>
      </c>
      <c r="Q319" s="36" t="str">
        <f t="shared" si="57"/>
        <v/>
      </c>
      <c r="R319" s="37" t="str">
        <f t="shared" si="58"/>
        <v/>
      </c>
      <c r="S319" s="38" t="str">
        <f t="shared" si="59"/>
        <v/>
      </c>
      <c r="T319" s="39" t="str">
        <f t="shared" si="60"/>
        <v/>
      </c>
      <c r="U319" s="40" t="str">
        <f t="shared" si="61"/>
        <v/>
      </c>
      <c r="V319" s="33" t="str">
        <f t="shared" si="62"/>
        <v/>
      </c>
      <c r="W319" s="33" t="str">
        <f t="shared" si="63"/>
        <v/>
      </c>
      <c r="X319" s="41" t="str">
        <f>IF($A319="","",IFERROR(MATCH($A319,Comenzi!$A$9:$A$108,0)+8,""))</f>
        <v/>
      </c>
      <c r="Y319" s="41" t="str">
        <f t="shared" si="64"/>
        <v/>
      </c>
      <c r="Z319" s="42" t="str">
        <f>IF($A319="","",IF($A319="?","Lipseste ID-ul comenzii (col. A din PI Furnizor)",IF(NOT(ISNUMBER($X319)),"ID comanda negasit in foaia Comenzi",IF(N($E319)&lt;=0,"Lipseste cantitatea",IF(N($G319)=0,"Pret unitar lipsa",IF($Y319&lt;&gt;1,"Curs sau moneda marfa lipsa (foaia Comenzi)",IF(INDEX(Comenzi!$AT:$AT,$X319)&lt;&gt;"OK","Avertisment comanda: "&amp;INDEX(Comenzi!$AT:$AT,$X319),"OK")))))))</f>
        <v/>
      </c>
      <c r="AA319" s="43" t="str">
        <f>IF(ISNUMBER($X319),INDEX(Comenzi!$H:$H,$X319),"")</f>
        <v/>
      </c>
      <c r="AB319" s="43" t="str">
        <f>IF(ISNUMBER($X319),INDEX(Comenzi!$I:$I,$X319),"")</f>
        <v/>
      </c>
      <c r="AC319" s="44" t="str">
        <f>IF(ISNUMBER($X319),IF(INDEX(Comenzi!$V:$V,$X319)="",Comenzi!$D$3,INDEX(Comenzi!$V:$V,$X319)),"")</f>
        <v/>
      </c>
      <c r="AD319" s="44" t="str">
        <f>IF(ISNUMBER($X319),IF(INDEX(Comenzi!$U:$U,$X319)="",Comenzi!$D$4,INDEX(Comenzi!$U:$U,$X319)),"")</f>
        <v/>
      </c>
      <c r="AE319" s="45" t="str">
        <f>IF($Y319&lt;&gt;1,"",IF(INDEX(Comenzi!$AM:$AM,$X319)="Greutate",INDEX('PI Furnizor'!$O:$O,ROW()-3),IF(INDEX(Comenzi!$AM:$AM,$X319)="Volum (CBM)",INDEX('PI Furnizor'!$Q:$Q,ROW()-3),IF(INDEX(Comenzi!$AM:$AM,$X319)="Valoare marfa",INDEX('PI Furnizor'!$N:$N,ROW()-3),$E319))))</f>
        <v/>
      </c>
    </row>
    <row r="320" spans="1:31" x14ac:dyDescent="0.3">
      <c r="A320" s="28" t="str">
        <f>IF(COUNTA(INDEX('PI Furnizor'!$A:$E,ROW()-3,0))=0,"",IF(INDEX('PI Furnizor'!$A:$A,ROW()-3)="","?",INDEX('PI Furnizor'!$A:$A,ROW()-3)))</f>
        <v/>
      </c>
      <c r="B320" s="29" t="str">
        <f>IF(ISNUMBER($X320),INDEX(Comenzi!$B:$B,$X320),"")</f>
        <v/>
      </c>
      <c r="C320" s="28" t="str">
        <f>IF($A320="","",INDEX('PI Furnizor'!$B:$B,ROW()-3)&amp;"")</f>
        <v/>
      </c>
      <c r="D320" s="28" t="str">
        <f>IF($A320="","",INDEX('PI Furnizor'!$C:$C,ROW()-3)&amp;"")</f>
        <v/>
      </c>
      <c r="E320" s="30" t="str">
        <f>IF($A320="","",N(INDEX('PI Furnizor'!$D:$D,ROW()-3)))</f>
        <v/>
      </c>
      <c r="F320" s="31" t="str">
        <f>IF(ISNUMBER($X320),INDEX(Comenzi!$G:$G,$X320),"")</f>
        <v/>
      </c>
      <c r="G320" s="32" t="str">
        <f>IF($A320="","",N(INDEX('PI Furnizor'!$E:$E,ROW()-3)))</f>
        <v/>
      </c>
      <c r="H320" s="33" t="str">
        <f t="shared" si="52"/>
        <v/>
      </c>
      <c r="I320" s="34" t="str">
        <f>IF($Y320&lt;&gt;1,"",IFERROR($AE320/INDEX(Comenzi!$AN:$AN,$X320),0))</f>
        <v/>
      </c>
      <c r="J320" s="33" t="str">
        <f>IF($Y320&lt;&gt;1,"",INDEX(Comenzi!$AG:$AG,$X320)*$I320/$E320)</f>
        <v/>
      </c>
      <c r="K320" s="33" t="str">
        <f t="shared" si="53"/>
        <v/>
      </c>
      <c r="L320" s="33" t="str">
        <f>IF($Y320&lt;&gt;1,"",$K320*$AD320+INDEX(Comenzi!$AJ:$AJ,$X320)*$I320/$E320)</f>
        <v/>
      </c>
      <c r="M320" s="33" t="str">
        <f t="shared" si="54"/>
        <v/>
      </c>
      <c r="N320" s="33" t="str">
        <f t="shared" si="55"/>
        <v/>
      </c>
      <c r="O320" s="33" t="str">
        <f>IF($Y320&lt;&gt;1,"",(INDEX(Comenzi!$AK:$AK,$X320)+N(INDEX(Comenzi!$T:$T,$X320)))*$I320/$E320)</f>
        <v/>
      </c>
      <c r="P320" s="35" t="str">
        <f t="shared" si="56"/>
        <v/>
      </c>
      <c r="Q320" s="36" t="str">
        <f t="shared" si="57"/>
        <v/>
      </c>
      <c r="R320" s="37" t="str">
        <f t="shared" si="58"/>
        <v/>
      </c>
      <c r="S320" s="38" t="str">
        <f t="shared" si="59"/>
        <v/>
      </c>
      <c r="T320" s="39" t="str">
        <f t="shared" si="60"/>
        <v/>
      </c>
      <c r="U320" s="40" t="str">
        <f t="shared" si="61"/>
        <v/>
      </c>
      <c r="V320" s="33" t="str">
        <f t="shared" si="62"/>
        <v/>
      </c>
      <c r="W320" s="33" t="str">
        <f t="shared" si="63"/>
        <v/>
      </c>
      <c r="X320" s="41" t="str">
        <f>IF($A320="","",IFERROR(MATCH($A320,Comenzi!$A$9:$A$108,0)+8,""))</f>
        <v/>
      </c>
      <c r="Y320" s="41" t="str">
        <f t="shared" si="64"/>
        <v/>
      </c>
      <c r="Z320" s="42" t="str">
        <f>IF($A320="","",IF($A320="?","Lipseste ID-ul comenzii (col. A din PI Furnizor)",IF(NOT(ISNUMBER($X320)),"ID comanda negasit in foaia Comenzi",IF(N($E320)&lt;=0,"Lipseste cantitatea",IF(N($G320)=0,"Pret unitar lipsa",IF($Y320&lt;&gt;1,"Curs sau moneda marfa lipsa (foaia Comenzi)",IF(INDEX(Comenzi!$AT:$AT,$X320)&lt;&gt;"OK","Avertisment comanda: "&amp;INDEX(Comenzi!$AT:$AT,$X320),"OK")))))))</f>
        <v/>
      </c>
      <c r="AA320" s="43" t="str">
        <f>IF(ISNUMBER($X320),INDEX(Comenzi!$H:$H,$X320),"")</f>
        <v/>
      </c>
      <c r="AB320" s="43" t="str">
        <f>IF(ISNUMBER($X320),INDEX(Comenzi!$I:$I,$X320),"")</f>
        <v/>
      </c>
      <c r="AC320" s="44" t="str">
        <f>IF(ISNUMBER($X320),IF(INDEX(Comenzi!$V:$V,$X320)="",Comenzi!$D$3,INDEX(Comenzi!$V:$V,$X320)),"")</f>
        <v/>
      </c>
      <c r="AD320" s="44" t="str">
        <f>IF(ISNUMBER($X320),IF(INDEX(Comenzi!$U:$U,$X320)="",Comenzi!$D$4,INDEX(Comenzi!$U:$U,$X320)),"")</f>
        <v/>
      </c>
      <c r="AE320" s="45" t="str">
        <f>IF($Y320&lt;&gt;1,"",IF(INDEX(Comenzi!$AM:$AM,$X320)="Greutate",INDEX('PI Furnizor'!$O:$O,ROW()-3),IF(INDEX(Comenzi!$AM:$AM,$X320)="Volum (CBM)",INDEX('PI Furnizor'!$Q:$Q,ROW()-3),IF(INDEX(Comenzi!$AM:$AM,$X320)="Valoare marfa",INDEX('PI Furnizor'!$N:$N,ROW()-3),$E320))))</f>
        <v/>
      </c>
    </row>
    <row r="321" spans="1:31" x14ac:dyDescent="0.3">
      <c r="A321" s="28" t="str">
        <f>IF(COUNTA(INDEX('PI Furnizor'!$A:$E,ROW()-3,0))=0,"",IF(INDEX('PI Furnizor'!$A:$A,ROW()-3)="","?",INDEX('PI Furnizor'!$A:$A,ROW()-3)))</f>
        <v/>
      </c>
      <c r="B321" s="29" t="str">
        <f>IF(ISNUMBER($X321),INDEX(Comenzi!$B:$B,$X321),"")</f>
        <v/>
      </c>
      <c r="C321" s="28" t="str">
        <f>IF($A321="","",INDEX('PI Furnizor'!$B:$B,ROW()-3)&amp;"")</f>
        <v/>
      </c>
      <c r="D321" s="28" t="str">
        <f>IF($A321="","",INDEX('PI Furnizor'!$C:$C,ROW()-3)&amp;"")</f>
        <v/>
      </c>
      <c r="E321" s="30" t="str">
        <f>IF($A321="","",N(INDEX('PI Furnizor'!$D:$D,ROW()-3)))</f>
        <v/>
      </c>
      <c r="F321" s="31" t="str">
        <f>IF(ISNUMBER($X321),INDEX(Comenzi!$G:$G,$X321),"")</f>
        <v/>
      </c>
      <c r="G321" s="32" t="str">
        <f>IF($A321="","",N(INDEX('PI Furnizor'!$E:$E,ROW()-3)))</f>
        <v/>
      </c>
      <c r="H321" s="33" t="str">
        <f t="shared" si="52"/>
        <v/>
      </c>
      <c r="I321" s="34" t="str">
        <f>IF($Y321&lt;&gt;1,"",IFERROR($AE321/INDEX(Comenzi!$AN:$AN,$X321),0))</f>
        <v/>
      </c>
      <c r="J321" s="33" t="str">
        <f>IF($Y321&lt;&gt;1,"",INDEX(Comenzi!$AG:$AG,$X321)*$I321/$E321)</f>
        <v/>
      </c>
      <c r="K321" s="33" t="str">
        <f t="shared" si="53"/>
        <v/>
      </c>
      <c r="L321" s="33" t="str">
        <f>IF($Y321&lt;&gt;1,"",$K321*$AD321+INDEX(Comenzi!$AJ:$AJ,$X321)*$I321/$E321)</f>
        <v/>
      </c>
      <c r="M321" s="33" t="str">
        <f t="shared" si="54"/>
        <v/>
      </c>
      <c r="N321" s="33" t="str">
        <f t="shared" si="55"/>
        <v/>
      </c>
      <c r="O321" s="33" t="str">
        <f>IF($Y321&lt;&gt;1,"",(INDEX(Comenzi!$AK:$AK,$X321)+N(INDEX(Comenzi!$T:$T,$X321)))*$I321/$E321)</f>
        <v/>
      </c>
      <c r="P321" s="35" t="str">
        <f t="shared" si="56"/>
        <v/>
      </c>
      <c r="Q321" s="36" t="str">
        <f t="shared" si="57"/>
        <v/>
      </c>
      <c r="R321" s="37" t="str">
        <f t="shared" si="58"/>
        <v/>
      </c>
      <c r="S321" s="38" t="str">
        <f t="shared" si="59"/>
        <v/>
      </c>
      <c r="T321" s="39" t="str">
        <f t="shared" si="60"/>
        <v/>
      </c>
      <c r="U321" s="40" t="str">
        <f t="shared" si="61"/>
        <v/>
      </c>
      <c r="V321" s="33" t="str">
        <f t="shared" si="62"/>
        <v/>
      </c>
      <c r="W321" s="33" t="str">
        <f t="shared" si="63"/>
        <v/>
      </c>
      <c r="X321" s="41" t="str">
        <f>IF($A321="","",IFERROR(MATCH($A321,Comenzi!$A$9:$A$108,0)+8,""))</f>
        <v/>
      </c>
      <c r="Y321" s="41" t="str">
        <f t="shared" si="64"/>
        <v/>
      </c>
      <c r="Z321" s="42" t="str">
        <f>IF($A321="","",IF($A321="?","Lipseste ID-ul comenzii (col. A din PI Furnizor)",IF(NOT(ISNUMBER($X321)),"ID comanda negasit in foaia Comenzi",IF(N($E321)&lt;=0,"Lipseste cantitatea",IF(N($G321)=0,"Pret unitar lipsa",IF($Y321&lt;&gt;1,"Curs sau moneda marfa lipsa (foaia Comenzi)",IF(INDEX(Comenzi!$AT:$AT,$X321)&lt;&gt;"OK","Avertisment comanda: "&amp;INDEX(Comenzi!$AT:$AT,$X321),"OK")))))))</f>
        <v/>
      </c>
      <c r="AA321" s="43" t="str">
        <f>IF(ISNUMBER($X321),INDEX(Comenzi!$H:$H,$X321),"")</f>
        <v/>
      </c>
      <c r="AB321" s="43" t="str">
        <f>IF(ISNUMBER($X321),INDEX(Comenzi!$I:$I,$X321),"")</f>
        <v/>
      </c>
      <c r="AC321" s="44" t="str">
        <f>IF(ISNUMBER($X321),IF(INDEX(Comenzi!$V:$V,$X321)="",Comenzi!$D$3,INDEX(Comenzi!$V:$V,$X321)),"")</f>
        <v/>
      </c>
      <c r="AD321" s="44" t="str">
        <f>IF(ISNUMBER($X321),IF(INDEX(Comenzi!$U:$U,$X321)="",Comenzi!$D$4,INDEX(Comenzi!$U:$U,$X321)),"")</f>
        <v/>
      </c>
      <c r="AE321" s="45" t="str">
        <f>IF($Y321&lt;&gt;1,"",IF(INDEX(Comenzi!$AM:$AM,$X321)="Greutate",INDEX('PI Furnizor'!$O:$O,ROW()-3),IF(INDEX(Comenzi!$AM:$AM,$X321)="Volum (CBM)",INDEX('PI Furnizor'!$Q:$Q,ROW()-3),IF(INDEX(Comenzi!$AM:$AM,$X321)="Valoare marfa",INDEX('PI Furnizor'!$N:$N,ROW()-3),$E321))))</f>
        <v/>
      </c>
    </row>
    <row r="322" spans="1:31" x14ac:dyDescent="0.3">
      <c r="A322" s="28" t="str">
        <f>IF(COUNTA(INDEX('PI Furnizor'!$A:$E,ROW()-3,0))=0,"",IF(INDEX('PI Furnizor'!$A:$A,ROW()-3)="","?",INDEX('PI Furnizor'!$A:$A,ROW()-3)))</f>
        <v/>
      </c>
      <c r="B322" s="29" t="str">
        <f>IF(ISNUMBER($X322),INDEX(Comenzi!$B:$B,$X322),"")</f>
        <v/>
      </c>
      <c r="C322" s="28" t="str">
        <f>IF($A322="","",INDEX('PI Furnizor'!$B:$B,ROW()-3)&amp;"")</f>
        <v/>
      </c>
      <c r="D322" s="28" t="str">
        <f>IF($A322="","",INDEX('PI Furnizor'!$C:$C,ROW()-3)&amp;"")</f>
        <v/>
      </c>
      <c r="E322" s="30" t="str">
        <f>IF($A322="","",N(INDEX('PI Furnizor'!$D:$D,ROW()-3)))</f>
        <v/>
      </c>
      <c r="F322" s="31" t="str">
        <f>IF(ISNUMBER($X322),INDEX(Comenzi!$G:$G,$X322),"")</f>
        <v/>
      </c>
      <c r="G322" s="32" t="str">
        <f>IF($A322="","",N(INDEX('PI Furnizor'!$E:$E,ROW()-3)))</f>
        <v/>
      </c>
      <c r="H322" s="33" t="str">
        <f t="shared" si="52"/>
        <v/>
      </c>
      <c r="I322" s="34" t="str">
        <f>IF($Y322&lt;&gt;1,"",IFERROR($AE322/INDEX(Comenzi!$AN:$AN,$X322),0))</f>
        <v/>
      </c>
      <c r="J322" s="33" t="str">
        <f>IF($Y322&lt;&gt;1,"",INDEX(Comenzi!$AG:$AG,$X322)*$I322/$E322)</f>
        <v/>
      </c>
      <c r="K322" s="33" t="str">
        <f t="shared" si="53"/>
        <v/>
      </c>
      <c r="L322" s="33" t="str">
        <f>IF($Y322&lt;&gt;1,"",$K322*$AD322+INDEX(Comenzi!$AJ:$AJ,$X322)*$I322/$E322)</f>
        <v/>
      </c>
      <c r="M322" s="33" t="str">
        <f t="shared" si="54"/>
        <v/>
      </c>
      <c r="N322" s="33" t="str">
        <f t="shared" si="55"/>
        <v/>
      </c>
      <c r="O322" s="33" t="str">
        <f>IF($Y322&lt;&gt;1,"",(INDEX(Comenzi!$AK:$AK,$X322)+N(INDEX(Comenzi!$T:$T,$X322)))*$I322/$E322)</f>
        <v/>
      </c>
      <c r="P322" s="35" t="str">
        <f t="shared" si="56"/>
        <v/>
      </c>
      <c r="Q322" s="36" t="str">
        <f t="shared" si="57"/>
        <v/>
      </c>
      <c r="R322" s="37" t="str">
        <f t="shared" si="58"/>
        <v/>
      </c>
      <c r="S322" s="38" t="str">
        <f t="shared" si="59"/>
        <v/>
      </c>
      <c r="T322" s="39" t="str">
        <f t="shared" si="60"/>
        <v/>
      </c>
      <c r="U322" s="40" t="str">
        <f t="shared" si="61"/>
        <v/>
      </c>
      <c r="V322" s="33" t="str">
        <f t="shared" si="62"/>
        <v/>
      </c>
      <c r="W322" s="33" t="str">
        <f t="shared" si="63"/>
        <v/>
      </c>
      <c r="X322" s="41" t="str">
        <f>IF($A322="","",IFERROR(MATCH($A322,Comenzi!$A$9:$A$108,0)+8,""))</f>
        <v/>
      </c>
      <c r="Y322" s="41" t="str">
        <f t="shared" si="64"/>
        <v/>
      </c>
      <c r="Z322" s="42" t="str">
        <f>IF($A322="","",IF($A322="?","Lipseste ID-ul comenzii (col. A din PI Furnizor)",IF(NOT(ISNUMBER($X322)),"ID comanda negasit in foaia Comenzi",IF(N($E322)&lt;=0,"Lipseste cantitatea",IF(N($G322)=0,"Pret unitar lipsa",IF($Y322&lt;&gt;1,"Curs sau moneda marfa lipsa (foaia Comenzi)",IF(INDEX(Comenzi!$AT:$AT,$X322)&lt;&gt;"OK","Avertisment comanda: "&amp;INDEX(Comenzi!$AT:$AT,$X322),"OK")))))))</f>
        <v/>
      </c>
      <c r="AA322" s="43" t="str">
        <f>IF(ISNUMBER($X322),INDEX(Comenzi!$H:$H,$X322),"")</f>
        <v/>
      </c>
      <c r="AB322" s="43" t="str">
        <f>IF(ISNUMBER($X322),INDEX(Comenzi!$I:$I,$X322),"")</f>
        <v/>
      </c>
      <c r="AC322" s="44" t="str">
        <f>IF(ISNUMBER($X322),IF(INDEX(Comenzi!$V:$V,$X322)="",Comenzi!$D$3,INDEX(Comenzi!$V:$V,$X322)),"")</f>
        <v/>
      </c>
      <c r="AD322" s="44" t="str">
        <f>IF(ISNUMBER($X322),IF(INDEX(Comenzi!$U:$U,$X322)="",Comenzi!$D$4,INDEX(Comenzi!$U:$U,$X322)),"")</f>
        <v/>
      </c>
      <c r="AE322" s="45" t="str">
        <f>IF($Y322&lt;&gt;1,"",IF(INDEX(Comenzi!$AM:$AM,$X322)="Greutate",INDEX('PI Furnizor'!$O:$O,ROW()-3),IF(INDEX(Comenzi!$AM:$AM,$X322)="Volum (CBM)",INDEX('PI Furnizor'!$Q:$Q,ROW()-3),IF(INDEX(Comenzi!$AM:$AM,$X322)="Valoare marfa",INDEX('PI Furnizor'!$N:$N,ROW()-3),$E322))))</f>
        <v/>
      </c>
    </row>
    <row r="323" spans="1:31" x14ac:dyDescent="0.3">
      <c r="A323" s="28" t="str">
        <f>IF(COUNTA(INDEX('PI Furnizor'!$A:$E,ROW()-3,0))=0,"",IF(INDEX('PI Furnizor'!$A:$A,ROW()-3)="","?",INDEX('PI Furnizor'!$A:$A,ROW()-3)))</f>
        <v/>
      </c>
      <c r="B323" s="29" t="str">
        <f>IF(ISNUMBER($X323),INDEX(Comenzi!$B:$B,$X323),"")</f>
        <v/>
      </c>
      <c r="C323" s="28" t="str">
        <f>IF($A323="","",INDEX('PI Furnizor'!$B:$B,ROW()-3)&amp;"")</f>
        <v/>
      </c>
      <c r="D323" s="28" t="str">
        <f>IF($A323="","",INDEX('PI Furnizor'!$C:$C,ROW()-3)&amp;"")</f>
        <v/>
      </c>
      <c r="E323" s="30" t="str">
        <f>IF($A323="","",N(INDEX('PI Furnizor'!$D:$D,ROW()-3)))</f>
        <v/>
      </c>
      <c r="F323" s="31" t="str">
        <f>IF(ISNUMBER($X323),INDEX(Comenzi!$G:$G,$X323),"")</f>
        <v/>
      </c>
      <c r="G323" s="32" t="str">
        <f>IF($A323="","",N(INDEX('PI Furnizor'!$E:$E,ROW()-3)))</f>
        <v/>
      </c>
      <c r="H323" s="33" t="str">
        <f t="shared" si="52"/>
        <v/>
      </c>
      <c r="I323" s="34" t="str">
        <f>IF($Y323&lt;&gt;1,"",IFERROR($AE323/INDEX(Comenzi!$AN:$AN,$X323),0))</f>
        <v/>
      </c>
      <c r="J323" s="33" t="str">
        <f>IF($Y323&lt;&gt;1,"",INDEX(Comenzi!$AG:$AG,$X323)*$I323/$E323)</f>
        <v/>
      </c>
      <c r="K323" s="33" t="str">
        <f t="shared" si="53"/>
        <v/>
      </c>
      <c r="L323" s="33" t="str">
        <f>IF($Y323&lt;&gt;1,"",$K323*$AD323+INDEX(Comenzi!$AJ:$AJ,$X323)*$I323/$E323)</f>
        <v/>
      </c>
      <c r="M323" s="33" t="str">
        <f t="shared" si="54"/>
        <v/>
      </c>
      <c r="N323" s="33" t="str">
        <f t="shared" si="55"/>
        <v/>
      </c>
      <c r="O323" s="33" t="str">
        <f>IF($Y323&lt;&gt;1,"",(INDEX(Comenzi!$AK:$AK,$X323)+N(INDEX(Comenzi!$T:$T,$X323)))*$I323/$E323)</f>
        <v/>
      </c>
      <c r="P323" s="35" t="str">
        <f t="shared" si="56"/>
        <v/>
      </c>
      <c r="Q323" s="36" t="str">
        <f t="shared" si="57"/>
        <v/>
      </c>
      <c r="R323" s="37" t="str">
        <f t="shared" si="58"/>
        <v/>
      </c>
      <c r="S323" s="38" t="str">
        <f t="shared" si="59"/>
        <v/>
      </c>
      <c r="T323" s="39" t="str">
        <f t="shared" si="60"/>
        <v/>
      </c>
      <c r="U323" s="40" t="str">
        <f t="shared" si="61"/>
        <v/>
      </c>
      <c r="V323" s="33" t="str">
        <f t="shared" si="62"/>
        <v/>
      </c>
      <c r="W323" s="33" t="str">
        <f t="shared" si="63"/>
        <v/>
      </c>
      <c r="X323" s="41" t="str">
        <f>IF($A323="","",IFERROR(MATCH($A323,Comenzi!$A$9:$A$108,0)+8,""))</f>
        <v/>
      </c>
      <c r="Y323" s="41" t="str">
        <f t="shared" si="64"/>
        <v/>
      </c>
      <c r="Z323" s="42" t="str">
        <f>IF($A323="","",IF($A323="?","Lipseste ID-ul comenzii (col. A din PI Furnizor)",IF(NOT(ISNUMBER($X323)),"ID comanda negasit in foaia Comenzi",IF(N($E323)&lt;=0,"Lipseste cantitatea",IF(N($G323)=0,"Pret unitar lipsa",IF($Y323&lt;&gt;1,"Curs sau moneda marfa lipsa (foaia Comenzi)",IF(INDEX(Comenzi!$AT:$AT,$X323)&lt;&gt;"OK","Avertisment comanda: "&amp;INDEX(Comenzi!$AT:$AT,$X323),"OK")))))))</f>
        <v/>
      </c>
      <c r="AA323" s="43" t="str">
        <f>IF(ISNUMBER($X323),INDEX(Comenzi!$H:$H,$X323),"")</f>
        <v/>
      </c>
      <c r="AB323" s="43" t="str">
        <f>IF(ISNUMBER($X323),INDEX(Comenzi!$I:$I,$X323),"")</f>
        <v/>
      </c>
      <c r="AC323" s="44" t="str">
        <f>IF(ISNUMBER($X323),IF(INDEX(Comenzi!$V:$V,$X323)="",Comenzi!$D$3,INDEX(Comenzi!$V:$V,$X323)),"")</f>
        <v/>
      </c>
      <c r="AD323" s="44" t="str">
        <f>IF(ISNUMBER($X323),IF(INDEX(Comenzi!$U:$U,$X323)="",Comenzi!$D$4,INDEX(Comenzi!$U:$U,$X323)),"")</f>
        <v/>
      </c>
      <c r="AE323" s="45" t="str">
        <f>IF($Y323&lt;&gt;1,"",IF(INDEX(Comenzi!$AM:$AM,$X323)="Greutate",INDEX('PI Furnizor'!$O:$O,ROW()-3),IF(INDEX(Comenzi!$AM:$AM,$X323)="Volum (CBM)",INDEX('PI Furnizor'!$Q:$Q,ROW()-3),IF(INDEX(Comenzi!$AM:$AM,$X323)="Valoare marfa",INDEX('PI Furnizor'!$N:$N,ROW()-3),$E323))))</f>
        <v/>
      </c>
    </row>
    <row r="324" spans="1:31" x14ac:dyDescent="0.3">
      <c r="A324" s="28" t="str">
        <f>IF(COUNTA(INDEX('PI Furnizor'!$A:$E,ROW()-3,0))=0,"",IF(INDEX('PI Furnizor'!$A:$A,ROW()-3)="","?",INDEX('PI Furnizor'!$A:$A,ROW()-3)))</f>
        <v/>
      </c>
      <c r="B324" s="29" t="str">
        <f>IF(ISNUMBER($X324),INDEX(Comenzi!$B:$B,$X324),"")</f>
        <v/>
      </c>
      <c r="C324" s="28" t="str">
        <f>IF($A324="","",INDEX('PI Furnizor'!$B:$B,ROW()-3)&amp;"")</f>
        <v/>
      </c>
      <c r="D324" s="28" t="str">
        <f>IF($A324="","",INDEX('PI Furnizor'!$C:$C,ROW()-3)&amp;"")</f>
        <v/>
      </c>
      <c r="E324" s="30" t="str">
        <f>IF($A324="","",N(INDEX('PI Furnizor'!$D:$D,ROW()-3)))</f>
        <v/>
      </c>
      <c r="F324" s="31" t="str">
        <f>IF(ISNUMBER($X324),INDEX(Comenzi!$G:$G,$X324),"")</f>
        <v/>
      </c>
      <c r="G324" s="32" t="str">
        <f>IF($A324="","",N(INDEX('PI Furnizor'!$E:$E,ROW()-3)))</f>
        <v/>
      </c>
      <c r="H324" s="33" t="str">
        <f t="shared" si="52"/>
        <v/>
      </c>
      <c r="I324" s="34" t="str">
        <f>IF($Y324&lt;&gt;1,"",IFERROR($AE324/INDEX(Comenzi!$AN:$AN,$X324),0))</f>
        <v/>
      </c>
      <c r="J324" s="33" t="str">
        <f>IF($Y324&lt;&gt;1,"",INDEX(Comenzi!$AG:$AG,$X324)*$I324/$E324)</f>
        <v/>
      </c>
      <c r="K324" s="33" t="str">
        <f t="shared" si="53"/>
        <v/>
      </c>
      <c r="L324" s="33" t="str">
        <f>IF($Y324&lt;&gt;1,"",$K324*$AD324+INDEX(Comenzi!$AJ:$AJ,$X324)*$I324/$E324)</f>
        <v/>
      </c>
      <c r="M324" s="33" t="str">
        <f t="shared" si="54"/>
        <v/>
      </c>
      <c r="N324" s="33" t="str">
        <f t="shared" si="55"/>
        <v/>
      </c>
      <c r="O324" s="33" t="str">
        <f>IF($Y324&lt;&gt;1,"",(INDEX(Comenzi!$AK:$AK,$X324)+N(INDEX(Comenzi!$T:$T,$X324)))*$I324/$E324)</f>
        <v/>
      </c>
      <c r="P324" s="35" t="str">
        <f t="shared" si="56"/>
        <v/>
      </c>
      <c r="Q324" s="36" t="str">
        <f t="shared" si="57"/>
        <v/>
      </c>
      <c r="R324" s="37" t="str">
        <f t="shared" si="58"/>
        <v/>
      </c>
      <c r="S324" s="38" t="str">
        <f t="shared" si="59"/>
        <v/>
      </c>
      <c r="T324" s="39" t="str">
        <f t="shared" si="60"/>
        <v/>
      </c>
      <c r="U324" s="40" t="str">
        <f t="shared" si="61"/>
        <v/>
      </c>
      <c r="V324" s="33" t="str">
        <f t="shared" si="62"/>
        <v/>
      </c>
      <c r="W324" s="33" t="str">
        <f t="shared" si="63"/>
        <v/>
      </c>
      <c r="X324" s="41" t="str">
        <f>IF($A324="","",IFERROR(MATCH($A324,Comenzi!$A$9:$A$108,0)+8,""))</f>
        <v/>
      </c>
      <c r="Y324" s="41" t="str">
        <f t="shared" si="64"/>
        <v/>
      </c>
      <c r="Z324" s="42" t="str">
        <f>IF($A324="","",IF($A324="?","Lipseste ID-ul comenzii (col. A din PI Furnizor)",IF(NOT(ISNUMBER($X324)),"ID comanda negasit in foaia Comenzi",IF(N($E324)&lt;=0,"Lipseste cantitatea",IF(N($G324)=0,"Pret unitar lipsa",IF($Y324&lt;&gt;1,"Curs sau moneda marfa lipsa (foaia Comenzi)",IF(INDEX(Comenzi!$AT:$AT,$X324)&lt;&gt;"OK","Avertisment comanda: "&amp;INDEX(Comenzi!$AT:$AT,$X324),"OK")))))))</f>
        <v/>
      </c>
      <c r="AA324" s="43" t="str">
        <f>IF(ISNUMBER($X324),INDEX(Comenzi!$H:$H,$X324),"")</f>
        <v/>
      </c>
      <c r="AB324" s="43" t="str">
        <f>IF(ISNUMBER($X324),INDEX(Comenzi!$I:$I,$X324),"")</f>
        <v/>
      </c>
      <c r="AC324" s="44" t="str">
        <f>IF(ISNUMBER($X324),IF(INDEX(Comenzi!$V:$V,$X324)="",Comenzi!$D$3,INDEX(Comenzi!$V:$V,$X324)),"")</f>
        <v/>
      </c>
      <c r="AD324" s="44" t="str">
        <f>IF(ISNUMBER($X324),IF(INDEX(Comenzi!$U:$U,$X324)="",Comenzi!$D$4,INDEX(Comenzi!$U:$U,$X324)),"")</f>
        <v/>
      </c>
      <c r="AE324" s="45" t="str">
        <f>IF($Y324&lt;&gt;1,"",IF(INDEX(Comenzi!$AM:$AM,$X324)="Greutate",INDEX('PI Furnizor'!$O:$O,ROW()-3),IF(INDEX(Comenzi!$AM:$AM,$X324)="Volum (CBM)",INDEX('PI Furnizor'!$Q:$Q,ROW()-3),IF(INDEX(Comenzi!$AM:$AM,$X324)="Valoare marfa",INDEX('PI Furnizor'!$N:$N,ROW()-3),$E324))))</f>
        <v/>
      </c>
    </row>
    <row r="325" spans="1:31" x14ac:dyDescent="0.3">
      <c r="A325" s="28" t="str">
        <f>IF(COUNTA(INDEX('PI Furnizor'!$A:$E,ROW()-3,0))=0,"",IF(INDEX('PI Furnizor'!$A:$A,ROW()-3)="","?",INDEX('PI Furnizor'!$A:$A,ROW()-3)))</f>
        <v/>
      </c>
      <c r="B325" s="29" t="str">
        <f>IF(ISNUMBER($X325),INDEX(Comenzi!$B:$B,$X325),"")</f>
        <v/>
      </c>
      <c r="C325" s="28" t="str">
        <f>IF($A325="","",INDEX('PI Furnizor'!$B:$B,ROW()-3)&amp;"")</f>
        <v/>
      </c>
      <c r="D325" s="28" t="str">
        <f>IF($A325="","",INDEX('PI Furnizor'!$C:$C,ROW()-3)&amp;"")</f>
        <v/>
      </c>
      <c r="E325" s="30" t="str">
        <f>IF($A325="","",N(INDEX('PI Furnizor'!$D:$D,ROW()-3)))</f>
        <v/>
      </c>
      <c r="F325" s="31" t="str">
        <f>IF(ISNUMBER($X325),INDEX(Comenzi!$G:$G,$X325),"")</f>
        <v/>
      </c>
      <c r="G325" s="32" t="str">
        <f>IF($A325="","",N(INDEX('PI Furnizor'!$E:$E,ROW()-3)))</f>
        <v/>
      </c>
      <c r="H325" s="33" t="str">
        <f t="shared" si="52"/>
        <v/>
      </c>
      <c r="I325" s="34" t="str">
        <f>IF($Y325&lt;&gt;1,"",IFERROR($AE325/INDEX(Comenzi!$AN:$AN,$X325),0))</f>
        <v/>
      </c>
      <c r="J325" s="33" t="str">
        <f>IF($Y325&lt;&gt;1,"",INDEX(Comenzi!$AG:$AG,$X325)*$I325/$E325)</f>
        <v/>
      </c>
      <c r="K325" s="33" t="str">
        <f t="shared" si="53"/>
        <v/>
      </c>
      <c r="L325" s="33" t="str">
        <f>IF($Y325&lt;&gt;1,"",$K325*$AD325+INDEX(Comenzi!$AJ:$AJ,$X325)*$I325/$E325)</f>
        <v/>
      </c>
      <c r="M325" s="33" t="str">
        <f t="shared" si="54"/>
        <v/>
      </c>
      <c r="N325" s="33" t="str">
        <f t="shared" si="55"/>
        <v/>
      </c>
      <c r="O325" s="33" t="str">
        <f>IF($Y325&lt;&gt;1,"",(INDEX(Comenzi!$AK:$AK,$X325)+N(INDEX(Comenzi!$T:$T,$X325)))*$I325/$E325)</f>
        <v/>
      </c>
      <c r="P325" s="35" t="str">
        <f t="shared" si="56"/>
        <v/>
      </c>
      <c r="Q325" s="36" t="str">
        <f t="shared" si="57"/>
        <v/>
      </c>
      <c r="R325" s="37" t="str">
        <f t="shared" si="58"/>
        <v/>
      </c>
      <c r="S325" s="38" t="str">
        <f t="shared" si="59"/>
        <v/>
      </c>
      <c r="T325" s="39" t="str">
        <f t="shared" si="60"/>
        <v/>
      </c>
      <c r="U325" s="40" t="str">
        <f t="shared" si="61"/>
        <v/>
      </c>
      <c r="V325" s="33" t="str">
        <f t="shared" si="62"/>
        <v/>
      </c>
      <c r="W325" s="33" t="str">
        <f t="shared" si="63"/>
        <v/>
      </c>
      <c r="X325" s="41" t="str">
        <f>IF($A325="","",IFERROR(MATCH($A325,Comenzi!$A$9:$A$108,0)+8,""))</f>
        <v/>
      </c>
      <c r="Y325" s="41" t="str">
        <f t="shared" si="64"/>
        <v/>
      </c>
      <c r="Z325" s="42" t="str">
        <f>IF($A325="","",IF($A325="?","Lipseste ID-ul comenzii (col. A din PI Furnizor)",IF(NOT(ISNUMBER($X325)),"ID comanda negasit in foaia Comenzi",IF(N($E325)&lt;=0,"Lipseste cantitatea",IF(N($G325)=0,"Pret unitar lipsa",IF($Y325&lt;&gt;1,"Curs sau moneda marfa lipsa (foaia Comenzi)",IF(INDEX(Comenzi!$AT:$AT,$X325)&lt;&gt;"OK","Avertisment comanda: "&amp;INDEX(Comenzi!$AT:$AT,$X325),"OK")))))))</f>
        <v/>
      </c>
      <c r="AA325" s="43" t="str">
        <f>IF(ISNUMBER($X325),INDEX(Comenzi!$H:$H,$X325),"")</f>
        <v/>
      </c>
      <c r="AB325" s="43" t="str">
        <f>IF(ISNUMBER($X325),INDEX(Comenzi!$I:$I,$X325),"")</f>
        <v/>
      </c>
      <c r="AC325" s="44" t="str">
        <f>IF(ISNUMBER($X325),IF(INDEX(Comenzi!$V:$V,$X325)="",Comenzi!$D$3,INDEX(Comenzi!$V:$V,$X325)),"")</f>
        <v/>
      </c>
      <c r="AD325" s="44" t="str">
        <f>IF(ISNUMBER($X325),IF(INDEX(Comenzi!$U:$U,$X325)="",Comenzi!$D$4,INDEX(Comenzi!$U:$U,$X325)),"")</f>
        <v/>
      </c>
      <c r="AE325" s="45" t="str">
        <f>IF($Y325&lt;&gt;1,"",IF(INDEX(Comenzi!$AM:$AM,$X325)="Greutate",INDEX('PI Furnizor'!$O:$O,ROW()-3),IF(INDEX(Comenzi!$AM:$AM,$X325)="Volum (CBM)",INDEX('PI Furnizor'!$Q:$Q,ROW()-3),IF(INDEX(Comenzi!$AM:$AM,$X325)="Valoare marfa",INDEX('PI Furnizor'!$N:$N,ROW()-3),$E325))))</f>
        <v/>
      </c>
    </row>
    <row r="326" spans="1:31" x14ac:dyDescent="0.3">
      <c r="A326" s="28" t="str">
        <f>IF(COUNTA(INDEX('PI Furnizor'!$A:$E,ROW()-3,0))=0,"",IF(INDEX('PI Furnizor'!$A:$A,ROW()-3)="","?",INDEX('PI Furnizor'!$A:$A,ROW()-3)))</f>
        <v/>
      </c>
      <c r="B326" s="29" t="str">
        <f>IF(ISNUMBER($X326),INDEX(Comenzi!$B:$B,$X326),"")</f>
        <v/>
      </c>
      <c r="C326" s="28" t="str">
        <f>IF($A326="","",INDEX('PI Furnizor'!$B:$B,ROW()-3)&amp;"")</f>
        <v/>
      </c>
      <c r="D326" s="28" t="str">
        <f>IF($A326="","",INDEX('PI Furnizor'!$C:$C,ROW()-3)&amp;"")</f>
        <v/>
      </c>
      <c r="E326" s="30" t="str">
        <f>IF($A326="","",N(INDEX('PI Furnizor'!$D:$D,ROW()-3)))</f>
        <v/>
      </c>
      <c r="F326" s="31" t="str">
        <f>IF(ISNUMBER($X326),INDEX(Comenzi!$G:$G,$X326),"")</f>
        <v/>
      </c>
      <c r="G326" s="32" t="str">
        <f>IF($A326="","",N(INDEX('PI Furnizor'!$E:$E,ROW()-3)))</f>
        <v/>
      </c>
      <c r="H326" s="33" t="str">
        <f t="shared" si="52"/>
        <v/>
      </c>
      <c r="I326" s="34" t="str">
        <f>IF($Y326&lt;&gt;1,"",IFERROR($AE326/INDEX(Comenzi!$AN:$AN,$X326),0))</f>
        <v/>
      </c>
      <c r="J326" s="33" t="str">
        <f>IF($Y326&lt;&gt;1,"",INDEX(Comenzi!$AG:$AG,$X326)*$I326/$E326)</f>
        <v/>
      </c>
      <c r="K326" s="33" t="str">
        <f t="shared" si="53"/>
        <v/>
      </c>
      <c r="L326" s="33" t="str">
        <f>IF($Y326&lt;&gt;1,"",$K326*$AD326+INDEX(Comenzi!$AJ:$AJ,$X326)*$I326/$E326)</f>
        <v/>
      </c>
      <c r="M326" s="33" t="str">
        <f t="shared" si="54"/>
        <v/>
      </c>
      <c r="N326" s="33" t="str">
        <f t="shared" si="55"/>
        <v/>
      </c>
      <c r="O326" s="33" t="str">
        <f>IF($Y326&lt;&gt;1,"",(INDEX(Comenzi!$AK:$AK,$X326)+N(INDEX(Comenzi!$T:$T,$X326)))*$I326/$E326)</f>
        <v/>
      </c>
      <c r="P326" s="35" t="str">
        <f t="shared" si="56"/>
        <v/>
      </c>
      <c r="Q326" s="36" t="str">
        <f t="shared" si="57"/>
        <v/>
      </c>
      <c r="R326" s="37" t="str">
        <f t="shared" si="58"/>
        <v/>
      </c>
      <c r="S326" s="38" t="str">
        <f t="shared" si="59"/>
        <v/>
      </c>
      <c r="T326" s="39" t="str">
        <f t="shared" si="60"/>
        <v/>
      </c>
      <c r="U326" s="40" t="str">
        <f t="shared" si="61"/>
        <v/>
      </c>
      <c r="V326" s="33" t="str">
        <f t="shared" si="62"/>
        <v/>
      </c>
      <c r="W326" s="33" t="str">
        <f t="shared" si="63"/>
        <v/>
      </c>
      <c r="X326" s="41" t="str">
        <f>IF($A326="","",IFERROR(MATCH($A326,Comenzi!$A$9:$A$108,0)+8,""))</f>
        <v/>
      </c>
      <c r="Y326" s="41" t="str">
        <f t="shared" si="64"/>
        <v/>
      </c>
      <c r="Z326" s="42" t="str">
        <f>IF($A326="","",IF($A326="?","Lipseste ID-ul comenzii (col. A din PI Furnizor)",IF(NOT(ISNUMBER($X326)),"ID comanda negasit in foaia Comenzi",IF(N($E326)&lt;=0,"Lipseste cantitatea",IF(N($G326)=0,"Pret unitar lipsa",IF($Y326&lt;&gt;1,"Curs sau moneda marfa lipsa (foaia Comenzi)",IF(INDEX(Comenzi!$AT:$AT,$X326)&lt;&gt;"OK","Avertisment comanda: "&amp;INDEX(Comenzi!$AT:$AT,$X326),"OK")))))))</f>
        <v/>
      </c>
      <c r="AA326" s="43" t="str">
        <f>IF(ISNUMBER($X326),INDEX(Comenzi!$H:$H,$X326),"")</f>
        <v/>
      </c>
      <c r="AB326" s="43" t="str">
        <f>IF(ISNUMBER($X326),INDEX(Comenzi!$I:$I,$X326),"")</f>
        <v/>
      </c>
      <c r="AC326" s="44" t="str">
        <f>IF(ISNUMBER($X326),IF(INDEX(Comenzi!$V:$V,$X326)="",Comenzi!$D$3,INDEX(Comenzi!$V:$V,$X326)),"")</f>
        <v/>
      </c>
      <c r="AD326" s="44" t="str">
        <f>IF(ISNUMBER($X326),IF(INDEX(Comenzi!$U:$U,$X326)="",Comenzi!$D$4,INDEX(Comenzi!$U:$U,$X326)),"")</f>
        <v/>
      </c>
      <c r="AE326" s="45" t="str">
        <f>IF($Y326&lt;&gt;1,"",IF(INDEX(Comenzi!$AM:$AM,$X326)="Greutate",INDEX('PI Furnizor'!$O:$O,ROW()-3),IF(INDEX(Comenzi!$AM:$AM,$X326)="Volum (CBM)",INDEX('PI Furnizor'!$Q:$Q,ROW()-3),IF(INDEX(Comenzi!$AM:$AM,$X326)="Valoare marfa",INDEX('PI Furnizor'!$N:$N,ROW()-3),$E326))))</f>
        <v/>
      </c>
    </row>
    <row r="327" spans="1:31" x14ac:dyDescent="0.3">
      <c r="A327" s="28" t="str">
        <f>IF(COUNTA(INDEX('PI Furnizor'!$A:$E,ROW()-3,0))=0,"",IF(INDEX('PI Furnizor'!$A:$A,ROW()-3)="","?",INDEX('PI Furnizor'!$A:$A,ROW()-3)))</f>
        <v/>
      </c>
      <c r="B327" s="29" t="str">
        <f>IF(ISNUMBER($X327),INDEX(Comenzi!$B:$B,$X327),"")</f>
        <v/>
      </c>
      <c r="C327" s="28" t="str">
        <f>IF($A327="","",INDEX('PI Furnizor'!$B:$B,ROW()-3)&amp;"")</f>
        <v/>
      </c>
      <c r="D327" s="28" t="str">
        <f>IF($A327="","",INDEX('PI Furnizor'!$C:$C,ROW()-3)&amp;"")</f>
        <v/>
      </c>
      <c r="E327" s="30" t="str">
        <f>IF($A327="","",N(INDEX('PI Furnizor'!$D:$D,ROW()-3)))</f>
        <v/>
      </c>
      <c r="F327" s="31" t="str">
        <f>IF(ISNUMBER($X327),INDEX(Comenzi!$G:$G,$X327),"")</f>
        <v/>
      </c>
      <c r="G327" s="32" t="str">
        <f>IF($A327="","",N(INDEX('PI Furnizor'!$E:$E,ROW()-3)))</f>
        <v/>
      </c>
      <c r="H327" s="33" t="str">
        <f t="shared" si="52"/>
        <v/>
      </c>
      <c r="I327" s="34" t="str">
        <f>IF($Y327&lt;&gt;1,"",IFERROR($AE327/INDEX(Comenzi!$AN:$AN,$X327),0))</f>
        <v/>
      </c>
      <c r="J327" s="33" t="str">
        <f>IF($Y327&lt;&gt;1,"",INDEX(Comenzi!$AG:$AG,$X327)*$I327/$E327)</f>
        <v/>
      </c>
      <c r="K327" s="33" t="str">
        <f t="shared" si="53"/>
        <v/>
      </c>
      <c r="L327" s="33" t="str">
        <f>IF($Y327&lt;&gt;1,"",$K327*$AD327+INDEX(Comenzi!$AJ:$AJ,$X327)*$I327/$E327)</f>
        <v/>
      </c>
      <c r="M327" s="33" t="str">
        <f t="shared" si="54"/>
        <v/>
      </c>
      <c r="N327" s="33" t="str">
        <f t="shared" si="55"/>
        <v/>
      </c>
      <c r="O327" s="33" t="str">
        <f>IF($Y327&lt;&gt;1,"",(INDEX(Comenzi!$AK:$AK,$X327)+N(INDEX(Comenzi!$T:$T,$X327)))*$I327/$E327)</f>
        <v/>
      </c>
      <c r="P327" s="35" t="str">
        <f t="shared" si="56"/>
        <v/>
      </c>
      <c r="Q327" s="36" t="str">
        <f t="shared" si="57"/>
        <v/>
      </c>
      <c r="R327" s="37" t="str">
        <f t="shared" si="58"/>
        <v/>
      </c>
      <c r="S327" s="38" t="str">
        <f t="shared" si="59"/>
        <v/>
      </c>
      <c r="T327" s="39" t="str">
        <f t="shared" si="60"/>
        <v/>
      </c>
      <c r="U327" s="40" t="str">
        <f t="shared" si="61"/>
        <v/>
      </c>
      <c r="V327" s="33" t="str">
        <f t="shared" si="62"/>
        <v/>
      </c>
      <c r="W327" s="33" t="str">
        <f t="shared" si="63"/>
        <v/>
      </c>
      <c r="X327" s="41" t="str">
        <f>IF($A327="","",IFERROR(MATCH($A327,Comenzi!$A$9:$A$108,0)+8,""))</f>
        <v/>
      </c>
      <c r="Y327" s="41" t="str">
        <f t="shared" si="64"/>
        <v/>
      </c>
      <c r="Z327" s="42" t="str">
        <f>IF($A327="","",IF($A327="?","Lipseste ID-ul comenzii (col. A din PI Furnizor)",IF(NOT(ISNUMBER($X327)),"ID comanda negasit in foaia Comenzi",IF(N($E327)&lt;=0,"Lipseste cantitatea",IF(N($G327)=0,"Pret unitar lipsa",IF($Y327&lt;&gt;1,"Curs sau moneda marfa lipsa (foaia Comenzi)",IF(INDEX(Comenzi!$AT:$AT,$X327)&lt;&gt;"OK","Avertisment comanda: "&amp;INDEX(Comenzi!$AT:$AT,$X327),"OK")))))))</f>
        <v/>
      </c>
      <c r="AA327" s="43" t="str">
        <f>IF(ISNUMBER($X327),INDEX(Comenzi!$H:$H,$X327),"")</f>
        <v/>
      </c>
      <c r="AB327" s="43" t="str">
        <f>IF(ISNUMBER($X327),INDEX(Comenzi!$I:$I,$X327),"")</f>
        <v/>
      </c>
      <c r="AC327" s="44" t="str">
        <f>IF(ISNUMBER($X327),IF(INDEX(Comenzi!$V:$V,$X327)="",Comenzi!$D$3,INDEX(Comenzi!$V:$V,$X327)),"")</f>
        <v/>
      </c>
      <c r="AD327" s="44" t="str">
        <f>IF(ISNUMBER($X327),IF(INDEX(Comenzi!$U:$U,$X327)="",Comenzi!$D$4,INDEX(Comenzi!$U:$U,$X327)),"")</f>
        <v/>
      </c>
      <c r="AE327" s="45" t="str">
        <f>IF($Y327&lt;&gt;1,"",IF(INDEX(Comenzi!$AM:$AM,$X327)="Greutate",INDEX('PI Furnizor'!$O:$O,ROW()-3),IF(INDEX(Comenzi!$AM:$AM,$X327)="Volum (CBM)",INDEX('PI Furnizor'!$Q:$Q,ROW()-3),IF(INDEX(Comenzi!$AM:$AM,$X327)="Valoare marfa",INDEX('PI Furnizor'!$N:$N,ROW()-3),$E327))))</f>
        <v/>
      </c>
    </row>
    <row r="328" spans="1:31" x14ac:dyDescent="0.3">
      <c r="A328" s="28" t="str">
        <f>IF(COUNTA(INDEX('PI Furnizor'!$A:$E,ROW()-3,0))=0,"",IF(INDEX('PI Furnizor'!$A:$A,ROW()-3)="","?",INDEX('PI Furnizor'!$A:$A,ROW()-3)))</f>
        <v/>
      </c>
      <c r="B328" s="29" t="str">
        <f>IF(ISNUMBER($X328),INDEX(Comenzi!$B:$B,$X328),"")</f>
        <v/>
      </c>
      <c r="C328" s="28" t="str">
        <f>IF($A328="","",INDEX('PI Furnizor'!$B:$B,ROW()-3)&amp;"")</f>
        <v/>
      </c>
      <c r="D328" s="28" t="str">
        <f>IF($A328="","",INDEX('PI Furnizor'!$C:$C,ROW()-3)&amp;"")</f>
        <v/>
      </c>
      <c r="E328" s="30" t="str">
        <f>IF($A328="","",N(INDEX('PI Furnizor'!$D:$D,ROW()-3)))</f>
        <v/>
      </c>
      <c r="F328" s="31" t="str">
        <f>IF(ISNUMBER($X328),INDEX(Comenzi!$G:$G,$X328),"")</f>
        <v/>
      </c>
      <c r="G328" s="32" t="str">
        <f>IF($A328="","",N(INDEX('PI Furnizor'!$E:$E,ROW()-3)))</f>
        <v/>
      </c>
      <c r="H328" s="33" t="str">
        <f t="shared" si="52"/>
        <v/>
      </c>
      <c r="I328" s="34" t="str">
        <f>IF($Y328&lt;&gt;1,"",IFERROR($AE328/INDEX(Comenzi!$AN:$AN,$X328),0))</f>
        <v/>
      </c>
      <c r="J328" s="33" t="str">
        <f>IF($Y328&lt;&gt;1,"",INDEX(Comenzi!$AG:$AG,$X328)*$I328/$E328)</f>
        <v/>
      </c>
      <c r="K328" s="33" t="str">
        <f t="shared" si="53"/>
        <v/>
      </c>
      <c r="L328" s="33" t="str">
        <f>IF($Y328&lt;&gt;1,"",$K328*$AD328+INDEX(Comenzi!$AJ:$AJ,$X328)*$I328/$E328)</f>
        <v/>
      </c>
      <c r="M328" s="33" t="str">
        <f t="shared" si="54"/>
        <v/>
      </c>
      <c r="N328" s="33" t="str">
        <f t="shared" si="55"/>
        <v/>
      </c>
      <c r="O328" s="33" t="str">
        <f>IF($Y328&lt;&gt;1,"",(INDEX(Comenzi!$AK:$AK,$X328)+N(INDEX(Comenzi!$T:$T,$X328)))*$I328/$E328)</f>
        <v/>
      </c>
      <c r="P328" s="35" t="str">
        <f t="shared" si="56"/>
        <v/>
      </c>
      <c r="Q328" s="36" t="str">
        <f t="shared" si="57"/>
        <v/>
      </c>
      <c r="R328" s="37" t="str">
        <f t="shared" si="58"/>
        <v/>
      </c>
      <c r="S328" s="38" t="str">
        <f t="shared" si="59"/>
        <v/>
      </c>
      <c r="T328" s="39" t="str">
        <f t="shared" si="60"/>
        <v/>
      </c>
      <c r="U328" s="40" t="str">
        <f t="shared" si="61"/>
        <v/>
      </c>
      <c r="V328" s="33" t="str">
        <f t="shared" si="62"/>
        <v/>
      </c>
      <c r="W328" s="33" t="str">
        <f t="shared" si="63"/>
        <v/>
      </c>
      <c r="X328" s="41" t="str">
        <f>IF($A328="","",IFERROR(MATCH($A328,Comenzi!$A$9:$A$108,0)+8,""))</f>
        <v/>
      </c>
      <c r="Y328" s="41" t="str">
        <f t="shared" si="64"/>
        <v/>
      </c>
      <c r="Z328" s="42" t="str">
        <f>IF($A328="","",IF($A328="?","Lipseste ID-ul comenzii (col. A din PI Furnizor)",IF(NOT(ISNUMBER($X328)),"ID comanda negasit in foaia Comenzi",IF(N($E328)&lt;=0,"Lipseste cantitatea",IF(N($G328)=0,"Pret unitar lipsa",IF($Y328&lt;&gt;1,"Curs sau moneda marfa lipsa (foaia Comenzi)",IF(INDEX(Comenzi!$AT:$AT,$X328)&lt;&gt;"OK","Avertisment comanda: "&amp;INDEX(Comenzi!$AT:$AT,$X328),"OK")))))))</f>
        <v/>
      </c>
      <c r="AA328" s="43" t="str">
        <f>IF(ISNUMBER($X328),INDEX(Comenzi!$H:$H,$X328),"")</f>
        <v/>
      </c>
      <c r="AB328" s="43" t="str">
        <f>IF(ISNUMBER($X328),INDEX(Comenzi!$I:$I,$X328),"")</f>
        <v/>
      </c>
      <c r="AC328" s="44" t="str">
        <f>IF(ISNUMBER($X328),IF(INDEX(Comenzi!$V:$V,$X328)="",Comenzi!$D$3,INDEX(Comenzi!$V:$V,$X328)),"")</f>
        <v/>
      </c>
      <c r="AD328" s="44" t="str">
        <f>IF(ISNUMBER($X328),IF(INDEX(Comenzi!$U:$U,$X328)="",Comenzi!$D$4,INDEX(Comenzi!$U:$U,$X328)),"")</f>
        <v/>
      </c>
      <c r="AE328" s="45" t="str">
        <f>IF($Y328&lt;&gt;1,"",IF(INDEX(Comenzi!$AM:$AM,$X328)="Greutate",INDEX('PI Furnizor'!$O:$O,ROW()-3),IF(INDEX(Comenzi!$AM:$AM,$X328)="Volum (CBM)",INDEX('PI Furnizor'!$Q:$Q,ROW()-3),IF(INDEX(Comenzi!$AM:$AM,$X328)="Valoare marfa",INDEX('PI Furnizor'!$N:$N,ROW()-3),$E328))))</f>
        <v/>
      </c>
    </row>
    <row r="329" spans="1:31" x14ac:dyDescent="0.3">
      <c r="A329" s="28" t="str">
        <f>IF(COUNTA(INDEX('PI Furnizor'!$A:$E,ROW()-3,0))=0,"",IF(INDEX('PI Furnizor'!$A:$A,ROW()-3)="","?",INDEX('PI Furnizor'!$A:$A,ROW()-3)))</f>
        <v/>
      </c>
      <c r="B329" s="29" t="str">
        <f>IF(ISNUMBER($X329),INDEX(Comenzi!$B:$B,$X329),"")</f>
        <v/>
      </c>
      <c r="C329" s="28" t="str">
        <f>IF($A329="","",INDEX('PI Furnizor'!$B:$B,ROW()-3)&amp;"")</f>
        <v/>
      </c>
      <c r="D329" s="28" t="str">
        <f>IF($A329="","",INDEX('PI Furnizor'!$C:$C,ROW()-3)&amp;"")</f>
        <v/>
      </c>
      <c r="E329" s="30" t="str">
        <f>IF($A329="","",N(INDEX('PI Furnizor'!$D:$D,ROW()-3)))</f>
        <v/>
      </c>
      <c r="F329" s="31" t="str">
        <f>IF(ISNUMBER($X329),INDEX(Comenzi!$G:$G,$X329),"")</f>
        <v/>
      </c>
      <c r="G329" s="32" t="str">
        <f>IF($A329="","",N(INDEX('PI Furnizor'!$E:$E,ROW()-3)))</f>
        <v/>
      </c>
      <c r="H329" s="33" t="str">
        <f t="shared" si="52"/>
        <v/>
      </c>
      <c r="I329" s="34" t="str">
        <f>IF($Y329&lt;&gt;1,"",IFERROR($AE329/INDEX(Comenzi!$AN:$AN,$X329),0))</f>
        <v/>
      </c>
      <c r="J329" s="33" t="str">
        <f>IF($Y329&lt;&gt;1,"",INDEX(Comenzi!$AG:$AG,$X329)*$I329/$E329)</f>
        <v/>
      </c>
      <c r="K329" s="33" t="str">
        <f t="shared" si="53"/>
        <v/>
      </c>
      <c r="L329" s="33" t="str">
        <f>IF($Y329&lt;&gt;1,"",$K329*$AD329+INDEX(Comenzi!$AJ:$AJ,$X329)*$I329/$E329)</f>
        <v/>
      </c>
      <c r="M329" s="33" t="str">
        <f t="shared" si="54"/>
        <v/>
      </c>
      <c r="N329" s="33" t="str">
        <f t="shared" si="55"/>
        <v/>
      </c>
      <c r="O329" s="33" t="str">
        <f>IF($Y329&lt;&gt;1,"",(INDEX(Comenzi!$AK:$AK,$X329)+N(INDEX(Comenzi!$T:$T,$X329)))*$I329/$E329)</f>
        <v/>
      </c>
      <c r="P329" s="35" t="str">
        <f t="shared" si="56"/>
        <v/>
      </c>
      <c r="Q329" s="36" t="str">
        <f t="shared" si="57"/>
        <v/>
      </c>
      <c r="R329" s="37" t="str">
        <f t="shared" si="58"/>
        <v/>
      </c>
      <c r="S329" s="38" t="str">
        <f t="shared" si="59"/>
        <v/>
      </c>
      <c r="T329" s="39" t="str">
        <f t="shared" si="60"/>
        <v/>
      </c>
      <c r="U329" s="40" t="str">
        <f t="shared" si="61"/>
        <v/>
      </c>
      <c r="V329" s="33" t="str">
        <f t="shared" si="62"/>
        <v/>
      </c>
      <c r="W329" s="33" t="str">
        <f t="shared" si="63"/>
        <v/>
      </c>
      <c r="X329" s="41" t="str">
        <f>IF($A329="","",IFERROR(MATCH($A329,Comenzi!$A$9:$A$108,0)+8,""))</f>
        <v/>
      </c>
      <c r="Y329" s="41" t="str">
        <f t="shared" si="64"/>
        <v/>
      </c>
      <c r="Z329" s="42" t="str">
        <f>IF($A329="","",IF($A329="?","Lipseste ID-ul comenzii (col. A din PI Furnizor)",IF(NOT(ISNUMBER($X329)),"ID comanda negasit in foaia Comenzi",IF(N($E329)&lt;=0,"Lipseste cantitatea",IF(N($G329)=0,"Pret unitar lipsa",IF($Y329&lt;&gt;1,"Curs sau moneda marfa lipsa (foaia Comenzi)",IF(INDEX(Comenzi!$AT:$AT,$X329)&lt;&gt;"OK","Avertisment comanda: "&amp;INDEX(Comenzi!$AT:$AT,$X329),"OK")))))))</f>
        <v/>
      </c>
      <c r="AA329" s="43" t="str">
        <f>IF(ISNUMBER($X329),INDEX(Comenzi!$H:$H,$X329),"")</f>
        <v/>
      </c>
      <c r="AB329" s="43" t="str">
        <f>IF(ISNUMBER($X329),INDEX(Comenzi!$I:$I,$X329),"")</f>
        <v/>
      </c>
      <c r="AC329" s="44" t="str">
        <f>IF(ISNUMBER($X329),IF(INDEX(Comenzi!$V:$V,$X329)="",Comenzi!$D$3,INDEX(Comenzi!$V:$V,$X329)),"")</f>
        <v/>
      </c>
      <c r="AD329" s="44" t="str">
        <f>IF(ISNUMBER($X329),IF(INDEX(Comenzi!$U:$U,$X329)="",Comenzi!$D$4,INDEX(Comenzi!$U:$U,$X329)),"")</f>
        <v/>
      </c>
      <c r="AE329" s="45" t="str">
        <f>IF($Y329&lt;&gt;1,"",IF(INDEX(Comenzi!$AM:$AM,$X329)="Greutate",INDEX('PI Furnizor'!$O:$O,ROW()-3),IF(INDEX(Comenzi!$AM:$AM,$X329)="Volum (CBM)",INDEX('PI Furnizor'!$Q:$Q,ROW()-3),IF(INDEX(Comenzi!$AM:$AM,$X329)="Valoare marfa",INDEX('PI Furnizor'!$N:$N,ROW()-3),$E329))))</f>
        <v/>
      </c>
    </row>
    <row r="330" spans="1:31" x14ac:dyDescent="0.3">
      <c r="A330" s="28" t="str">
        <f>IF(COUNTA(INDEX('PI Furnizor'!$A:$E,ROW()-3,0))=0,"",IF(INDEX('PI Furnizor'!$A:$A,ROW()-3)="","?",INDEX('PI Furnizor'!$A:$A,ROW()-3)))</f>
        <v/>
      </c>
      <c r="B330" s="29" t="str">
        <f>IF(ISNUMBER($X330),INDEX(Comenzi!$B:$B,$X330),"")</f>
        <v/>
      </c>
      <c r="C330" s="28" t="str">
        <f>IF($A330="","",INDEX('PI Furnizor'!$B:$B,ROW()-3)&amp;"")</f>
        <v/>
      </c>
      <c r="D330" s="28" t="str">
        <f>IF($A330="","",INDEX('PI Furnizor'!$C:$C,ROW()-3)&amp;"")</f>
        <v/>
      </c>
      <c r="E330" s="30" t="str">
        <f>IF($A330="","",N(INDEX('PI Furnizor'!$D:$D,ROW()-3)))</f>
        <v/>
      </c>
      <c r="F330" s="31" t="str">
        <f>IF(ISNUMBER($X330),INDEX(Comenzi!$G:$G,$X330),"")</f>
        <v/>
      </c>
      <c r="G330" s="32" t="str">
        <f>IF($A330="","",N(INDEX('PI Furnizor'!$E:$E,ROW()-3)))</f>
        <v/>
      </c>
      <c r="H330" s="33" t="str">
        <f t="shared" ref="H330:H393" si="65">IF($Y330&lt;&gt;1,"",$G330*IF($F330="USD",$AA330,IF($F330="EUR",$AB330,1)))</f>
        <v/>
      </c>
      <c r="I330" s="34" t="str">
        <f>IF($Y330&lt;&gt;1,"",IFERROR($AE330/INDEX(Comenzi!$AN:$AN,$X330),0))</f>
        <v/>
      </c>
      <c r="J330" s="33" t="str">
        <f>IF($Y330&lt;&gt;1,"",INDEX(Comenzi!$AG:$AG,$X330)*$I330/$E330)</f>
        <v/>
      </c>
      <c r="K330" s="33" t="str">
        <f t="shared" ref="K330:K393" si="66">IF($Y330&lt;&gt;1,"",$H330+$J330)</f>
        <v/>
      </c>
      <c r="L330" s="33" t="str">
        <f>IF($Y330&lt;&gt;1,"",$K330*$AD330+INDEX(Comenzi!$AJ:$AJ,$X330)*$I330/$E330)</f>
        <v/>
      </c>
      <c r="M330" s="33" t="str">
        <f t="shared" ref="M330:M393" si="67">IF($Y330&lt;&gt;1,"",$K330+$L330)</f>
        <v/>
      </c>
      <c r="N330" s="33" t="str">
        <f t="shared" ref="N330:N393" si="68">IF($Y330&lt;&gt;1,"",$M330*$AC330)</f>
        <v/>
      </c>
      <c r="O330" s="33" t="str">
        <f>IF($Y330&lt;&gt;1,"",(INDEX(Comenzi!$AK:$AK,$X330)+N(INDEX(Comenzi!$T:$T,$X330)))*$I330/$E330)</f>
        <v/>
      </c>
      <c r="P330" s="35" t="str">
        <f t="shared" ref="P330:P393" si="69">IF($Y330&lt;&gt;1,"",$M330+$O330)</f>
        <v/>
      </c>
      <c r="Q330" s="36" t="str">
        <f t="shared" ref="Q330:Q393" si="70">IF($Y330&lt;&gt;1,"",$P330/$AB330)</f>
        <v/>
      </c>
      <c r="R330" s="37" t="str">
        <f t="shared" ref="R330:R393" si="71">IF($Y330&lt;&gt;1,"",$P330/$AA330)</f>
        <v/>
      </c>
      <c r="S330" s="38" t="str">
        <f t="shared" ref="S330:S393" si="72">IF($Y330&lt;&gt;1,"",$P330+$N330)</f>
        <v/>
      </c>
      <c r="T330" s="39" t="str">
        <f t="shared" ref="T330:T393" si="73">IF($Y330&lt;&gt;1,"",$S330/$AB330)</f>
        <v/>
      </c>
      <c r="U330" s="40" t="str">
        <f t="shared" ref="U330:U393" si="74">IF($Y330&lt;&gt;1,"",$S330/$AA330)</f>
        <v/>
      </c>
      <c r="V330" s="33" t="str">
        <f t="shared" ref="V330:V393" si="75">IF($Y330&lt;&gt;1,"",$P330*$E330)</f>
        <v/>
      </c>
      <c r="W330" s="33" t="str">
        <f t="shared" ref="W330:W393" si="76">IF($Y330&lt;&gt;1,"",$S330*$E330)</f>
        <v/>
      </c>
      <c r="X330" s="41" t="str">
        <f>IF($A330="","",IFERROR(MATCH($A330,Comenzi!$A$9:$A$108,0)+8,""))</f>
        <v/>
      </c>
      <c r="Y330" s="41" t="str">
        <f t="shared" ref="Y330:Y393" si="77">IF($A330="","",IF(AND(ISNUMBER($X330),N($E330)&gt;0,N($AA330)&gt;0,N($AB330)&gt;0,OR($F330="USD",$F330="EUR",$F330="RON")),1,0))</f>
        <v/>
      </c>
      <c r="Z330" s="42" t="str">
        <f>IF($A330="","",IF($A330="?","Lipseste ID-ul comenzii (col. A din PI Furnizor)",IF(NOT(ISNUMBER($X330)),"ID comanda negasit in foaia Comenzi",IF(N($E330)&lt;=0,"Lipseste cantitatea",IF(N($G330)=0,"Pret unitar lipsa",IF($Y330&lt;&gt;1,"Curs sau moneda marfa lipsa (foaia Comenzi)",IF(INDEX(Comenzi!$AT:$AT,$X330)&lt;&gt;"OK","Avertisment comanda: "&amp;INDEX(Comenzi!$AT:$AT,$X330),"OK")))))))</f>
        <v/>
      </c>
      <c r="AA330" s="43" t="str">
        <f>IF(ISNUMBER($X330),INDEX(Comenzi!$H:$H,$X330),"")</f>
        <v/>
      </c>
      <c r="AB330" s="43" t="str">
        <f>IF(ISNUMBER($X330),INDEX(Comenzi!$I:$I,$X330),"")</f>
        <v/>
      </c>
      <c r="AC330" s="44" t="str">
        <f>IF(ISNUMBER($X330),IF(INDEX(Comenzi!$V:$V,$X330)="",Comenzi!$D$3,INDEX(Comenzi!$V:$V,$X330)),"")</f>
        <v/>
      </c>
      <c r="AD330" s="44" t="str">
        <f>IF(ISNUMBER($X330),IF(INDEX(Comenzi!$U:$U,$X330)="",Comenzi!$D$4,INDEX(Comenzi!$U:$U,$X330)),"")</f>
        <v/>
      </c>
      <c r="AE330" s="45" t="str">
        <f>IF($Y330&lt;&gt;1,"",IF(INDEX(Comenzi!$AM:$AM,$X330)="Greutate",INDEX('PI Furnizor'!$O:$O,ROW()-3),IF(INDEX(Comenzi!$AM:$AM,$X330)="Volum (CBM)",INDEX('PI Furnizor'!$Q:$Q,ROW()-3),IF(INDEX(Comenzi!$AM:$AM,$X330)="Valoare marfa",INDEX('PI Furnizor'!$N:$N,ROW()-3),$E330))))</f>
        <v/>
      </c>
    </row>
    <row r="331" spans="1:31" x14ac:dyDescent="0.3">
      <c r="A331" s="28" t="str">
        <f>IF(COUNTA(INDEX('PI Furnizor'!$A:$E,ROW()-3,0))=0,"",IF(INDEX('PI Furnizor'!$A:$A,ROW()-3)="","?",INDEX('PI Furnizor'!$A:$A,ROW()-3)))</f>
        <v/>
      </c>
      <c r="B331" s="29" t="str">
        <f>IF(ISNUMBER($X331),INDEX(Comenzi!$B:$B,$X331),"")</f>
        <v/>
      </c>
      <c r="C331" s="28" t="str">
        <f>IF($A331="","",INDEX('PI Furnizor'!$B:$B,ROW()-3)&amp;"")</f>
        <v/>
      </c>
      <c r="D331" s="28" t="str">
        <f>IF($A331="","",INDEX('PI Furnizor'!$C:$C,ROW()-3)&amp;"")</f>
        <v/>
      </c>
      <c r="E331" s="30" t="str">
        <f>IF($A331="","",N(INDEX('PI Furnizor'!$D:$D,ROW()-3)))</f>
        <v/>
      </c>
      <c r="F331" s="31" t="str">
        <f>IF(ISNUMBER($X331),INDEX(Comenzi!$G:$G,$X331),"")</f>
        <v/>
      </c>
      <c r="G331" s="32" t="str">
        <f>IF($A331="","",N(INDEX('PI Furnizor'!$E:$E,ROW()-3)))</f>
        <v/>
      </c>
      <c r="H331" s="33" t="str">
        <f t="shared" si="65"/>
        <v/>
      </c>
      <c r="I331" s="34" t="str">
        <f>IF($Y331&lt;&gt;1,"",IFERROR($AE331/INDEX(Comenzi!$AN:$AN,$X331),0))</f>
        <v/>
      </c>
      <c r="J331" s="33" t="str">
        <f>IF($Y331&lt;&gt;1,"",INDEX(Comenzi!$AG:$AG,$X331)*$I331/$E331)</f>
        <v/>
      </c>
      <c r="K331" s="33" t="str">
        <f t="shared" si="66"/>
        <v/>
      </c>
      <c r="L331" s="33" t="str">
        <f>IF($Y331&lt;&gt;1,"",$K331*$AD331+INDEX(Comenzi!$AJ:$AJ,$X331)*$I331/$E331)</f>
        <v/>
      </c>
      <c r="M331" s="33" t="str">
        <f t="shared" si="67"/>
        <v/>
      </c>
      <c r="N331" s="33" t="str">
        <f t="shared" si="68"/>
        <v/>
      </c>
      <c r="O331" s="33" t="str">
        <f>IF($Y331&lt;&gt;1,"",(INDEX(Comenzi!$AK:$AK,$X331)+N(INDEX(Comenzi!$T:$T,$X331)))*$I331/$E331)</f>
        <v/>
      </c>
      <c r="P331" s="35" t="str">
        <f t="shared" si="69"/>
        <v/>
      </c>
      <c r="Q331" s="36" t="str">
        <f t="shared" si="70"/>
        <v/>
      </c>
      <c r="R331" s="37" t="str">
        <f t="shared" si="71"/>
        <v/>
      </c>
      <c r="S331" s="38" t="str">
        <f t="shared" si="72"/>
        <v/>
      </c>
      <c r="T331" s="39" t="str">
        <f t="shared" si="73"/>
        <v/>
      </c>
      <c r="U331" s="40" t="str">
        <f t="shared" si="74"/>
        <v/>
      </c>
      <c r="V331" s="33" t="str">
        <f t="shared" si="75"/>
        <v/>
      </c>
      <c r="W331" s="33" t="str">
        <f t="shared" si="76"/>
        <v/>
      </c>
      <c r="X331" s="41" t="str">
        <f>IF($A331="","",IFERROR(MATCH($A331,Comenzi!$A$9:$A$108,0)+8,""))</f>
        <v/>
      </c>
      <c r="Y331" s="41" t="str">
        <f t="shared" si="77"/>
        <v/>
      </c>
      <c r="Z331" s="42" t="str">
        <f>IF($A331="","",IF($A331="?","Lipseste ID-ul comenzii (col. A din PI Furnizor)",IF(NOT(ISNUMBER($X331)),"ID comanda negasit in foaia Comenzi",IF(N($E331)&lt;=0,"Lipseste cantitatea",IF(N($G331)=0,"Pret unitar lipsa",IF($Y331&lt;&gt;1,"Curs sau moneda marfa lipsa (foaia Comenzi)",IF(INDEX(Comenzi!$AT:$AT,$X331)&lt;&gt;"OK","Avertisment comanda: "&amp;INDEX(Comenzi!$AT:$AT,$X331),"OK")))))))</f>
        <v/>
      </c>
      <c r="AA331" s="43" t="str">
        <f>IF(ISNUMBER($X331),INDEX(Comenzi!$H:$H,$X331),"")</f>
        <v/>
      </c>
      <c r="AB331" s="43" t="str">
        <f>IF(ISNUMBER($X331),INDEX(Comenzi!$I:$I,$X331),"")</f>
        <v/>
      </c>
      <c r="AC331" s="44" t="str">
        <f>IF(ISNUMBER($X331),IF(INDEX(Comenzi!$V:$V,$X331)="",Comenzi!$D$3,INDEX(Comenzi!$V:$V,$X331)),"")</f>
        <v/>
      </c>
      <c r="AD331" s="44" t="str">
        <f>IF(ISNUMBER($X331),IF(INDEX(Comenzi!$U:$U,$X331)="",Comenzi!$D$4,INDEX(Comenzi!$U:$U,$X331)),"")</f>
        <v/>
      </c>
      <c r="AE331" s="45" t="str">
        <f>IF($Y331&lt;&gt;1,"",IF(INDEX(Comenzi!$AM:$AM,$X331)="Greutate",INDEX('PI Furnizor'!$O:$O,ROW()-3),IF(INDEX(Comenzi!$AM:$AM,$X331)="Volum (CBM)",INDEX('PI Furnizor'!$Q:$Q,ROW()-3),IF(INDEX(Comenzi!$AM:$AM,$X331)="Valoare marfa",INDEX('PI Furnizor'!$N:$N,ROW()-3),$E331))))</f>
        <v/>
      </c>
    </row>
    <row r="332" spans="1:31" x14ac:dyDescent="0.3">
      <c r="A332" s="28" t="str">
        <f>IF(COUNTA(INDEX('PI Furnizor'!$A:$E,ROW()-3,0))=0,"",IF(INDEX('PI Furnizor'!$A:$A,ROW()-3)="","?",INDEX('PI Furnizor'!$A:$A,ROW()-3)))</f>
        <v/>
      </c>
      <c r="B332" s="29" t="str">
        <f>IF(ISNUMBER($X332),INDEX(Comenzi!$B:$B,$X332),"")</f>
        <v/>
      </c>
      <c r="C332" s="28" t="str">
        <f>IF($A332="","",INDEX('PI Furnizor'!$B:$B,ROW()-3)&amp;"")</f>
        <v/>
      </c>
      <c r="D332" s="28" t="str">
        <f>IF($A332="","",INDEX('PI Furnizor'!$C:$C,ROW()-3)&amp;"")</f>
        <v/>
      </c>
      <c r="E332" s="30" t="str">
        <f>IF($A332="","",N(INDEX('PI Furnizor'!$D:$D,ROW()-3)))</f>
        <v/>
      </c>
      <c r="F332" s="31" t="str">
        <f>IF(ISNUMBER($X332),INDEX(Comenzi!$G:$G,$X332),"")</f>
        <v/>
      </c>
      <c r="G332" s="32" t="str">
        <f>IF($A332="","",N(INDEX('PI Furnizor'!$E:$E,ROW()-3)))</f>
        <v/>
      </c>
      <c r="H332" s="33" t="str">
        <f t="shared" si="65"/>
        <v/>
      </c>
      <c r="I332" s="34" t="str">
        <f>IF($Y332&lt;&gt;1,"",IFERROR($AE332/INDEX(Comenzi!$AN:$AN,$X332),0))</f>
        <v/>
      </c>
      <c r="J332" s="33" t="str">
        <f>IF($Y332&lt;&gt;1,"",INDEX(Comenzi!$AG:$AG,$X332)*$I332/$E332)</f>
        <v/>
      </c>
      <c r="K332" s="33" t="str">
        <f t="shared" si="66"/>
        <v/>
      </c>
      <c r="L332" s="33" t="str">
        <f>IF($Y332&lt;&gt;1,"",$K332*$AD332+INDEX(Comenzi!$AJ:$AJ,$X332)*$I332/$E332)</f>
        <v/>
      </c>
      <c r="M332" s="33" t="str">
        <f t="shared" si="67"/>
        <v/>
      </c>
      <c r="N332" s="33" t="str">
        <f t="shared" si="68"/>
        <v/>
      </c>
      <c r="O332" s="33" t="str">
        <f>IF($Y332&lt;&gt;1,"",(INDEX(Comenzi!$AK:$AK,$X332)+N(INDEX(Comenzi!$T:$T,$X332)))*$I332/$E332)</f>
        <v/>
      </c>
      <c r="P332" s="35" t="str">
        <f t="shared" si="69"/>
        <v/>
      </c>
      <c r="Q332" s="36" t="str">
        <f t="shared" si="70"/>
        <v/>
      </c>
      <c r="R332" s="37" t="str">
        <f t="shared" si="71"/>
        <v/>
      </c>
      <c r="S332" s="38" t="str">
        <f t="shared" si="72"/>
        <v/>
      </c>
      <c r="T332" s="39" t="str">
        <f t="shared" si="73"/>
        <v/>
      </c>
      <c r="U332" s="40" t="str">
        <f t="shared" si="74"/>
        <v/>
      </c>
      <c r="V332" s="33" t="str">
        <f t="shared" si="75"/>
        <v/>
      </c>
      <c r="W332" s="33" t="str">
        <f t="shared" si="76"/>
        <v/>
      </c>
      <c r="X332" s="41" t="str">
        <f>IF($A332="","",IFERROR(MATCH($A332,Comenzi!$A$9:$A$108,0)+8,""))</f>
        <v/>
      </c>
      <c r="Y332" s="41" t="str">
        <f t="shared" si="77"/>
        <v/>
      </c>
      <c r="Z332" s="42" t="str">
        <f>IF($A332="","",IF($A332="?","Lipseste ID-ul comenzii (col. A din PI Furnizor)",IF(NOT(ISNUMBER($X332)),"ID comanda negasit in foaia Comenzi",IF(N($E332)&lt;=0,"Lipseste cantitatea",IF(N($G332)=0,"Pret unitar lipsa",IF($Y332&lt;&gt;1,"Curs sau moneda marfa lipsa (foaia Comenzi)",IF(INDEX(Comenzi!$AT:$AT,$X332)&lt;&gt;"OK","Avertisment comanda: "&amp;INDEX(Comenzi!$AT:$AT,$X332),"OK")))))))</f>
        <v/>
      </c>
      <c r="AA332" s="43" t="str">
        <f>IF(ISNUMBER($X332),INDEX(Comenzi!$H:$H,$X332),"")</f>
        <v/>
      </c>
      <c r="AB332" s="43" t="str">
        <f>IF(ISNUMBER($X332),INDEX(Comenzi!$I:$I,$X332),"")</f>
        <v/>
      </c>
      <c r="AC332" s="44" t="str">
        <f>IF(ISNUMBER($X332),IF(INDEX(Comenzi!$V:$V,$X332)="",Comenzi!$D$3,INDEX(Comenzi!$V:$V,$X332)),"")</f>
        <v/>
      </c>
      <c r="AD332" s="44" t="str">
        <f>IF(ISNUMBER($X332),IF(INDEX(Comenzi!$U:$U,$X332)="",Comenzi!$D$4,INDEX(Comenzi!$U:$U,$X332)),"")</f>
        <v/>
      </c>
      <c r="AE332" s="45" t="str">
        <f>IF($Y332&lt;&gt;1,"",IF(INDEX(Comenzi!$AM:$AM,$X332)="Greutate",INDEX('PI Furnizor'!$O:$O,ROW()-3),IF(INDEX(Comenzi!$AM:$AM,$X332)="Volum (CBM)",INDEX('PI Furnizor'!$Q:$Q,ROW()-3),IF(INDEX(Comenzi!$AM:$AM,$X332)="Valoare marfa",INDEX('PI Furnizor'!$N:$N,ROW()-3),$E332))))</f>
        <v/>
      </c>
    </row>
    <row r="333" spans="1:31" x14ac:dyDescent="0.3">
      <c r="A333" s="28" t="str">
        <f>IF(COUNTA(INDEX('PI Furnizor'!$A:$E,ROW()-3,0))=0,"",IF(INDEX('PI Furnizor'!$A:$A,ROW()-3)="","?",INDEX('PI Furnizor'!$A:$A,ROW()-3)))</f>
        <v/>
      </c>
      <c r="B333" s="29" t="str">
        <f>IF(ISNUMBER($X333),INDEX(Comenzi!$B:$B,$X333),"")</f>
        <v/>
      </c>
      <c r="C333" s="28" t="str">
        <f>IF($A333="","",INDEX('PI Furnizor'!$B:$B,ROW()-3)&amp;"")</f>
        <v/>
      </c>
      <c r="D333" s="28" t="str">
        <f>IF($A333="","",INDEX('PI Furnizor'!$C:$C,ROW()-3)&amp;"")</f>
        <v/>
      </c>
      <c r="E333" s="30" t="str">
        <f>IF($A333="","",N(INDEX('PI Furnizor'!$D:$D,ROW()-3)))</f>
        <v/>
      </c>
      <c r="F333" s="31" t="str">
        <f>IF(ISNUMBER($X333),INDEX(Comenzi!$G:$G,$X333),"")</f>
        <v/>
      </c>
      <c r="G333" s="32" t="str">
        <f>IF($A333="","",N(INDEX('PI Furnizor'!$E:$E,ROW()-3)))</f>
        <v/>
      </c>
      <c r="H333" s="33" t="str">
        <f t="shared" si="65"/>
        <v/>
      </c>
      <c r="I333" s="34" t="str">
        <f>IF($Y333&lt;&gt;1,"",IFERROR($AE333/INDEX(Comenzi!$AN:$AN,$X333),0))</f>
        <v/>
      </c>
      <c r="J333" s="33" t="str">
        <f>IF($Y333&lt;&gt;1,"",INDEX(Comenzi!$AG:$AG,$X333)*$I333/$E333)</f>
        <v/>
      </c>
      <c r="K333" s="33" t="str">
        <f t="shared" si="66"/>
        <v/>
      </c>
      <c r="L333" s="33" t="str">
        <f>IF($Y333&lt;&gt;1,"",$K333*$AD333+INDEX(Comenzi!$AJ:$AJ,$X333)*$I333/$E333)</f>
        <v/>
      </c>
      <c r="M333" s="33" t="str">
        <f t="shared" si="67"/>
        <v/>
      </c>
      <c r="N333" s="33" t="str">
        <f t="shared" si="68"/>
        <v/>
      </c>
      <c r="O333" s="33" t="str">
        <f>IF($Y333&lt;&gt;1,"",(INDEX(Comenzi!$AK:$AK,$X333)+N(INDEX(Comenzi!$T:$T,$X333)))*$I333/$E333)</f>
        <v/>
      </c>
      <c r="P333" s="35" t="str">
        <f t="shared" si="69"/>
        <v/>
      </c>
      <c r="Q333" s="36" t="str">
        <f t="shared" si="70"/>
        <v/>
      </c>
      <c r="R333" s="37" t="str">
        <f t="shared" si="71"/>
        <v/>
      </c>
      <c r="S333" s="38" t="str">
        <f t="shared" si="72"/>
        <v/>
      </c>
      <c r="T333" s="39" t="str">
        <f t="shared" si="73"/>
        <v/>
      </c>
      <c r="U333" s="40" t="str">
        <f t="shared" si="74"/>
        <v/>
      </c>
      <c r="V333" s="33" t="str">
        <f t="shared" si="75"/>
        <v/>
      </c>
      <c r="W333" s="33" t="str">
        <f t="shared" si="76"/>
        <v/>
      </c>
      <c r="X333" s="41" t="str">
        <f>IF($A333="","",IFERROR(MATCH($A333,Comenzi!$A$9:$A$108,0)+8,""))</f>
        <v/>
      </c>
      <c r="Y333" s="41" t="str">
        <f t="shared" si="77"/>
        <v/>
      </c>
      <c r="Z333" s="42" t="str">
        <f>IF($A333="","",IF($A333="?","Lipseste ID-ul comenzii (col. A din PI Furnizor)",IF(NOT(ISNUMBER($X333)),"ID comanda negasit in foaia Comenzi",IF(N($E333)&lt;=0,"Lipseste cantitatea",IF(N($G333)=0,"Pret unitar lipsa",IF($Y333&lt;&gt;1,"Curs sau moneda marfa lipsa (foaia Comenzi)",IF(INDEX(Comenzi!$AT:$AT,$X333)&lt;&gt;"OK","Avertisment comanda: "&amp;INDEX(Comenzi!$AT:$AT,$X333),"OK")))))))</f>
        <v/>
      </c>
      <c r="AA333" s="43" t="str">
        <f>IF(ISNUMBER($X333),INDEX(Comenzi!$H:$H,$X333),"")</f>
        <v/>
      </c>
      <c r="AB333" s="43" t="str">
        <f>IF(ISNUMBER($X333),INDEX(Comenzi!$I:$I,$X333),"")</f>
        <v/>
      </c>
      <c r="AC333" s="44" t="str">
        <f>IF(ISNUMBER($X333),IF(INDEX(Comenzi!$V:$V,$X333)="",Comenzi!$D$3,INDEX(Comenzi!$V:$V,$X333)),"")</f>
        <v/>
      </c>
      <c r="AD333" s="44" t="str">
        <f>IF(ISNUMBER($X333),IF(INDEX(Comenzi!$U:$U,$X333)="",Comenzi!$D$4,INDEX(Comenzi!$U:$U,$X333)),"")</f>
        <v/>
      </c>
      <c r="AE333" s="45" t="str">
        <f>IF($Y333&lt;&gt;1,"",IF(INDEX(Comenzi!$AM:$AM,$X333)="Greutate",INDEX('PI Furnizor'!$O:$O,ROW()-3),IF(INDEX(Comenzi!$AM:$AM,$X333)="Volum (CBM)",INDEX('PI Furnizor'!$Q:$Q,ROW()-3),IF(INDEX(Comenzi!$AM:$AM,$X333)="Valoare marfa",INDEX('PI Furnizor'!$N:$N,ROW()-3),$E333))))</f>
        <v/>
      </c>
    </row>
    <row r="334" spans="1:31" x14ac:dyDescent="0.3">
      <c r="A334" s="28" t="str">
        <f>IF(COUNTA(INDEX('PI Furnizor'!$A:$E,ROW()-3,0))=0,"",IF(INDEX('PI Furnizor'!$A:$A,ROW()-3)="","?",INDEX('PI Furnizor'!$A:$A,ROW()-3)))</f>
        <v/>
      </c>
      <c r="B334" s="29" t="str">
        <f>IF(ISNUMBER($X334),INDEX(Comenzi!$B:$B,$X334),"")</f>
        <v/>
      </c>
      <c r="C334" s="28" t="str">
        <f>IF($A334="","",INDEX('PI Furnizor'!$B:$B,ROW()-3)&amp;"")</f>
        <v/>
      </c>
      <c r="D334" s="28" t="str">
        <f>IF($A334="","",INDEX('PI Furnizor'!$C:$C,ROW()-3)&amp;"")</f>
        <v/>
      </c>
      <c r="E334" s="30" t="str">
        <f>IF($A334="","",N(INDEX('PI Furnizor'!$D:$D,ROW()-3)))</f>
        <v/>
      </c>
      <c r="F334" s="31" t="str">
        <f>IF(ISNUMBER($X334),INDEX(Comenzi!$G:$G,$X334),"")</f>
        <v/>
      </c>
      <c r="G334" s="32" t="str">
        <f>IF($A334="","",N(INDEX('PI Furnizor'!$E:$E,ROW()-3)))</f>
        <v/>
      </c>
      <c r="H334" s="33" t="str">
        <f t="shared" si="65"/>
        <v/>
      </c>
      <c r="I334" s="34" t="str">
        <f>IF($Y334&lt;&gt;1,"",IFERROR($AE334/INDEX(Comenzi!$AN:$AN,$X334),0))</f>
        <v/>
      </c>
      <c r="J334" s="33" t="str">
        <f>IF($Y334&lt;&gt;1,"",INDEX(Comenzi!$AG:$AG,$X334)*$I334/$E334)</f>
        <v/>
      </c>
      <c r="K334" s="33" t="str">
        <f t="shared" si="66"/>
        <v/>
      </c>
      <c r="L334" s="33" t="str">
        <f>IF($Y334&lt;&gt;1,"",$K334*$AD334+INDEX(Comenzi!$AJ:$AJ,$X334)*$I334/$E334)</f>
        <v/>
      </c>
      <c r="M334" s="33" t="str">
        <f t="shared" si="67"/>
        <v/>
      </c>
      <c r="N334" s="33" t="str">
        <f t="shared" si="68"/>
        <v/>
      </c>
      <c r="O334" s="33" t="str">
        <f>IF($Y334&lt;&gt;1,"",(INDEX(Comenzi!$AK:$AK,$X334)+N(INDEX(Comenzi!$T:$T,$X334)))*$I334/$E334)</f>
        <v/>
      </c>
      <c r="P334" s="35" t="str">
        <f t="shared" si="69"/>
        <v/>
      </c>
      <c r="Q334" s="36" t="str">
        <f t="shared" si="70"/>
        <v/>
      </c>
      <c r="R334" s="37" t="str">
        <f t="shared" si="71"/>
        <v/>
      </c>
      <c r="S334" s="38" t="str">
        <f t="shared" si="72"/>
        <v/>
      </c>
      <c r="T334" s="39" t="str">
        <f t="shared" si="73"/>
        <v/>
      </c>
      <c r="U334" s="40" t="str">
        <f t="shared" si="74"/>
        <v/>
      </c>
      <c r="V334" s="33" t="str">
        <f t="shared" si="75"/>
        <v/>
      </c>
      <c r="W334" s="33" t="str">
        <f t="shared" si="76"/>
        <v/>
      </c>
      <c r="X334" s="41" t="str">
        <f>IF($A334="","",IFERROR(MATCH($A334,Comenzi!$A$9:$A$108,0)+8,""))</f>
        <v/>
      </c>
      <c r="Y334" s="41" t="str">
        <f t="shared" si="77"/>
        <v/>
      </c>
      <c r="Z334" s="42" t="str">
        <f>IF($A334="","",IF($A334="?","Lipseste ID-ul comenzii (col. A din PI Furnizor)",IF(NOT(ISNUMBER($X334)),"ID comanda negasit in foaia Comenzi",IF(N($E334)&lt;=0,"Lipseste cantitatea",IF(N($G334)=0,"Pret unitar lipsa",IF($Y334&lt;&gt;1,"Curs sau moneda marfa lipsa (foaia Comenzi)",IF(INDEX(Comenzi!$AT:$AT,$X334)&lt;&gt;"OK","Avertisment comanda: "&amp;INDEX(Comenzi!$AT:$AT,$X334),"OK")))))))</f>
        <v/>
      </c>
      <c r="AA334" s="43" t="str">
        <f>IF(ISNUMBER($X334),INDEX(Comenzi!$H:$H,$X334),"")</f>
        <v/>
      </c>
      <c r="AB334" s="43" t="str">
        <f>IF(ISNUMBER($X334),INDEX(Comenzi!$I:$I,$X334),"")</f>
        <v/>
      </c>
      <c r="AC334" s="44" t="str">
        <f>IF(ISNUMBER($X334),IF(INDEX(Comenzi!$V:$V,$X334)="",Comenzi!$D$3,INDEX(Comenzi!$V:$V,$X334)),"")</f>
        <v/>
      </c>
      <c r="AD334" s="44" t="str">
        <f>IF(ISNUMBER($X334),IF(INDEX(Comenzi!$U:$U,$X334)="",Comenzi!$D$4,INDEX(Comenzi!$U:$U,$X334)),"")</f>
        <v/>
      </c>
      <c r="AE334" s="45" t="str">
        <f>IF($Y334&lt;&gt;1,"",IF(INDEX(Comenzi!$AM:$AM,$X334)="Greutate",INDEX('PI Furnizor'!$O:$O,ROW()-3),IF(INDEX(Comenzi!$AM:$AM,$X334)="Volum (CBM)",INDEX('PI Furnizor'!$Q:$Q,ROW()-3),IF(INDEX(Comenzi!$AM:$AM,$X334)="Valoare marfa",INDEX('PI Furnizor'!$N:$N,ROW()-3),$E334))))</f>
        <v/>
      </c>
    </row>
    <row r="335" spans="1:31" x14ac:dyDescent="0.3">
      <c r="A335" s="28" t="str">
        <f>IF(COUNTA(INDEX('PI Furnizor'!$A:$E,ROW()-3,0))=0,"",IF(INDEX('PI Furnizor'!$A:$A,ROW()-3)="","?",INDEX('PI Furnizor'!$A:$A,ROW()-3)))</f>
        <v/>
      </c>
      <c r="B335" s="29" t="str">
        <f>IF(ISNUMBER($X335),INDEX(Comenzi!$B:$B,$X335),"")</f>
        <v/>
      </c>
      <c r="C335" s="28" t="str">
        <f>IF($A335="","",INDEX('PI Furnizor'!$B:$B,ROW()-3)&amp;"")</f>
        <v/>
      </c>
      <c r="D335" s="28" t="str">
        <f>IF($A335="","",INDEX('PI Furnizor'!$C:$C,ROW()-3)&amp;"")</f>
        <v/>
      </c>
      <c r="E335" s="30" t="str">
        <f>IF($A335="","",N(INDEX('PI Furnizor'!$D:$D,ROW()-3)))</f>
        <v/>
      </c>
      <c r="F335" s="31" t="str">
        <f>IF(ISNUMBER($X335),INDEX(Comenzi!$G:$G,$X335),"")</f>
        <v/>
      </c>
      <c r="G335" s="32" t="str">
        <f>IF($A335="","",N(INDEX('PI Furnizor'!$E:$E,ROW()-3)))</f>
        <v/>
      </c>
      <c r="H335" s="33" t="str">
        <f t="shared" si="65"/>
        <v/>
      </c>
      <c r="I335" s="34" t="str">
        <f>IF($Y335&lt;&gt;1,"",IFERROR($AE335/INDEX(Comenzi!$AN:$AN,$X335),0))</f>
        <v/>
      </c>
      <c r="J335" s="33" t="str">
        <f>IF($Y335&lt;&gt;1,"",INDEX(Comenzi!$AG:$AG,$X335)*$I335/$E335)</f>
        <v/>
      </c>
      <c r="K335" s="33" t="str">
        <f t="shared" si="66"/>
        <v/>
      </c>
      <c r="L335" s="33" t="str">
        <f>IF($Y335&lt;&gt;1,"",$K335*$AD335+INDEX(Comenzi!$AJ:$AJ,$X335)*$I335/$E335)</f>
        <v/>
      </c>
      <c r="M335" s="33" t="str">
        <f t="shared" si="67"/>
        <v/>
      </c>
      <c r="N335" s="33" t="str">
        <f t="shared" si="68"/>
        <v/>
      </c>
      <c r="O335" s="33" t="str">
        <f>IF($Y335&lt;&gt;1,"",(INDEX(Comenzi!$AK:$AK,$X335)+N(INDEX(Comenzi!$T:$T,$X335)))*$I335/$E335)</f>
        <v/>
      </c>
      <c r="P335" s="35" t="str">
        <f t="shared" si="69"/>
        <v/>
      </c>
      <c r="Q335" s="36" t="str">
        <f t="shared" si="70"/>
        <v/>
      </c>
      <c r="R335" s="37" t="str">
        <f t="shared" si="71"/>
        <v/>
      </c>
      <c r="S335" s="38" t="str">
        <f t="shared" si="72"/>
        <v/>
      </c>
      <c r="T335" s="39" t="str">
        <f t="shared" si="73"/>
        <v/>
      </c>
      <c r="U335" s="40" t="str">
        <f t="shared" si="74"/>
        <v/>
      </c>
      <c r="V335" s="33" t="str">
        <f t="shared" si="75"/>
        <v/>
      </c>
      <c r="W335" s="33" t="str">
        <f t="shared" si="76"/>
        <v/>
      </c>
      <c r="X335" s="41" t="str">
        <f>IF($A335="","",IFERROR(MATCH($A335,Comenzi!$A$9:$A$108,0)+8,""))</f>
        <v/>
      </c>
      <c r="Y335" s="41" t="str">
        <f t="shared" si="77"/>
        <v/>
      </c>
      <c r="Z335" s="42" t="str">
        <f>IF($A335="","",IF($A335="?","Lipseste ID-ul comenzii (col. A din PI Furnizor)",IF(NOT(ISNUMBER($X335)),"ID comanda negasit in foaia Comenzi",IF(N($E335)&lt;=0,"Lipseste cantitatea",IF(N($G335)=0,"Pret unitar lipsa",IF($Y335&lt;&gt;1,"Curs sau moneda marfa lipsa (foaia Comenzi)",IF(INDEX(Comenzi!$AT:$AT,$X335)&lt;&gt;"OK","Avertisment comanda: "&amp;INDEX(Comenzi!$AT:$AT,$X335),"OK")))))))</f>
        <v/>
      </c>
      <c r="AA335" s="43" t="str">
        <f>IF(ISNUMBER($X335),INDEX(Comenzi!$H:$H,$X335),"")</f>
        <v/>
      </c>
      <c r="AB335" s="43" t="str">
        <f>IF(ISNUMBER($X335),INDEX(Comenzi!$I:$I,$X335),"")</f>
        <v/>
      </c>
      <c r="AC335" s="44" t="str">
        <f>IF(ISNUMBER($X335),IF(INDEX(Comenzi!$V:$V,$X335)="",Comenzi!$D$3,INDEX(Comenzi!$V:$V,$X335)),"")</f>
        <v/>
      </c>
      <c r="AD335" s="44" t="str">
        <f>IF(ISNUMBER($X335),IF(INDEX(Comenzi!$U:$U,$X335)="",Comenzi!$D$4,INDEX(Comenzi!$U:$U,$X335)),"")</f>
        <v/>
      </c>
      <c r="AE335" s="45" t="str">
        <f>IF($Y335&lt;&gt;1,"",IF(INDEX(Comenzi!$AM:$AM,$X335)="Greutate",INDEX('PI Furnizor'!$O:$O,ROW()-3),IF(INDEX(Comenzi!$AM:$AM,$X335)="Volum (CBM)",INDEX('PI Furnizor'!$Q:$Q,ROW()-3),IF(INDEX(Comenzi!$AM:$AM,$X335)="Valoare marfa",INDEX('PI Furnizor'!$N:$N,ROW()-3),$E335))))</f>
        <v/>
      </c>
    </row>
    <row r="336" spans="1:31" x14ac:dyDescent="0.3">
      <c r="A336" s="28" t="str">
        <f>IF(COUNTA(INDEX('PI Furnizor'!$A:$E,ROW()-3,0))=0,"",IF(INDEX('PI Furnizor'!$A:$A,ROW()-3)="","?",INDEX('PI Furnizor'!$A:$A,ROW()-3)))</f>
        <v/>
      </c>
      <c r="B336" s="29" t="str">
        <f>IF(ISNUMBER($X336),INDEX(Comenzi!$B:$B,$X336),"")</f>
        <v/>
      </c>
      <c r="C336" s="28" t="str">
        <f>IF($A336="","",INDEX('PI Furnizor'!$B:$B,ROW()-3)&amp;"")</f>
        <v/>
      </c>
      <c r="D336" s="28" t="str">
        <f>IF($A336="","",INDEX('PI Furnizor'!$C:$C,ROW()-3)&amp;"")</f>
        <v/>
      </c>
      <c r="E336" s="30" t="str">
        <f>IF($A336="","",N(INDEX('PI Furnizor'!$D:$D,ROW()-3)))</f>
        <v/>
      </c>
      <c r="F336" s="31" t="str">
        <f>IF(ISNUMBER($X336),INDEX(Comenzi!$G:$G,$X336),"")</f>
        <v/>
      </c>
      <c r="G336" s="32" t="str">
        <f>IF($A336="","",N(INDEX('PI Furnizor'!$E:$E,ROW()-3)))</f>
        <v/>
      </c>
      <c r="H336" s="33" t="str">
        <f t="shared" si="65"/>
        <v/>
      </c>
      <c r="I336" s="34" t="str">
        <f>IF($Y336&lt;&gt;1,"",IFERROR($AE336/INDEX(Comenzi!$AN:$AN,$X336),0))</f>
        <v/>
      </c>
      <c r="J336" s="33" t="str">
        <f>IF($Y336&lt;&gt;1,"",INDEX(Comenzi!$AG:$AG,$X336)*$I336/$E336)</f>
        <v/>
      </c>
      <c r="K336" s="33" t="str">
        <f t="shared" si="66"/>
        <v/>
      </c>
      <c r="L336" s="33" t="str">
        <f>IF($Y336&lt;&gt;1,"",$K336*$AD336+INDEX(Comenzi!$AJ:$AJ,$X336)*$I336/$E336)</f>
        <v/>
      </c>
      <c r="M336" s="33" t="str">
        <f t="shared" si="67"/>
        <v/>
      </c>
      <c r="N336" s="33" t="str">
        <f t="shared" si="68"/>
        <v/>
      </c>
      <c r="O336" s="33" t="str">
        <f>IF($Y336&lt;&gt;1,"",(INDEX(Comenzi!$AK:$AK,$X336)+N(INDEX(Comenzi!$T:$T,$X336)))*$I336/$E336)</f>
        <v/>
      </c>
      <c r="P336" s="35" t="str">
        <f t="shared" si="69"/>
        <v/>
      </c>
      <c r="Q336" s="36" t="str">
        <f t="shared" si="70"/>
        <v/>
      </c>
      <c r="R336" s="37" t="str">
        <f t="shared" si="71"/>
        <v/>
      </c>
      <c r="S336" s="38" t="str">
        <f t="shared" si="72"/>
        <v/>
      </c>
      <c r="T336" s="39" t="str">
        <f t="shared" si="73"/>
        <v/>
      </c>
      <c r="U336" s="40" t="str">
        <f t="shared" si="74"/>
        <v/>
      </c>
      <c r="V336" s="33" t="str">
        <f t="shared" si="75"/>
        <v/>
      </c>
      <c r="W336" s="33" t="str">
        <f t="shared" si="76"/>
        <v/>
      </c>
      <c r="X336" s="41" t="str">
        <f>IF($A336="","",IFERROR(MATCH($A336,Comenzi!$A$9:$A$108,0)+8,""))</f>
        <v/>
      </c>
      <c r="Y336" s="41" t="str">
        <f t="shared" si="77"/>
        <v/>
      </c>
      <c r="Z336" s="42" t="str">
        <f>IF($A336="","",IF($A336="?","Lipseste ID-ul comenzii (col. A din PI Furnizor)",IF(NOT(ISNUMBER($X336)),"ID comanda negasit in foaia Comenzi",IF(N($E336)&lt;=0,"Lipseste cantitatea",IF(N($G336)=0,"Pret unitar lipsa",IF($Y336&lt;&gt;1,"Curs sau moneda marfa lipsa (foaia Comenzi)",IF(INDEX(Comenzi!$AT:$AT,$X336)&lt;&gt;"OK","Avertisment comanda: "&amp;INDEX(Comenzi!$AT:$AT,$X336),"OK")))))))</f>
        <v/>
      </c>
      <c r="AA336" s="43" t="str">
        <f>IF(ISNUMBER($X336),INDEX(Comenzi!$H:$H,$X336),"")</f>
        <v/>
      </c>
      <c r="AB336" s="43" t="str">
        <f>IF(ISNUMBER($X336),INDEX(Comenzi!$I:$I,$X336),"")</f>
        <v/>
      </c>
      <c r="AC336" s="44" t="str">
        <f>IF(ISNUMBER($X336),IF(INDEX(Comenzi!$V:$V,$X336)="",Comenzi!$D$3,INDEX(Comenzi!$V:$V,$X336)),"")</f>
        <v/>
      </c>
      <c r="AD336" s="44" t="str">
        <f>IF(ISNUMBER($X336),IF(INDEX(Comenzi!$U:$U,$X336)="",Comenzi!$D$4,INDEX(Comenzi!$U:$U,$X336)),"")</f>
        <v/>
      </c>
      <c r="AE336" s="45" t="str">
        <f>IF($Y336&lt;&gt;1,"",IF(INDEX(Comenzi!$AM:$AM,$X336)="Greutate",INDEX('PI Furnizor'!$O:$O,ROW()-3),IF(INDEX(Comenzi!$AM:$AM,$X336)="Volum (CBM)",INDEX('PI Furnizor'!$Q:$Q,ROW()-3),IF(INDEX(Comenzi!$AM:$AM,$X336)="Valoare marfa",INDEX('PI Furnizor'!$N:$N,ROW()-3),$E336))))</f>
        <v/>
      </c>
    </row>
    <row r="337" spans="1:31" x14ac:dyDescent="0.3">
      <c r="A337" s="28" t="str">
        <f>IF(COUNTA(INDEX('PI Furnizor'!$A:$E,ROW()-3,0))=0,"",IF(INDEX('PI Furnizor'!$A:$A,ROW()-3)="","?",INDEX('PI Furnizor'!$A:$A,ROW()-3)))</f>
        <v/>
      </c>
      <c r="B337" s="29" t="str">
        <f>IF(ISNUMBER($X337),INDEX(Comenzi!$B:$B,$X337),"")</f>
        <v/>
      </c>
      <c r="C337" s="28" t="str">
        <f>IF($A337="","",INDEX('PI Furnizor'!$B:$B,ROW()-3)&amp;"")</f>
        <v/>
      </c>
      <c r="D337" s="28" t="str">
        <f>IF($A337="","",INDEX('PI Furnizor'!$C:$C,ROW()-3)&amp;"")</f>
        <v/>
      </c>
      <c r="E337" s="30" t="str">
        <f>IF($A337="","",N(INDEX('PI Furnizor'!$D:$D,ROW()-3)))</f>
        <v/>
      </c>
      <c r="F337" s="31" t="str">
        <f>IF(ISNUMBER($X337),INDEX(Comenzi!$G:$G,$X337),"")</f>
        <v/>
      </c>
      <c r="G337" s="32" t="str">
        <f>IF($A337="","",N(INDEX('PI Furnizor'!$E:$E,ROW()-3)))</f>
        <v/>
      </c>
      <c r="H337" s="33" t="str">
        <f t="shared" si="65"/>
        <v/>
      </c>
      <c r="I337" s="34" t="str">
        <f>IF($Y337&lt;&gt;1,"",IFERROR($AE337/INDEX(Comenzi!$AN:$AN,$X337),0))</f>
        <v/>
      </c>
      <c r="J337" s="33" t="str">
        <f>IF($Y337&lt;&gt;1,"",INDEX(Comenzi!$AG:$AG,$X337)*$I337/$E337)</f>
        <v/>
      </c>
      <c r="K337" s="33" t="str">
        <f t="shared" si="66"/>
        <v/>
      </c>
      <c r="L337" s="33" t="str">
        <f>IF($Y337&lt;&gt;1,"",$K337*$AD337+INDEX(Comenzi!$AJ:$AJ,$X337)*$I337/$E337)</f>
        <v/>
      </c>
      <c r="M337" s="33" t="str">
        <f t="shared" si="67"/>
        <v/>
      </c>
      <c r="N337" s="33" t="str">
        <f t="shared" si="68"/>
        <v/>
      </c>
      <c r="O337" s="33" t="str">
        <f>IF($Y337&lt;&gt;1,"",(INDEX(Comenzi!$AK:$AK,$X337)+N(INDEX(Comenzi!$T:$T,$X337)))*$I337/$E337)</f>
        <v/>
      </c>
      <c r="P337" s="35" t="str">
        <f t="shared" si="69"/>
        <v/>
      </c>
      <c r="Q337" s="36" t="str">
        <f t="shared" si="70"/>
        <v/>
      </c>
      <c r="R337" s="37" t="str">
        <f t="shared" si="71"/>
        <v/>
      </c>
      <c r="S337" s="38" t="str">
        <f t="shared" si="72"/>
        <v/>
      </c>
      <c r="T337" s="39" t="str">
        <f t="shared" si="73"/>
        <v/>
      </c>
      <c r="U337" s="40" t="str">
        <f t="shared" si="74"/>
        <v/>
      </c>
      <c r="V337" s="33" t="str">
        <f t="shared" si="75"/>
        <v/>
      </c>
      <c r="W337" s="33" t="str">
        <f t="shared" si="76"/>
        <v/>
      </c>
      <c r="X337" s="41" t="str">
        <f>IF($A337="","",IFERROR(MATCH($A337,Comenzi!$A$9:$A$108,0)+8,""))</f>
        <v/>
      </c>
      <c r="Y337" s="41" t="str">
        <f t="shared" si="77"/>
        <v/>
      </c>
      <c r="Z337" s="42" t="str">
        <f>IF($A337="","",IF($A337="?","Lipseste ID-ul comenzii (col. A din PI Furnizor)",IF(NOT(ISNUMBER($X337)),"ID comanda negasit in foaia Comenzi",IF(N($E337)&lt;=0,"Lipseste cantitatea",IF(N($G337)=0,"Pret unitar lipsa",IF($Y337&lt;&gt;1,"Curs sau moneda marfa lipsa (foaia Comenzi)",IF(INDEX(Comenzi!$AT:$AT,$X337)&lt;&gt;"OK","Avertisment comanda: "&amp;INDEX(Comenzi!$AT:$AT,$X337),"OK")))))))</f>
        <v/>
      </c>
      <c r="AA337" s="43" t="str">
        <f>IF(ISNUMBER($X337),INDEX(Comenzi!$H:$H,$X337),"")</f>
        <v/>
      </c>
      <c r="AB337" s="43" t="str">
        <f>IF(ISNUMBER($X337),INDEX(Comenzi!$I:$I,$X337),"")</f>
        <v/>
      </c>
      <c r="AC337" s="44" t="str">
        <f>IF(ISNUMBER($X337),IF(INDEX(Comenzi!$V:$V,$X337)="",Comenzi!$D$3,INDEX(Comenzi!$V:$V,$X337)),"")</f>
        <v/>
      </c>
      <c r="AD337" s="44" t="str">
        <f>IF(ISNUMBER($X337),IF(INDEX(Comenzi!$U:$U,$X337)="",Comenzi!$D$4,INDEX(Comenzi!$U:$U,$X337)),"")</f>
        <v/>
      </c>
      <c r="AE337" s="45" t="str">
        <f>IF($Y337&lt;&gt;1,"",IF(INDEX(Comenzi!$AM:$AM,$X337)="Greutate",INDEX('PI Furnizor'!$O:$O,ROW()-3),IF(INDEX(Comenzi!$AM:$AM,$X337)="Volum (CBM)",INDEX('PI Furnizor'!$Q:$Q,ROW()-3),IF(INDEX(Comenzi!$AM:$AM,$X337)="Valoare marfa",INDEX('PI Furnizor'!$N:$N,ROW()-3),$E337))))</f>
        <v/>
      </c>
    </row>
    <row r="338" spans="1:31" x14ac:dyDescent="0.3">
      <c r="A338" s="28" t="str">
        <f>IF(COUNTA(INDEX('PI Furnizor'!$A:$E,ROW()-3,0))=0,"",IF(INDEX('PI Furnizor'!$A:$A,ROW()-3)="","?",INDEX('PI Furnizor'!$A:$A,ROW()-3)))</f>
        <v/>
      </c>
      <c r="B338" s="29" t="str">
        <f>IF(ISNUMBER($X338),INDEX(Comenzi!$B:$B,$X338),"")</f>
        <v/>
      </c>
      <c r="C338" s="28" t="str">
        <f>IF($A338="","",INDEX('PI Furnizor'!$B:$B,ROW()-3)&amp;"")</f>
        <v/>
      </c>
      <c r="D338" s="28" t="str">
        <f>IF($A338="","",INDEX('PI Furnizor'!$C:$C,ROW()-3)&amp;"")</f>
        <v/>
      </c>
      <c r="E338" s="30" t="str">
        <f>IF($A338="","",N(INDEX('PI Furnizor'!$D:$D,ROW()-3)))</f>
        <v/>
      </c>
      <c r="F338" s="31" t="str">
        <f>IF(ISNUMBER($X338),INDEX(Comenzi!$G:$G,$X338),"")</f>
        <v/>
      </c>
      <c r="G338" s="32" t="str">
        <f>IF($A338="","",N(INDEX('PI Furnizor'!$E:$E,ROW()-3)))</f>
        <v/>
      </c>
      <c r="H338" s="33" t="str">
        <f t="shared" si="65"/>
        <v/>
      </c>
      <c r="I338" s="34" t="str">
        <f>IF($Y338&lt;&gt;1,"",IFERROR($AE338/INDEX(Comenzi!$AN:$AN,$X338),0))</f>
        <v/>
      </c>
      <c r="J338" s="33" t="str">
        <f>IF($Y338&lt;&gt;1,"",INDEX(Comenzi!$AG:$AG,$X338)*$I338/$E338)</f>
        <v/>
      </c>
      <c r="K338" s="33" t="str">
        <f t="shared" si="66"/>
        <v/>
      </c>
      <c r="L338" s="33" t="str">
        <f>IF($Y338&lt;&gt;1,"",$K338*$AD338+INDEX(Comenzi!$AJ:$AJ,$X338)*$I338/$E338)</f>
        <v/>
      </c>
      <c r="M338" s="33" t="str">
        <f t="shared" si="67"/>
        <v/>
      </c>
      <c r="N338" s="33" t="str">
        <f t="shared" si="68"/>
        <v/>
      </c>
      <c r="O338" s="33" t="str">
        <f>IF($Y338&lt;&gt;1,"",(INDEX(Comenzi!$AK:$AK,$X338)+N(INDEX(Comenzi!$T:$T,$X338)))*$I338/$E338)</f>
        <v/>
      </c>
      <c r="P338" s="35" t="str">
        <f t="shared" si="69"/>
        <v/>
      </c>
      <c r="Q338" s="36" t="str">
        <f t="shared" si="70"/>
        <v/>
      </c>
      <c r="R338" s="37" t="str">
        <f t="shared" si="71"/>
        <v/>
      </c>
      <c r="S338" s="38" t="str">
        <f t="shared" si="72"/>
        <v/>
      </c>
      <c r="T338" s="39" t="str">
        <f t="shared" si="73"/>
        <v/>
      </c>
      <c r="U338" s="40" t="str">
        <f t="shared" si="74"/>
        <v/>
      </c>
      <c r="V338" s="33" t="str">
        <f t="shared" si="75"/>
        <v/>
      </c>
      <c r="W338" s="33" t="str">
        <f t="shared" si="76"/>
        <v/>
      </c>
      <c r="X338" s="41" t="str">
        <f>IF($A338="","",IFERROR(MATCH($A338,Comenzi!$A$9:$A$108,0)+8,""))</f>
        <v/>
      </c>
      <c r="Y338" s="41" t="str">
        <f t="shared" si="77"/>
        <v/>
      </c>
      <c r="Z338" s="42" t="str">
        <f>IF($A338="","",IF($A338="?","Lipseste ID-ul comenzii (col. A din PI Furnizor)",IF(NOT(ISNUMBER($X338)),"ID comanda negasit in foaia Comenzi",IF(N($E338)&lt;=0,"Lipseste cantitatea",IF(N($G338)=0,"Pret unitar lipsa",IF($Y338&lt;&gt;1,"Curs sau moneda marfa lipsa (foaia Comenzi)",IF(INDEX(Comenzi!$AT:$AT,$X338)&lt;&gt;"OK","Avertisment comanda: "&amp;INDEX(Comenzi!$AT:$AT,$X338),"OK")))))))</f>
        <v/>
      </c>
      <c r="AA338" s="43" t="str">
        <f>IF(ISNUMBER($X338),INDEX(Comenzi!$H:$H,$X338),"")</f>
        <v/>
      </c>
      <c r="AB338" s="43" t="str">
        <f>IF(ISNUMBER($X338),INDEX(Comenzi!$I:$I,$X338),"")</f>
        <v/>
      </c>
      <c r="AC338" s="44" t="str">
        <f>IF(ISNUMBER($X338),IF(INDEX(Comenzi!$V:$V,$X338)="",Comenzi!$D$3,INDEX(Comenzi!$V:$V,$X338)),"")</f>
        <v/>
      </c>
      <c r="AD338" s="44" t="str">
        <f>IF(ISNUMBER($X338),IF(INDEX(Comenzi!$U:$U,$X338)="",Comenzi!$D$4,INDEX(Comenzi!$U:$U,$X338)),"")</f>
        <v/>
      </c>
      <c r="AE338" s="45" t="str">
        <f>IF($Y338&lt;&gt;1,"",IF(INDEX(Comenzi!$AM:$AM,$X338)="Greutate",INDEX('PI Furnizor'!$O:$O,ROW()-3),IF(INDEX(Comenzi!$AM:$AM,$X338)="Volum (CBM)",INDEX('PI Furnizor'!$Q:$Q,ROW()-3),IF(INDEX(Comenzi!$AM:$AM,$X338)="Valoare marfa",INDEX('PI Furnizor'!$N:$N,ROW()-3),$E338))))</f>
        <v/>
      </c>
    </row>
    <row r="339" spans="1:31" x14ac:dyDescent="0.3">
      <c r="A339" s="28" t="str">
        <f>IF(COUNTA(INDEX('PI Furnizor'!$A:$E,ROW()-3,0))=0,"",IF(INDEX('PI Furnizor'!$A:$A,ROW()-3)="","?",INDEX('PI Furnizor'!$A:$A,ROW()-3)))</f>
        <v/>
      </c>
      <c r="B339" s="29" t="str">
        <f>IF(ISNUMBER($X339),INDEX(Comenzi!$B:$B,$X339),"")</f>
        <v/>
      </c>
      <c r="C339" s="28" t="str">
        <f>IF($A339="","",INDEX('PI Furnizor'!$B:$B,ROW()-3)&amp;"")</f>
        <v/>
      </c>
      <c r="D339" s="28" t="str">
        <f>IF($A339="","",INDEX('PI Furnizor'!$C:$C,ROW()-3)&amp;"")</f>
        <v/>
      </c>
      <c r="E339" s="30" t="str">
        <f>IF($A339="","",N(INDEX('PI Furnizor'!$D:$D,ROW()-3)))</f>
        <v/>
      </c>
      <c r="F339" s="31" t="str">
        <f>IF(ISNUMBER($X339),INDEX(Comenzi!$G:$G,$X339),"")</f>
        <v/>
      </c>
      <c r="G339" s="32" t="str">
        <f>IF($A339="","",N(INDEX('PI Furnizor'!$E:$E,ROW()-3)))</f>
        <v/>
      </c>
      <c r="H339" s="33" t="str">
        <f t="shared" si="65"/>
        <v/>
      </c>
      <c r="I339" s="34" t="str">
        <f>IF($Y339&lt;&gt;1,"",IFERROR($AE339/INDEX(Comenzi!$AN:$AN,$X339),0))</f>
        <v/>
      </c>
      <c r="J339" s="33" t="str">
        <f>IF($Y339&lt;&gt;1,"",INDEX(Comenzi!$AG:$AG,$X339)*$I339/$E339)</f>
        <v/>
      </c>
      <c r="K339" s="33" t="str">
        <f t="shared" si="66"/>
        <v/>
      </c>
      <c r="L339" s="33" t="str">
        <f>IF($Y339&lt;&gt;1,"",$K339*$AD339+INDEX(Comenzi!$AJ:$AJ,$X339)*$I339/$E339)</f>
        <v/>
      </c>
      <c r="M339" s="33" t="str">
        <f t="shared" si="67"/>
        <v/>
      </c>
      <c r="N339" s="33" t="str">
        <f t="shared" si="68"/>
        <v/>
      </c>
      <c r="O339" s="33" t="str">
        <f>IF($Y339&lt;&gt;1,"",(INDEX(Comenzi!$AK:$AK,$X339)+N(INDEX(Comenzi!$T:$T,$X339)))*$I339/$E339)</f>
        <v/>
      </c>
      <c r="P339" s="35" t="str">
        <f t="shared" si="69"/>
        <v/>
      </c>
      <c r="Q339" s="36" t="str">
        <f t="shared" si="70"/>
        <v/>
      </c>
      <c r="R339" s="37" t="str">
        <f t="shared" si="71"/>
        <v/>
      </c>
      <c r="S339" s="38" t="str">
        <f t="shared" si="72"/>
        <v/>
      </c>
      <c r="T339" s="39" t="str">
        <f t="shared" si="73"/>
        <v/>
      </c>
      <c r="U339" s="40" t="str">
        <f t="shared" si="74"/>
        <v/>
      </c>
      <c r="V339" s="33" t="str">
        <f t="shared" si="75"/>
        <v/>
      </c>
      <c r="W339" s="33" t="str">
        <f t="shared" si="76"/>
        <v/>
      </c>
      <c r="X339" s="41" t="str">
        <f>IF($A339="","",IFERROR(MATCH($A339,Comenzi!$A$9:$A$108,0)+8,""))</f>
        <v/>
      </c>
      <c r="Y339" s="41" t="str">
        <f t="shared" si="77"/>
        <v/>
      </c>
      <c r="Z339" s="42" t="str">
        <f>IF($A339="","",IF($A339="?","Lipseste ID-ul comenzii (col. A din PI Furnizor)",IF(NOT(ISNUMBER($X339)),"ID comanda negasit in foaia Comenzi",IF(N($E339)&lt;=0,"Lipseste cantitatea",IF(N($G339)=0,"Pret unitar lipsa",IF($Y339&lt;&gt;1,"Curs sau moneda marfa lipsa (foaia Comenzi)",IF(INDEX(Comenzi!$AT:$AT,$X339)&lt;&gt;"OK","Avertisment comanda: "&amp;INDEX(Comenzi!$AT:$AT,$X339),"OK")))))))</f>
        <v/>
      </c>
      <c r="AA339" s="43" t="str">
        <f>IF(ISNUMBER($X339),INDEX(Comenzi!$H:$H,$X339),"")</f>
        <v/>
      </c>
      <c r="AB339" s="43" t="str">
        <f>IF(ISNUMBER($X339),INDEX(Comenzi!$I:$I,$X339),"")</f>
        <v/>
      </c>
      <c r="AC339" s="44" t="str">
        <f>IF(ISNUMBER($X339),IF(INDEX(Comenzi!$V:$V,$X339)="",Comenzi!$D$3,INDEX(Comenzi!$V:$V,$X339)),"")</f>
        <v/>
      </c>
      <c r="AD339" s="44" t="str">
        <f>IF(ISNUMBER($X339),IF(INDEX(Comenzi!$U:$U,$X339)="",Comenzi!$D$4,INDEX(Comenzi!$U:$U,$X339)),"")</f>
        <v/>
      </c>
      <c r="AE339" s="45" t="str">
        <f>IF($Y339&lt;&gt;1,"",IF(INDEX(Comenzi!$AM:$AM,$X339)="Greutate",INDEX('PI Furnizor'!$O:$O,ROW()-3),IF(INDEX(Comenzi!$AM:$AM,$X339)="Volum (CBM)",INDEX('PI Furnizor'!$Q:$Q,ROW()-3),IF(INDEX(Comenzi!$AM:$AM,$X339)="Valoare marfa",INDEX('PI Furnizor'!$N:$N,ROW()-3),$E339))))</f>
        <v/>
      </c>
    </row>
    <row r="340" spans="1:31" x14ac:dyDescent="0.3">
      <c r="A340" s="28" t="str">
        <f>IF(COUNTA(INDEX('PI Furnizor'!$A:$E,ROW()-3,0))=0,"",IF(INDEX('PI Furnizor'!$A:$A,ROW()-3)="","?",INDEX('PI Furnizor'!$A:$A,ROW()-3)))</f>
        <v/>
      </c>
      <c r="B340" s="29" t="str">
        <f>IF(ISNUMBER($X340),INDEX(Comenzi!$B:$B,$X340),"")</f>
        <v/>
      </c>
      <c r="C340" s="28" t="str">
        <f>IF($A340="","",INDEX('PI Furnizor'!$B:$B,ROW()-3)&amp;"")</f>
        <v/>
      </c>
      <c r="D340" s="28" t="str">
        <f>IF($A340="","",INDEX('PI Furnizor'!$C:$C,ROW()-3)&amp;"")</f>
        <v/>
      </c>
      <c r="E340" s="30" t="str">
        <f>IF($A340="","",N(INDEX('PI Furnizor'!$D:$D,ROW()-3)))</f>
        <v/>
      </c>
      <c r="F340" s="31" t="str">
        <f>IF(ISNUMBER($X340),INDEX(Comenzi!$G:$G,$X340),"")</f>
        <v/>
      </c>
      <c r="G340" s="32" t="str">
        <f>IF($A340="","",N(INDEX('PI Furnizor'!$E:$E,ROW()-3)))</f>
        <v/>
      </c>
      <c r="H340" s="33" t="str">
        <f t="shared" si="65"/>
        <v/>
      </c>
      <c r="I340" s="34" t="str">
        <f>IF($Y340&lt;&gt;1,"",IFERROR($AE340/INDEX(Comenzi!$AN:$AN,$X340),0))</f>
        <v/>
      </c>
      <c r="J340" s="33" t="str">
        <f>IF($Y340&lt;&gt;1,"",INDEX(Comenzi!$AG:$AG,$X340)*$I340/$E340)</f>
        <v/>
      </c>
      <c r="K340" s="33" t="str">
        <f t="shared" si="66"/>
        <v/>
      </c>
      <c r="L340" s="33" t="str">
        <f>IF($Y340&lt;&gt;1,"",$K340*$AD340+INDEX(Comenzi!$AJ:$AJ,$X340)*$I340/$E340)</f>
        <v/>
      </c>
      <c r="M340" s="33" t="str">
        <f t="shared" si="67"/>
        <v/>
      </c>
      <c r="N340" s="33" t="str">
        <f t="shared" si="68"/>
        <v/>
      </c>
      <c r="O340" s="33" t="str">
        <f>IF($Y340&lt;&gt;1,"",(INDEX(Comenzi!$AK:$AK,$X340)+N(INDEX(Comenzi!$T:$T,$X340)))*$I340/$E340)</f>
        <v/>
      </c>
      <c r="P340" s="35" t="str">
        <f t="shared" si="69"/>
        <v/>
      </c>
      <c r="Q340" s="36" t="str">
        <f t="shared" si="70"/>
        <v/>
      </c>
      <c r="R340" s="37" t="str">
        <f t="shared" si="71"/>
        <v/>
      </c>
      <c r="S340" s="38" t="str">
        <f t="shared" si="72"/>
        <v/>
      </c>
      <c r="T340" s="39" t="str">
        <f t="shared" si="73"/>
        <v/>
      </c>
      <c r="U340" s="40" t="str">
        <f t="shared" si="74"/>
        <v/>
      </c>
      <c r="V340" s="33" t="str">
        <f t="shared" si="75"/>
        <v/>
      </c>
      <c r="W340" s="33" t="str">
        <f t="shared" si="76"/>
        <v/>
      </c>
      <c r="X340" s="41" t="str">
        <f>IF($A340="","",IFERROR(MATCH($A340,Comenzi!$A$9:$A$108,0)+8,""))</f>
        <v/>
      </c>
      <c r="Y340" s="41" t="str">
        <f t="shared" si="77"/>
        <v/>
      </c>
      <c r="Z340" s="42" t="str">
        <f>IF($A340="","",IF($A340="?","Lipseste ID-ul comenzii (col. A din PI Furnizor)",IF(NOT(ISNUMBER($X340)),"ID comanda negasit in foaia Comenzi",IF(N($E340)&lt;=0,"Lipseste cantitatea",IF(N($G340)=0,"Pret unitar lipsa",IF($Y340&lt;&gt;1,"Curs sau moneda marfa lipsa (foaia Comenzi)",IF(INDEX(Comenzi!$AT:$AT,$X340)&lt;&gt;"OK","Avertisment comanda: "&amp;INDEX(Comenzi!$AT:$AT,$X340),"OK")))))))</f>
        <v/>
      </c>
      <c r="AA340" s="43" t="str">
        <f>IF(ISNUMBER($X340),INDEX(Comenzi!$H:$H,$X340),"")</f>
        <v/>
      </c>
      <c r="AB340" s="43" t="str">
        <f>IF(ISNUMBER($X340),INDEX(Comenzi!$I:$I,$X340),"")</f>
        <v/>
      </c>
      <c r="AC340" s="44" t="str">
        <f>IF(ISNUMBER($X340),IF(INDEX(Comenzi!$V:$V,$X340)="",Comenzi!$D$3,INDEX(Comenzi!$V:$V,$X340)),"")</f>
        <v/>
      </c>
      <c r="AD340" s="44" t="str">
        <f>IF(ISNUMBER($X340),IF(INDEX(Comenzi!$U:$U,$X340)="",Comenzi!$D$4,INDEX(Comenzi!$U:$U,$X340)),"")</f>
        <v/>
      </c>
      <c r="AE340" s="45" t="str">
        <f>IF($Y340&lt;&gt;1,"",IF(INDEX(Comenzi!$AM:$AM,$X340)="Greutate",INDEX('PI Furnizor'!$O:$O,ROW()-3),IF(INDEX(Comenzi!$AM:$AM,$X340)="Volum (CBM)",INDEX('PI Furnizor'!$Q:$Q,ROW()-3),IF(INDEX(Comenzi!$AM:$AM,$X340)="Valoare marfa",INDEX('PI Furnizor'!$N:$N,ROW()-3),$E340))))</f>
        <v/>
      </c>
    </row>
    <row r="341" spans="1:31" x14ac:dyDescent="0.3">
      <c r="A341" s="28" t="str">
        <f>IF(COUNTA(INDEX('PI Furnizor'!$A:$E,ROW()-3,0))=0,"",IF(INDEX('PI Furnizor'!$A:$A,ROW()-3)="","?",INDEX('PI Furnizor'!$A:$A,ROW()-3)))</f>
        <v/>
      </c>
      <c r="B341" s="29" t="str">
        <f>IF(ISNUMBER($X341),INDEX(Comenzi!$B:$B,$X341),"")</f>
        <v/>
      </c>
      <c r="C341" s="28" t="str">
        <f>IF($A341="","",INDEX('PI Furnizor'!$B:$B,ROW()-3)&amp;"")</f>
        <v/>
      </c>
      <c r="D341" s="28" t="str">
        <f>IF($A341="","",INDEX('PI Furnizor'!$C:$C,ROW()-3)&amp;"")</f>
        <v/>
      </c>
      <c r="E341" s="30" t="str">
        <f>IF($A341="","",N(INDEX('PI Furnizor'!$D:$D,ROW()-3)))</f>
        <v/>
      </c>
      <c r="F341" s="31" t="str">
        <f>IF(ISNUMBER($X341),INDEX(Comenzi!$G:$G,$X341),"")</f>
        <v/>
      </c>
      <c r="G341" s="32" t="str">
        <f>IF($A341="","",N(INDEX('PI Furnizor'!$E:$E,ROW()-3)))</f>
        <v/>
      </c>
      <c r="H341" s="33" t="str">
        <f t="shared" si="65"/>
        <v/>
      </c>
      <c r="I341" s="34" t="str">
        <f>IF($Y341&lt;&gt;1,"",IFERROR($AE341/INDEX(Comenzi!$AN:$AN,$X341),0))</f>
        <v/>
      </c>
      <c r="J341" s="33" t="str">
        <f>IF($Y341&lt;&gt;1,"",INDEX(Comenzi!$AG:$AG,$X341)*$I341/$E341)</f>
        <v/>
      </c>
      <c r="K341" s="33" t="str">
        <f t="shared" si="66"/>
        <v/>
      </c>
      <c r="L341" s="33" t="str">
        <f>IF($Y341&lt;&gt;1,"",$K341*$AD341+INDEX(Comenzi!$AJ:$AJ,$X341)*$I341/$E341)</f>
        <v/>
      </c>
      <c r="M341" s="33" t="str">
        <f t="shared" si="67"/>
        <v/>
      </c>
      <c r="N341" s="33" t="str">
        <f t="shared" si="68"/>
        <v/>
      </c>
      <c r="O341" s="33" t="str">
        <f>IF($Y341&lt;&gt;1,"",(INDEX(Comenzi!$AK:$AK,$X341)+N(INDEX(Comenzi!$T:$T,$X341)))*$I341/$E341)</f>
        <v/>
      </c>
      <c r="P341" s="35" t="str">
        <f t="shared" si="69"/>
        <v/>
      </c>
      <c r="Q341" s="36" t="str">
        <f t="shared" si="70"/>
        <v/>
      </c>
      <c r="R341" s="37" t="str">
        <f t="shared" si="71"/>
        <v/>
      </c>
      <c r="S341" s="38" t="str">
        <f t="shared" si="72"/>
        <v/>
      </c>
      <c r="T341" s="39" t="str">
        <f t="shared" si="73"/>
        <v/>
      </c>
      <c r="U341" s="40" t="str">
        <f t="shared" si="74"/>
        <v/>
      </c>
      <c r="V341" s="33" t="str">
        <f t="shared" si="75"/>
        <v/>
      </c>
      <c r="W341" s="33" t="str">
        <f t="shared" si="76"/>
        <v/>
      </c>
      <c r="X341" s="41" t="str">
        <f>IF($A341="","",IFERROR(MATCH($A341,Comenzi!$A$9:$A$108,0)+8,""))</f>
        <v/>
      </c>
      <c r="Y341" s="41" t="str">
        <f t="shared" si="77"/>
        <v/>
      </c>
      <c r="Z341" s="42" t="str">
        <f>IF($A341="","",IF($A341="?","Lipseste ID-ul comenzii (col. A din PI Furnizor)",IF(NOT(ISNUMBER($X341)),"ID comanda negasit in foaia Comenzi",IF(N($E341)&lt;=0,"Lipseste cantitatea",IF(N($G341)=0,"Pret unitar lipsa",IF($Y341&lt;&gt;1,"Curs sau moneda marfa lipsa (foaia Comenzi)",IF(INDEX(Comenzi!$AT:$AT,$X341)&lt;&gt;"OK","Avertisment comanda: "&amp;INDEX(Comenzi!$AT:$AT,$X341),"OK")))))))</f>
        <v/>
      </c>
      <c r="AA341" s="43" t="str">
        <f>IF(ISNUMBER($X341),INDEX(Comenzi!$H:$H,$X341),"")</f>
        <v/>
      </c>
      <c r="AB341" s="43" t="str">
        <f>IF(ISNUMBER($X341),INDEX(Comenzi!$I:$I,$X341),"")</f>
        <v/>
      </c>
      <c r="AC341" s="44" t="str">
        <f>IF(ISNUMBER($X341),IF(INDEX(Comenzi!$V:$V,$X341)="",Comenzi!$D$3,INDEX(Comenzi!$V:$V,$X341)),"")</f>
        <v/>
      </c>
      <c r="AD341" s="44" t="str">
        <f>IF(ISNUMBER($X341),IF(INDEX(Comenzi!$U:$U,$X341)="",Comenzi!$D$4,INDEX(Comenzi!$U:$U,$X341)),"")</f>
        <v/>
      </c>
      <c r="AE341" s="45" t="str">
        <f>IF($Y341&lt;&gt;1,"",IF(INDEX(Comenzi!$AM:$AM,$X341)="Greutate",INDEX('PI Furnizor'!$O:$O,ROW()-3),IF(INDEX(Comenzi!$AM:$AM,$X341)="Volum (CBM)",INDEX('PI Furnizor'!$Q:$Q,ROW()-3),IF(INDEX(Comenzi!$AM:$AM,$X341)="Valoare marfa",INDEX('PI Furnizor'!$N:$N,ROW()-3),$E341))))</f>
        <v/>
      </c>
    </row>
    <row r="342" spans="1:31" x14ac:dyDescent="0.3">
      <c r="A342" s="28" t="str">
        <f>IF(COUNTA(INDEX('PI Furnizor'!$A:$E,ROW()-3,0))=0,"",IF(INDEX('PI Furnizor'!$A:$A,ROW()-3)="","?",INDEX('PI Furnizor'!$A:$A,ROW()-3)))</f>
        <v/>
      </c>
      <c r="B342" s="29" t="str">
        <f>IF(ISNUMBER($X342),INDEX(Comenzi!$B:$B,$X342),"")</f>
        <v/>
      </c>
      <c r="C342" s="28" t="str">
        <f>IF($A342="","",INDEX('PI Furnizor'!$B:$B,ROW()-3)&amp;"")</f>
        <v/>
      </c>
      <c r="D342" s="28" t="str">
        <f>IF($A342="","",INDEX('PI Furnizor'!$C:$C,ROW()-3)&amp;"")</f>
        <v/>
      </c>
      <c r="E342" s="30" t="str">
        <f>IF($A342="","",N(INDEX('PI Furnizor'!$D:$D,ROW()-3)))</f>
        <v/>
      </c>
      <c r="F342" s="31" t="str">
        <f>IF(ISNUMBER($X342),INDEX(Comenzi!$G:$G,$X342),"")</f>
        <v/>
      </c>
      <c r="G342" s="32" t="str">
        <f>IF($A342="","",N(INDEX('PI Furnizor'!$E:$E,ROW()-3)))</f>
        <v/>
      </c>
      <c r="H342" s="33" t="str">
        <f t="shared" si="65"/>
        <v/>
      </c>
      <c r="I342" s="34" t="str">
        <f>IF($Y342&lt;&gt;1,"",IFERROR($AE342/INDEX(Comenzi!$AN:$AN,$X342),0))</f>
        <v/>
      </c>
      <c r="J342" s="33" t="str">
        <f>IF($Y342&lt;&gt;1,"",INDEX(Comenzi!$AG:$AG,$X342)*$I342/$E342)</f>
        <v/>
      </c>
      <c r="K342" s="33" t="str">
        <f t="shared" si="66"/>
        <v/>
      </c>
      <c r="L342" s="33" t="str">
        <f>IF($Y342&lt;&gt;1,"",$K342*$AD342+INDEX(Comenzi!$AJ:$AJ,$X342)*$I342/$E342)</f>
        <v/>
      </c>
      <c r="M342" s="33" t="str">
        <f t="shared" si="67"/>
        <v/>
      </c>
      <c r="N342" s="33" t="str">
        <f t="shared" si="68"/>
        <v/>
      </c>
      <c r="O342" s="33" t="str">
        <f>IF($Y342&lt;&gt;1,"",(INDEX(Comenzi!$AK:$AK,$X342)+N(INDEX(Comenzi!$T:$T,$X342)))*$I342/$E342)</f>
        <v/>
      </c>
      <c r="P342" s="35" t="str">
        <f t="shared" si="69"/>
        <v/>
      </c>
      <c r="Q342" s="36" t="str">
        <f t="shared" si="70"/>
        <v/>
      </c>
      <c r="R342" s="37" t="str">
        <f t="shared" si="71"/>
        <v/>
      </c>
      <c r="S342" s="38" t="str">
        <f t="shared" si="72"/>
        <v/>
      </c>
      <c r="T342" s="39" t="str">
        <f t="shared" si="73"/>
        <v/>
      </c>
      <c r="U342" s="40" t="str">
        <f t="shared" si="74"/>
        <v/>
      </c>
      <c r="V342" s="33" t="str">
        <f t="shared" si="75"/>
        <v/>
      </c>
      <c r="W342" s="33" t="str">
        <f t="shared" si="76"/>
        <v/>
      </c>
      <c r="X342" s="41" t="str">
        <f>IF($A342="","",IFERROR(MATCH($A342,Comenzi!$A$9:$A$108,0)+8,""))</f>
        <v/>
      </c>
      <c r="Y342" s="41" t="str">
        <f t="shared" si="77"/>
        <v/>
      </c>
      <c r="Z342" s="42" t="str">
        <f>IF($A342="","",IF($A342="?","Lipseste ID-ul comenzii (col. A din PI Furnizor)",IF(NOT(ISNUMBER($X342)),"ID comanda negasit in foaia Comenzi",IF(N($E342)&lt;=0,"Lipseste cantitatea",IF(N($G342)=0,"Pret unitar lipsa",IF($Y342&lt;&gt;1,"Curs sau moneda marfa lipsa (foaia Comenzi)",IF(INDEX(Comenzi!$AT:$AT,$X342)&lt;&gt;"OK","Avertisment comanda: "&amp;INDEX(Comenzi!$AT:$AT,$X342),"OK")))))))</f>
        <v/>
      </c>
      <c r="AA342" s="43" t="str">
        <f>IF(ISNUMBER($X342),INDEX(Comenzi!$H:$H,$X342),"")</f>
        <v/>
      </c>
      <c r="AB342" s="43" t="str">
        <f>IF(ISNUMBER($X342),INDEX(Comenzi!$I:$I,$X342),"")</f>
        <v/>
      </c>
      <c r="AC342" s="44" t="str">
        <f>IF(ISNUMBER($X342),IF(INDEX(Comenzi!$V:$V,$X342)="",Comenzi!$D$3,INDEX(Comenzi!$V:$V,$X342)),"")</f>
        <v/>
      </c>
      <c r="AD342" s="44" t="str">
        <f>IF(ISNUMBER($X342),IF(INDEX(Comenzi!$U:$U,$X342)="",Comenzi!$D$4,INDEX(Comenzi!$U:$U,$X342)),"")</f>
        <v/>
      </c>
      <c r="AE342" s="45" t="str">
        <f>IF($Y342&lt;&gt;1,"",IF(INDEX(Comenzi!$AM:$AM,$X342)="Greutate",INDEX('PI Furnizor'!$O:$O,ROW()-3),IF(INDEX(Comenzi!$AM:$AM,$X342)="Volum (CBM)",INDEX('PI Furnizor'!$Q:$Q,ROW()-3),IF(INDEX(Comenzi!$AM:$AM,$X342)="Valoare marfa",INDEX('PI Furnizor'!$N:$N,ROW()-3),$E342))))</f>
        <v/>
      </c>
    </row>
    <row r="343" spans="1:31" x14ac:dyDescent="0.3">
      <c r="A343" s="28" t="str">
        <f>IF(COUNTA(INDEX('PI Furnizor'!$A:$E,ROW()-3,0))=0,"",IF(INDEX('PI Furnizor'!$A:$A,ROW()-3)="","?",INDEX('PI Furnizor'!$A:$A,ROW()-3)))</f>
        <v/>
      </c>
      <c r="B343" s="29" t="str">
        <f>IF(ISNUMBER($X343),INDEX(Comenzi!$B:$B,$X343),"")</f>
        <v/>
      </c>
      <c r="C343" s="28" t="str">
        <f>IF($A343="","",INDEX('PI Furnizor'!$B:$B,ROW()-3)&amp;"")</f>
        <v/>
      </c>
      <c r="D343" s="28" t="str">
        <f>IF($A343="","",INDEX('PI Furnizor'!$C:$C,ROW()-3)&amp;"")</f>
        <v/>
      </c>
      <c r="E343" s="30" t="str">
        <f>IF($A343="","",N(INDEX('PI Furnizor'!$D:$D,ROW()-3)))</f>
        <v/>
      </c>
      <c r="F343" s="31" t="str">
        <f>IF(ISNUMBER($X343),INDEX(Comenzi!$G:$G,$X343),"")</f>
        <v/>
      </c>
      <c r="G343" s="32" t="str">
        <f>IF($A343="","",N(INDEX('PI Furnizor'!$E:$E,ROW()-3)))</f>
        <v/>
      </c>
      <c r="H343" s="33" t="str">
        <f t="shared" si="65"/>
        <v/>
      </c>
      <c r="I343" s="34" t="str">
        <f>IF($Y343&lt;&gt;1,"",IFERROR($AE343/INDEX(Comenzi!$AN:$AN,$X343),0))</f>
        <v/>
      </c>
      <c r="J343" s="33" t="str">
        <f>IF($Y343&lt;&gt;1,"",INDEX(Comenzi!$AG:$AG,$X343)*$I343/$E343)</f>
        <v/>
      </c>
      <c r="K343" s="33" t="str">
        <f t="shared" si="66"/>
        <v/>
      </c>
      <c r="L343" s="33" t="str">
        <f>IF($Y343&lt;&gt;1,"",$K343*$AD343+INDEX(Comenzi!$AJ:$AJ,$X343)*$I343/$E343)</f>
        <v/>
      </c>
      <c r="M343" s="33" t="str">
        <f t="shared" si="67"/>
        <v/>
      </c>
      <c r="N343" s="33" t="str">
        <f t="shared" si="68"/>
        <v/>
      </c>
      <c r="O343" s="33" t="str">
        <f>IF($Y343&lt;&gt;1,"",(INDEX(Comenzi!$AK:$AK,$X343)+N(INDEX(Comenzi!$T:$T,$X343)))*$I343/$E343)</f>
        <v/>
      </c>
      <c r="P343" s="35" t="str">
        <f t="shared" si="69"/>
        <v/>
      </c>
      <c r="Q343" s="36" t="str">
        <f t="shared" si="70"/>
        <v/>
      </c>
      <c r="R343" s="37" t="str">
        <f t="shared" si="71"/>
        <v/>
      </c>
      <c r="S343" s="38" t="str">
        <f t="shared" si="72"/>
        <v/>
      </c>
      <c r="T343" s="39" t="str">
        <f t="shared" si="73"/>
        <v/>
      </c>
      <c r="U343" s="40" t="str">
        <f t="shared" si="74"/>
        <v/>
      </c>
      <c r="V343" s="33" t="str">
        <f t="shared" si="75"/>
        <v/>
      </c>
      <c r="W343" s="33" t="str">
        <f t="shared" si="76"/>
        <v/>
      </c>
      <c r="X343" s="41" t="str">
        <f>IF($A343="","",IFERROR(MATCH($A343,Comenzi!$A$9:$A$108,0)+8,""))</f>
        <v/>
      </c>
      <c r="Y343" s="41" t="str">
        <f t="shared" si="77"/>
        <v/>
      </c>
      <c r="Z343" s="42" t="str">
        <f>IF($A343="","",IF($A343="?","Lipseste ID-ul comenzii (col. A din PI Furnizor)",IF(NOT(ISNUMBER($X343)),"ID comanda negasit in foaia Comenzi",IF(N($E343)&lt;=0,"Lipseste cantitatea",IF(N($G343)=0,"Pret unitar lipsa",IF($Y343&lt;&gt;1,"Curs sau moneda marfa lipsa (foaia Comenzi)",IF(INDEX(Comenzi!$AT:$AT,$X343)&lt;&gt;"OK","Avertisment comanda: "&amp;INDEX(Comenzi!$AT:$AT,$X343),"OK")))))))</f>
        <v/>
      </c>
      <c r="AA343" s="43" t="str">
        <f>IF(ISNUMBER($X343),INDEX(Comenzi!$H:$H,$X343),"")</f>
        <v/>
      </c>
      <c r="AB343" s="43" t="str">
        <f>IF(ISNUMBER($X343),INDEX(Comenzi!$I:$I,$X343),"")</f>
        <v/>
      </c>
      <c r="AC343" s="44" t="str">
        <f>IF(ISNUMBER($X343),IF(INDEX(Comenzi!$V:$V,$X343)="",Comenzi!$D$3,INDEX(Comenzi!$V:$V,$X343)),"")</f>
        <v/>
      </c>
      <c r="AD343" s="44" t="str">
        <f>IF(ISNUMBER($X343),IF(INDEX(Comenzi!$U:$U,$X343)="",Comenzi!$D$4,INDEX(Comenzi!$U:$U,$X343)),"")</f>
        <v/>
      </c>
      <c r="AE343" s="45" t="str">
        <f>IF($Y343&lt;&gt;1,"",IF(INDEX(Comenzi!$AM:$AM,$X343)="Greutate",INDEX('PI Furnizor'!$O:$O,ROW()-3),IF(INDEX(Comenzi!$AM:$AM,$X343)="Volum (CBM)",INDEX('PI Furnizor'!$Q:$Q,ROW()-3),IF(INDEX(Comenzi!$AM:$AM,$X343)="Valoare marfa",INDEX('PI Furnizor'!$N:$N,ROW()-3),$E343))))</f>
        <v/>
      </c>
    </row>
    <row r="344" spans="1:31" x14ac:dyDescent="0.3">
      <c r="A344" s="28" t="str">
        <f>IF(COUNTA(INDEX('PI Furnizor'!$A:$E,ROW()-3,0))=0,"",IF(INDEX('PI Furnizor'!$A:$A,ROW()-3)="","?",INDEX('PI Furnizor'!$A:$A,ROW()-3)))</f>
        <v/>
      </c>
      <c r="B344" s="29" t="str">
        <f>IF(ISNUMBER($X344),INDEX(Comenzi!$B:$B,$X344),"")</f>
        <v/>
      </c>
      <c r="C344" s="28" t="str">
        <f>IF($A344="","",INDEX('PI Furnizor'!$B:$B,ROW()-3)&amp;"")</f>
        <v/>
      </c>
      <c r="D344" s="28" t="str">
        <f>IF($A344="","",INDEX('PI Furnizor'!$C:$C,ROW()-3)&amp;"")</f>
        <v/>
      </c>
      <c r="E344" s="30" t="str">
        <f>IF($A344="","",N(INDEX('PI Furnizor'!$D:$D,ROW()-3)))</f>
        <v/>
      </c>
      <c r="F344" s="31" t="str">
        <f>IF(ISNUMBER($X344),INDEX(Comenzi!$G:$G,$X344),"")</f>
        <v/>
      </c>
      <c r="G344" s="32" t="str">
        <f>IF($A344="","",N(INDEX('PI Furnizor'!$E:$E,ROW()-3)))</f>
        <v/>
      </c>
      <c r="H344" s="33" t="str">
        <f t="shared" si="65"/>
        <v/>
      </c>
      <c r="I344" s="34" t="str">
        <f>IF($Y344&lt;&gt;1,"",IFERROR($AE344/INDEX(Comenzi!$AN:$AN,$X344),0))</f>
        <v/>
      </c>
      <c r="J344" s="33" t="str">
        <f>IF($Y344&lt;&gt;1,"",INDEX(Comenzi!$AG:$AG,$X344)*$I344/$E344)</f>
        <v/>
      </c>
      <c r="K344" s="33" t="str">
        <f t="shared" si="66"/>
        <v/>
      </c>
      <c r="L344" s="33" t="str">
        <f>IF($Y344&lt;&gt;1,"",$K344*$AD344+INDEX(Comenzi!$AJ:$AJ,$X344)*$I344/$E344)</f>
        <v/>
      </c>
      <c r="M344" s="33" t="str">
        <f t="shared" si="67"/>
        <v/>
      </c>
      <c r="N344" s="33" t="str">
        <f t="shared" si="68"/>
        <v/>
      </c>
      <c r="O344" s="33" t="str">
        <f>IF($Y344&lt;&gt;1,"",(INDEX(Comenzi!$AK:$AK,$X344)+N(INDEX(Comenzi!$T:$T,$X344)))*$I344/$E344)</f>
        <v/>
      </c>
      <c r="P344" s="35" t="str">
        <f t="shared" si="69"/>
        <v/>
      </c>
      <c r="Q344" s="36" t="str">
        <f t="shared" si="70"/>
        <v/>
      </c>
      <c r="R344" s="37" t="str">
        <f t="shared" si="71"/>
        <v/>
      </c>
      <c r="S344" s="38" t="str">
        <f t="shared" si="72"/>
        <v/>
      </c>
      <c r="T344" s="39" t="str">
        <f t="shared" si="73"/>
        <v/>
      </c>
      <c r="U344" s="40" t="str">
        <f t="shared" si="74"/>
        <v/>
      </c>
      <c r="V344" s="33" t="str">
        <f t="shared" si="75"/>
        <v/>
      </c>
      <c r="W344" s="33" t="str">
        <f t="shared" si="76"/>
        <v/>
      </c>
      <c r="X344" s="41" t="str">
        <f>IF($A344="","",IFERROR(MATCH($A344,Comenzi!$A$9:$A$108,0)+8,""))</f>
        <v/>
      </c>
      <c r="Y344" s="41" t="str">
        <f t="shared" si="77"/>
        <v/>
      </c>
      <c r="Z344" s="42" t="str">
        <f>IF($A344="","",IF($A344="?","Lipseste ID-ul comenzii (col. A din PI Furnizor)",IF(NOT(ISNUMBER($X344)),"ID comanda negasit in foaia Comenzi",IF(N($E344)&lt;=0,"Lipseste cantitatea",IF(N($G344)=0,"Pret unitar lipsa",IF($Y344&lt;&gt;1,"Curs sau moneda marfa lipsa (foaia Comenzi)",IF(INDEX(Comenzi!$AT:$AT,$X344)&lt;&gt;"OK","Avertisment comanda: "&amp;INDEX(Comenzi!$AT:$AT,$X344),"OK")))))))</f>
        <v/>
      </c>
      <c r="AA344" s="43" t="str">
        <f>IF(ISNUMBER($X344),INDEX(Comenzi!$H:$H,$X344),"")</f>
        <v/>
      </c>
      <c r="AB344" s="43" t="str">
        <f>IF(ISNUMBER($X344),INDEX(Comenzi!$I:$I,$X344),"")</f>
        <v/>
      </c>
      <c r="AC344" s="44" t="str">
        <f>IF(ISNUMBER($X344),IF(INDEX(Comenzi!$V:$V,$X344)="",Comenzi!$D$3,INDEX(Comenzi!$V:$V,$X344)),"")</f>
        <v/>
      </c>
      <c r="AD344" s="44" t="str">
        <f>IF(ISNUMBER($X344),IF(INDEX(Comenzi!$U:$U,$X344)="",Comenzi!$D$4,INDEX(Comenzi!$U:$U,$X344)),"")</f>
        <v/>
      </c>
      <c r="AE344" s="45" t="str">
        <f>IF($Y344&lt;&gt;1,"",IF(INDEX(Comenzi!$AM:$AM,$X344)="Greutate",INDEX('PI Furnizor'!$O:$O,ROW()-3),IF(INDEX(Comenzi!$AM:$AM,$X344)="Volum (CBM)",INDEX('PI Furnizor'!$Q:$Q,ROW()-3),IF(INDEX(Comenzi!$AM:$AM,$X344)="Valoare marfa",INDEX('PI Furnizor'!$N:$N,ROW()-3),$E344))))</f>
        <v/>
      </c>
    </row>
    <row r="345" spans="1:31" x14ac:dyDescent="0.3">
      <c r="A345" s="28" t="str">
        <f>IF(COUNTA(INDEX('PI Furnizor'!$A:$E,ROW()-3,0))=0,"",IF(INDEX('PI Furnizor'!$A:$A,ROW()-3)="","?",INDEX('PI Furnizor'!$A:$A,ROW()-3)))</f>
        <v/>
      </c>
      <c r="B345" s="29" t="str">
        <f>IF(ISNUMBER($X345),INDEX(Comenzi!$B:$B,$X345),"")</f>
        <v/>
      </c>
      <c r="C345" s="28" t="str">
        <f>IF($A345="","",INDEX('PI Furnizor'!$B:$B,ROW()-3)&amp;"")</f>
        <v/>
      </c>
      <c r="D345" s="28" t="str">
        <f>IF($A345="","",INDEX('PI Furnizor'!$C:$C,ROW()-3)&amp;"")</f>
        <v/>
      </c>
      <c r="E345" s="30" t="str">
        <f>IF($A345="","",N(INDEX('PI Furnizor'!$D:$D,ROW()-3)))</f>
        <v/>
      </c>
      <c r="F345" s="31" t="str">
        <f>IF(ISNUMBER($X345),INDEX(Comenzi!$G:$G,$X345),"")</f>
        <v/>
      </c>
      <c r="G345" s="32" t="str">
        <f>IF($A345="","",N(INDEX('PI Furnizor'!$E:$E,ROW()-3)))</f>
        <v/>
      </c>
      <c r="H345" s="33" t="str">
        <f t="shared" si="65"/>
        <v/>
      </c>
      <c r="I345" s="34" t="str">
        <f>IF($Y345&lt;&gt;1,"",IFERROR($AE345/INDEX(Comenzi!$AN:$AN,$X345),0))</f>
        <v/>
      </c>
      <c r="J345" s="33" t="str">
        <f>IF($Y345&lt;&gt;1,"",INDEX(Comenzi!$AG:$AG,$X345)*$I345/$E345)</f>
        <v/>
      </c>
      <c r="K345" s="33" t="str">
        <f t="shared" si="66"/>
        <v/>
      </c>
      <c r="L345" s="33" t="str">
        <f>IF($Y345&lt;&gt;1,"",$K345*$AD345+INDEX(Comenzi!$AJ:$AJ,$X345)*$I345/$E345)</f>
        <v/>
      </c>
      <c r="M345" s="33" t="str">
        <f t="shared" si="67"/>
        <v/>
      </c>
      <c r="N345" s="33" t="str">
        <f t="shared" si="68"/>
        <v/>
      </c>
      <c r="O345" s="33" t="str">
        <f>IF($Y345&lt;&gt;1,"",(INDEX(Comenzi!$AK:$AK,$X345)+N(INDEX(Comenzi!$T:$T,$X345)))*$I345/$E345)</f>
        <v/>
      </c>
      <c r="P345" s="35" t="str">
        <f t="shared" si="69"/>
        <v/>
      </c>
      <c r="Q345" s="36" t="str">
        <f t="shared" si="70"/>
        <v/>
      </c>
      <c r="R345" s="37" t="str">
        <f t="shared" si="71"/>
        <v/>
      </c>
      <c r="S345" s="38" t="str">
        <f t="shared" si="72"/>
        <v/>
      </c>
      <c r="T345" s="39" t="str">
        <f t="shared" si="73"/>
        <v/>
      </c>
      <c r="U345" s="40" t="str">
        <f t="shared" si="74"/>
        <v/>
      </c>
      <c r="V345" s="33" t="str">
        <f t="shared" si="75"/>
        <v/>
      </c>
      <c r="W345" s="33" t="str">
        <f t="shared" si="76"/>
        <v/>
      </c>
      <c r="X345" s="41" t="str">
        <f>IF($A345="","",IFERROR(MATCH($A345,Comenzi!$A$9:$A$108,0)+8,""))</f>
        <v/>
      </c>
      <c r="Y345" s="41" t="str">
        <f t="shared" si="77"/>
        <v/>
      </c>
      <c r="Z345" s="42" t="str">
        <f>IF($A345="","",IF($A345="?","Lipseste ID-ul comenzii (col. A din PI Furnizor)",IF(NOT(ISNUMBER($X345)),"ID comanda negasit in foaia Comenzi",IF(N($E345)&lt;=0,"Lipseste cantitatea",IF(N($G345)=0,"Pret unitar lipsa",IF($Y345&lt;&gt;1,"Curs sau moneda marfa lipsa (foaia Comenzi)",IF(INDEX(Comenzi!$AT:$AT,$X345)&lt;&gt;"OK","Avertisment comanda: "&amp;INDEX(Comenzi!$AT:$AT,$X345),"OK")))))))</f>
        <v/>
      </c>
      <c r="AA345" s="43" t="str">
        <f>IF(ISNUMBER($X345),INDEX(Comenzi!$H:$H,$X345),"")</f>
        <v/>
      </c>
      <c r="AB345" s="43" t="str">
        <f>IF(ISNUMBER($X345),INDEX(Comenzi!$I:$I,$X345),"")</f>
        <v/>
      </c>
      <c r="AC345" s="44" t="str">
        <f>IF(ISNUMBER($X345),IF(INDEX(Comenzi!$V:$V,$X345)="",Comenzi!$D$3,INDEX(Comenzi!$V:$V,$X345)),"")</f>
        <v/>
      </c>
      <c r="AD345" s="44" t="str">
        <f>IF(ISNUMBER($X345),IF(INDEX(Comenzi!$U:$U,$X345)="",Comenzi!$D$4,INDEX(Comenzi!$U:$U,$X345)),"")</f>
        <v/>
      </c>
      <c r="AE345" s="45" t="str">
        <f>IF($Y345&lt;&gt;1,"",IF(INDEX(Comenzi!$AM:$AM,$X345)="Greutate",INDEX('PI Furnizor'!$O:$O,ROW()-3),IF(INDEX(Comenzi!$AM:$AM,$X345)="Volum (CBM)",INDEX('PI Furnizor'!$Q:$Q,ROW()-3),IF(INDEX(Comenzi!$AM:$AM,$X345)="Valoare marfa",INDEX('PI Furnizor'!$N:$N,ROW()-3),$E345))))</f>
        <v/>
      </c>
    </row>
    <row r="346" spans="1:31" x14ac:dyDescent="0.3">
      <c r="A346" s="28" t="str">
        <f>IF(COUNTA(INDEX('PI Furnizor'!$A:$E,ROW()-3,0))=0,"",IF(INDEX('PI Furnizor'!$A:$A,ROW()-3)="","?",INDEX('PI Furnizor'!$A:$A,ROW()-3)))</f>
        <v/>
      </c>
      <c r="B346" s="29" t="str">
        <f>IF(ISNUMBER($X346),INDEX(Comenzi!$B:$B,$X346),"")</f>
        <v/>
      </c>
      <c r="C346" s="28" t="str">
        <f>IF($A346="","",INDEX('PI Furnizor'!$B:$B,ROW()-3)&amp;"")</f>
        <v/>
      </c>
      <c r="D346" s="28" t="str">
        <f>IF($A346="","",INDEX('PI Furnizor'!$C:$C,ROW()-3)&amp;"")</f>
        <v/>
      </c>
      <c r="E346" s="30" t="str">
        <f>IF($A346="","",N(INDEX('PI Furnizor'!$D:$D,ROW()-3)))</f>
        <v/>
      </c>
      <c r="F346" s="31" t="str">
        <f>IF(ISNUMBER($X346),INDEX(Comenzi!$G:$G,$X346),"")</f>
        <v/>
      </c>
      <c r="G346" s="32" t="str">
        <f>IF($A346="","",N(INDEX('PI Furnizor'!$E:$E,ROW()-3)))</f>
        <v/>
      </c>
      <c r="H346" s="33" t="str">
        <f t="shared" si="65"/>
        <v/>
      </c>
      <c r="I346" s="34" t="str">
        <f>IF($Y346&lt;&gt;1,"",IFERROR($AE346/INDEX(Comenzi!$AN:$AN,$X346),0))</f>
        <v/>
      </c>
      <c r="J346" s="33" t="str">
        <f>IF($Y346&lt;&gt;1,"",INDEX(Comenzi!$AG:$AG,$X346)*$I346/$E346)</f>
        <v/>
      </c>
      <c r="K346" s="33" t="str">
        <f t="shared" si="66"/>
        <v/>
      </c>
      <c r="L346" s="33" t="str">
        <f>IF($Y346&lt;&gt;1,"",$K346*$AD346+INDEX(Comenzi!$AJ:$AJ,$X346)*$I346/$E346)</f>
        <v/>
      </c>
      <c r="M346" s="33" t="str">
        <f t="shared" si="67"/>
        <v/>
      </c>
      <c r="N346" s="33" t="str">
        <f t="shared" si="68"/>
        <v/>
      </c>
      <c r="O346" s="33" t="str">
        <f>IF($Y346&lt;&gt;1,"",(INDEX(Comenzi!$AK:$AK,$X346)+N(INDEX(Comenzi!$T:$T,$X346)))*$I346/$E346)</f>
        <v/>
      </c>
      <c r="P346" s="35" t="str">
        <f t="shared" si="69"/>
        <v/>
      </c>
      <c r="Q346" s="36" t="str">
        <f t="shared" si="70"/>
        <v/>
      </c>
      <c r="R346" s="37" t="str">
        <f t="shared" si="71"/>
        <v/>
      </c>
      <c r="S346" s="38" t="str">
        <f t="shared" si="72"/>
        <v/>
      </c>
      <c r="T346" s="39" t="str">
        <f t="shared" si="73"/>
        <v/>
      </c>
      <c r="U346" s="40" t="str">
        <f t="shared" si="74"/>
        <v/>
      </c>
      <c r="V346" s="33" t="str">
        <f t="shared" si="75"/>
        <v/>
      </c>
      <c r="W346" s="33" t="str">
        <f t="shared" si="76"/>
        <v/>
      </c>
      <c r="X346" s="41" t="str">
        <f>IF($A346="","",IFERROR(MATCH($A346,Comenzi!$A$9:$A$108,0)+8,""))</f>
        <v/>
      </c>
      <c r="Y346" s="41" t="str">
        <f t="shared" si="77"/>
        <v/>
      </c>
      <c r="Z346" s="42" t="str">
        <f>IF($A346="","",IF($A346="?","Lipseste ID-ul comenzii (col. A din PI Furnizor)",IF(NOT(ISNUMBER($X346)),"ID comanda negasit in foaia Comenzi",IF(N($E346)&lt;=0,"Lipseste cantitatea",IF(N($G346)=0,"Pret unitar lipsa",IF($Y346&lt;&gt;1,"Curs sau moneda marfa lipsa (foaia Comenzi)",IF(INDEX(Comenzi!$AT:$AT,$X346)&lt;&gt;"OK","Avertisment comanda: "&amp;INDEX(Comenzi!$AT:$AT,$X346),"OK")))))))</f>
        <v/>
      </c>
      <c r="AA346" s="43" t="str">
        <f>IF(ISNUMBER($X346),INDEX(Comenzi!$H:$H,$X346),"")</f>
        <v/>
      </c>
      <c r="AB346" s="43" t="str">
        <f>IF(ISNUMBER($X346),INDEX(Comenzi!$I:$I,$X346),"")</f>
        <v/>
      </c>
      <c r="AC346" s="44" t="str">
        <f>IF(ISNUMBER($X346),IF(INDEX(Comenzi!$V:$V,$X346)="",Comenzi!$D$3,INDEX(Comenzi!$V:$V,$X346)),"")</f>
        <v/>
      </c>
      <c r="AD346" s="44" t="str">
        <f>IF(ISNUMBER($X346),IF(INDEX(Comenzi!$U:$U,$X346)="",Comenzi!$D$4,INDEX(Comenzi!$U:$U,$X346)),"")</f>
        <v/>
      </c>
      <c r="AE346" s="45" t="str">
        <f>IF($Y346&lt;&gt;1,"",IF(INDEX(Comenzi!$AM:$AM,$X346)="Greutate",INDEX('PI Furnizor'!$O:$O,ROW()-3),IF(INDEX(Comenzi!$AM:$AM,$X346)="Volum (CBM)",INDEX('PI Furnizor'!$Q:$Q,ROW()-3),IF(INDEX(Comenzi!$AM:$AM,$X346)="Valoare marfa",INDEX('PI Furnizor'!$N:$N,ROW()-3),$E346))))</f>
        <v/>
      </c>
    </row>
    <row r="347" spans="1:31" x14ac:dyDescent="0.3">
      <c r="A347" s="28" t="str">
        <f>IF(COUNTA(INDEX('PI Furnizor'!$A:$E,ROW()-3,0))=0,"",IF(INDEX('PI Furnizor'!$A:$A,ROW()-3)="","?",INDEX('PI Furnizor'!$A:$A,ROW()-3)))</f>
        <v/>
      </c>
      <c r="B347" s="29" t="str">
        <f>IF(ISNUMBER($X347),INDEX(Comenzi!$B:$B,$X347),"")</f>
        <v/>
      </c>
      <c r="C347" s="28" t="str">
        <f>IF($A347="","",INDEX('PI Furnizor'!$B:$B,ROW()-3)&amp;"")</f>
        <v/>
      </c>
      <c r="D347" s="28" t="str">
        <f>IF($A347="","",INDEX('PI Furnizor'!$C:$C,ROW()-3)&amp;"")</f>
        <v/>
      </c>
      <c r="E347" s="30" t="str">
        <f>IF($A347="","",N(INDEX('PI Furnizor'!$D:$D,ROW()-3)))</f>
        <v/>
      </c>
      <c r="F347" s="31" t="str">
        <f>IF(ISNUMBER($X347),INDEX(Comenzi!$G:$G,$X347),"")</f>
        <v/>
      </c>
      <c r="G347" s="32" t="str">
        <f>IF($A347="","",N(INDEX('PI Furnizor'!$E:$E,ROW()-3)))</f>
        <v/>
      </c>
      <c r="H347" s="33" t="str">
        <f t="shared" si="65"/>
        <v/>
      </c>
      <c r="I347" s="34" t="str">
        <f>IF($Y347&lt;&gt;1,"",IFERROR($AE347/INDEX(Comenzi!$AN:$AN,$X347),0))</f>
        <v/>
      </c>
      <c r="J347" s="33" t="str">
        <f>IF($Y347&lt;&gt;1,"",INDEX(Comenzi!$AG:$AG,$X347)*$I347/$E347)</f>
        <v/>
      </c>
      <c r="K347" s="33" t="str">
        <f t="shared" si="66"/>
        <v/>
      </c>
      <c r="L347" s="33" t="str">
        <f>IF($Y347&lt;&gt;1,"",$K347*$AD347+INDEX(Comenzi!$AJ:$AJ,$X347)*$I347/$E347)</f>
        <v/>
      </c>
      <c r="M347" s="33" t="str">
        <f t="shared" si="67"/>
        <v/>
      </c>
      <c r="N347" s="33" t="str">
        <f t="shared" si="68"/>
        <v/>
      </c>
      <c r="O347" s="33" t="str">
        <f>IF($Y347&lt;&gt;1,"",(INDEX(Comenzi!$AK:$AK,$X347)+N(INDEX(Comenzi!$T:$T,$X347)))*$I347/$E347)</f>
        <v/>
      </c>
      <c r="P347" s="35" t="str">
        <f t="shared" si="69"/>
        <v/>
      </c>
      <c r="Q347" s="36" t="str">
        <f t="shared" si="70"/>
        <v/>
      </c>
      <c r="R347" s="37" t="str">
        <f t="shared" si="71"/>
        <v/>
      </c>
      <c r="S347" s="38" t="str">
        <f t="shared" si="72"/>
        <v/>
      </c>
      <c r="T347" s="39" t="str">
        <f t="shared" si="73"/>
        <v/>
      </c>
      <c r="U347" s="40" t="str">
        <f t="shared" si="74"/>
        <v/>
      </c>
      <c r="V347" s="33" t="str">
        <f t="shared" si="75"/>
        <v/>
      </c>
      <c r="W347" s="33" t="str">
        <f t="shared" si="76"/>
        <v/>
      </c>
      <c r="X347" s="41" t="str">
        <f>IF($A347="","",IFERROR(MATCH($A347,Comenzi!$A$9:$A$108,0)+8,""))</f>
        <v/>
      </c>
      <c r="Y347" s="41" t="str">
        <f t="shared" si="77"/>
        <v/>
      </c>
      <c r="Z347" s="42" t="str">
        <f>IF($A347="","",IF($A347="?","Lipseste ID-ul comenzii (col. A din PI Furnizor)",IF(NOT(ISNUMBER($X347)),"ID comanda negasit in foaia Comenzi",IF(N($E347)&lt;=0,"Lipseste cantitatea",IF(N($G347)=0,"Pret unitar lipsa",IF($Y347&lt;&gt;1,"Curs sau moneda marfa lipsa (foaia Comenzi)",IF(INDEX(Comenzi!$AT:$AT,$X347)&lt;&gt;"OK","Avertisment comanda: "&amp;INDEX(Comenzi!$AT:$AT,$X347),"OK")))))))</f>
        <v/>
      </c>
      <c r="AA347" s="43" t="str">
        <f>IF(ISNUMBER($X347),INDEX(Comenzi!$H:$H,$X347),"")</f>
        <v/>
      </c>
      <c r="AB347" s="43" t="str">
        <f>IF(ISNUMBER($X347),INDEX(Comenzi!$I:$I,$X347),"")</f>
        <v/>
      </c>
      <c r="AC347" s="44" t="str">
        <f>IF(ISNUMBER($X347),IF(INDEX(Comenzi!$V:$V,$X347)="",Comenzi!$D$3,INDEX(Comenzi!$V:$V,$X347)),"")</f>
        <v/>
      </c>
      <c r="AD347" s="44" t="str">
        <f>IF(ISNUMBER($X347),IF(INDEX(Comenzi!$U:$U,$X347)="",Comenzi!$D$4,INDEX(Comenzi!$U:$U,$X347)),"")</f>
        <v/>
      </c>
      <c r="AE347" s="45" t="str">
        <f>IF($Y347&lt;&gt;1,"",IF(INDEX(Comenzi!$AM:$AM,$X347)="Greutate",INDEX('PI Furnizor'!$O:$O,ROW()-3),IF(INDEX(Comenzi!$AM:$AM,$X347)="Volum (CBM)",INDEX('PI Furnizor'!$Q:$Q,ROW()-3),IF(INDEX(Comenzi!$AM:$AM,$X347)="Valoare marfa",INDEX('PI Furnizor'!$N:$N,ROW()-3),$E347))))</f>
        <v/>
      </c>
    </row>
    <row r="348" spans="1:31" x14ac:dyDescent="0.3">
      <c r="A348" s="28" t="str">
        <f>IF(COUNTA(INDEX('PI Furnizor'!$A:$E,ROW()-3,0))=0,"",IF(INDEX('PI Furnizor'!$A:$A,ROW()-3)="","?",INDEX('PI Furnizor'!$A:$A,ROW()-3)))</f>
        <v/>
      </c>
      <c r="B348" s="29" t="str">
        <f>IF(ISNUMBER($X348),INDEX(Comenzi!$B:$B,$X348),"")</f>
        <v/>
      </c>
      <c r="C348" s="28" t="str">
        <f>IF($A348="","",INDEX('PI Furnizor'!$B:$B,ROW()-3)&amp;"")</f>
        <v/>
      </c>
      <c r="D348" s="28" t="str">
        <f>IF($A348="","",INDEX('PI Furnizor'!$C:$C,ROW()-3)&amp;"")</f>
        <v/>
      </c>
      <c r="E348" s="30" t="str">
        <f>IF($A348="","",N(INDEX('PI Furnizor'!$D:$D,ROW()-3)))</f>
        <v/>
      </c>
      <c r="F348" s="31" t="str">
        <f>IF(ISNUMBER($X348),INDEX(Comenzi!$G:$G,$X348),"")</f>
        <v/>
      </c>
      <c r="G348" s="32" t="str">
        <f>IF($A348="","",N(INDEX('PI Furnizor'!$E:$E,ROW()-3)))</f>
        <v/>
      </c>
      <c r="H348" s="33" t="str">
        <f t="shared" si="65"/>
        <v/>
      </c>
      <c r="I348" s="34" t="str">
        <f>IF($Y348&lt;&gt;1,"",IFERROR($AE348/INDEX(Comenzi!$AN:$AN,$X348),0))</f>
        <v/>
      </c>
      <c r="J348" s="33" t="str">
        <f>IF($Y348&lt;&gt;1,"",INDEX(Comenzi!$AG:$AG,$X348)*$I348/$E348)</f>
        <v/>
      </c>
      <c r="K348" s="33" t="str">
        <f t="shared" si="66"/>
        <v/>
      </c>
      <c r="L348" s="33" t="str">
        <f>IF($Y348&lt;&gt;1,"",$K348*$AD348+INDEX(Comenzi!$AJ:$AJ,$X348)*$I348/$E348)</f>
        <v/>
      </c>
      <c r="M348" s="33" t="str">
        <f t="shared" si="67"/>
        <v/>
      </c>
      <c r="N348" s="33" t="str">
        <f t="shared" si="68"/>
        <v/>
      </c>
      <c r="O348" s="33" t="str">
        <f>IF($Y348&lt;&gt;1,"",(INDEX(Comenzi!$AK:$AK,$X348)+N(INDEX(Comenzi!$T:$T,$X348)))*$I348/$E348)</f>
        <v/>
      </c>
      <c r="P348" s="35" t="str">
        <f t="shared" si="69"/>
        <v/>
      </c>
      <c r="Q348" s="36" t="str">
        <f t="shared" si="70"/>
        <v/>
      </c>
      <c r="R348" s="37" t="str">
        <f t="shared" si="71"/>
        <v/>
      </c>
      <c r="S348" s="38" t="str">
        <f t="shared" si="72"/>
        <v/>
      </c>
      <c r="T348" s="39" t="str">
        <f t="shared" si="73"/>
        <v/>
      </c>
      <c r="U348" s="40" t="str">
        <f t="shared" si="74"/>
        <v/>
      </c>
      <c r="V348" s="33" t="str">
        <f t="shared" si="75"/>
        <v/>
      </c>
      <c r="W348" s="33" t="str">
        <f t="shared" si="76"/>
        <v/>
      </c>
      <c r="X348" s="41" t="str">
        <f>IF($A348="","",IFERROR(MATCH($A348,Comenzi!$A$9:$A$108,0)+8,""))</f>
        <v/>
      </c>
      <c r="Y348" s="41" t="str">
        <f t="shared" si="77"/>
        <v/>
      </c>
      <c r="Z348" s="42" t="str">
        <f>IF($A348="","",IF($A348="?","Lipseste ID-ul comenzii (col. A din PI Furnizor)",IF(NOT(ISNUMBER($X348)),"ID comanda negasit in foaia Comenzi",IF(N($E348)&lt;=0,"Lipseste cantitatea",IF(N($G348)=0,"Pret unitar lipsa",IF($Y348&lt;&gt;1,"Curs sau moneda marfa lipsa (foaia Comenzi)",IF(INDEX(Comenzi!$AT:$AT,$X348)&lt;&gt;"OK","Avertisment comanda: "&amp;INDEX(Comenzi!$AT:$AT,$X348),"OK")))))))</f>
        <v/>
      </c>
      <c r="AA348" s="43" t="str">
        <f>IF(ISNUMBER($X348),INDEX(Comenzi!$H:$H,$X348),"")</f>
        <v/>
      </c>
      <c r="AB348" s="43" t="str">
        <f>IF(ISNUMBER($X348),INDEX(Comenzi!$I:$I,$X348),"")</f>
        <v/>
      </c>
      <c r="AC348" s="44" t="str">
        <f>IF(ISNUMBER($X348),IF(INDEX(Comenzi!$V:$V,$X348)="",Comenzi!$D$3,INDEX(Comenzi!$V:$V,$X348)),"")</f>
        <v/>
      </c>
      <c r="AD348" s="44" t="str">
        <f>IF(ISNUMBER($X348),IF(INDEX(Comenzi!$U:$U,$X348)="",Comenzi!$D$4,INDEX(Comenzi!$U:$U,$X348)),"")</f>
        <v/>
      </c>
      <c r="AE348" s="45" t="str">
        <f>IF($Y348&lt;&gt;1,"",IF(INDEX(Comenzi!$AM:$AM,$X348)="Greutate",INDEX('PI Furnizor'!$O:$O,ROW()-3),IF(INDEX(Comenzi!$AM:$AM,$X348)="Volum (CBM)",INDEX('PI Furnizor'!$Q:$Q,ROW()-3),IF(INDEX(Comenzi!$AM:$AM,$X348)="Valoare marfa",INDEX('PI Furnizor'!$N:$N,ROW()-3),$E348))))</f>
        <v/>
      </c>
    </row>
    <row r="349" spans="1:31" x14ac:dyDescent="0.3">
      <c r="A349" s="28" t="str">
        <f>IF(COUNTA(INDEX('PI Furnizor'!$A:$E,ROW()-3,0))=0,"",IF(INDEX('PI Furnizor'!$A:$A,ROW()-3)="","?",INDEX('PI Furnizor'!$A:$A,ROW()-3)))</f>
        <v/>
      </c>
      <c r="B349" s="29" t="str">
        <f>IF(ISNUMBER($X349),INDEX(Comenzi!$B:$B,$X349),"")</f>
        <v/>
      </c>
      <c r="C349" s="28" t="str">
        <f>IF($A349="","",INDEX('PI Furnizor'!$B:$B,ROW()-3)&amp;"")</f>
        <v/>
      </c>
      <c r="D349" s="28" t="str">
        <f>IF($A349="","",INDEX('PI Furnizor'!$C:$C,ROW()-3)&amp;"")</f>
        <v/>
      </c>
      <c r="E349" s="30" t="str">
        <f>IF($A349="","",N(INDEX('PI Furnizor'!$D:$D,ROW()-3)))</f>
        <v/>
      </c>
      <c r="F349" s="31" t="str">
        <f>IF(ISNUMBER($X349),INDEX(Comenzi!$G:$G,$X349),"")</f>
        <v/>
      </c>
      <c r="G349" s="32" t="str">
        <f>IF($A349="","",N(INDEX('PI Furnizor'!$E:$E,ROW()-3)))</f>
        <v/>
      </c>
      <c r="H349" s="33" t="str">
        <f t="shared" si="65"/>
        <v/>
      </c>
      <c r="I349" s="34" t="str">
        <f>IF($Y349&lt;&gt;1,"",IFERROR($AE349/INDEX(Comenzi!$AN:$AN,$X349),0))</f>
        <v/>
      </c>
      <c r="J349" s="33" t="str">
        <f>IF($Y349&lt;&gt;1,"",INDEX(Comenzi!$AG:$AG,$X349)*$I349/$E349)</f>
        <v/>
      </c>
      <c r="K349" s="33" t="str">
        <f t="shared" si="66"/>
        <v/>
      </c>
      <c r="L349" s="33" t="str">
        <f>IF($Y349&lt;&gt;1,"",$K349*$AD349+INDEX(Comenzi!$AJ:$AJ,$X349)*$I349/$E349)</f>
        <v/>
      </c>
      <c r="M349" s="33" t="str">
        <f t="shared" si="67"/>
        <v/>
      </c>
      <c r="N349" s="33" t="str">
        <f t="shared" si="68"/>
        <v/>
      </c>
      <c r="O349" s="33" t="str">
        <f>IF($Y349&lt;&gt;1,"",(INDEX(Comenzi!$AK:$AK,$X349)+N(INDEX(Comenzi!$T:$T,$X349)))*$I349/$E349)</f>
        <v/>
      </c>
      <c r="P349" s="35" t="str">
        <f t="shared" si="69"/>
        <v/>
      </c>
      <c r="Q349" s="36" t="str">
        <f t="shared" si="70"/>
        <v/>
      </c>
      <c r="R349" s="37" t="str">
        <f t="shared" si="71"/>
        <v/>
      </c>
      <c r="S349" s="38" t="str">
        <f t="shared" si="72"/>
        <v/>
      </c>
      <c r="T349" s="39" t="str">
        <f t="shared" si="73"/>
        <v/>
      </c>
      <c r="U349" s="40" t="str">
        <f t="shared" si="74"/>
        <v/>
      </c>
      <c r="V349" s="33" t="str">
        <f t="shared" si="75"/>
        <v/>
      </c>
      <c r="W349" s="33" t="str">
        <f t="shared" si="76"/>
        <v/>
      </c>
      <c r="X349" s="41" t="str">
        <f>IF($A349="","",IFERROR(MATCH($A349,Comenzi!$A$9:$A$108,0)+8,""))</f>
        <v/>
      </c>
      <c r="Y349" s="41" t="str">
        <f t="shared" si="77"/>
        <v/>
      </c>
      <c r="Z349" s="42" t="str">
        <f>IF($A349="","",IF($A349="?","Lipseste ID-ul comenzii (col. A din PI Furnizor)",IF(NOT(ISNUMBER($X349)),"ID comanda negasit in foaia Comenzi",IF(N($E349)&lt;=0,"Lipseste cantitatea",IF(N($G349)=0,"Pret unitar lipsa",IF($Y349&lt;&gt;1,"Curs sau moneda marfa lipsa (foaia Comenzi)",IF(INDEX(Comenzi!$AT:$AT,$X349)&lt;&gt;"OK","Avertisment comanda: "&amp;INDEX(Comenzi!$AT:$AT,$X349),"OK")))))))</f>
        <v/>
      </c>
      <c r="AA349" s="43" t="str">
        <f>IF(ISNUMBER($X349),INDEX(Comenzi!$H:$H,$X349),"")</f>
        <v/>
      </c>
      <c r="AB349" s="43" t="str">
        <f>IF(ISNUMBER($X349),INDEX(Comenzi!$I:$I,$X349),"")</f>
        <v/>
      </c>
      <c r="AC349" s="44" t="str">
        <f>IF(ISNUMBER($X349),IF(INDEX(Comenzi!$V:$V,$X349)="",Comenzi!$D$3,INDEX(Comenzi!$V:$V,$X349)),"")</f>
        <v/>
      </c>
      <c r="AD349" s="44" t="str">
        <f>IF(ISNUMBER($X349),IF(INDEX(Comenzi!$U:$U,$X349)="",Comenzi!$D$4,INDEX(Comenzi!$U:$U,$X349)),"")</f>
        <v/>
      </c>
      <c r="AE349" s="45" t="str">
        <f>IF($Y349&lt;&gt;1,"",IF(INDEX(Comenzi!$AM:$AM,$X349)="Greutate",INDEX('PI Furnizor'!$O:$O,ROW()-3),IF(INDEX(Comenzi!$AM:$AM,$X349)="Volum (CBM)",INDEX('PI Furnizor'!$Q:$Q,ROW()-3),IF(INDEX(Comenzi!$AM:$AM,$X349)="Valoare marfa",INDEX('PI Furnizor'!$N:$N,ROW()-3),$E349))))</f>
        <v/>
      </c>
    </row>
    <row r="350" spans="1:31" x14ac:dyDescent="0.3">
      <c r="A350" s="28" t="str">
        <f>IF(COUNTA(INDEX('PI Furnizor'!$A:$E,ROW()-3,0))=0,"",IF(INDEX('PI Furnizor'!$A:$A,ROW()-3)="","?",INDEX('PI Furnizor'!$A:$A,ROW()-3)))</f>
        <v/>
      </c>
      <c r="B350" s="29" t="str">
        <f>IF(ISNUMBER($X350),INDEX(Comenzi!$B:$B,$X350),"")</f>
        <v/>
      </c>
      <c r="C350" s="28" t="str">
        <f>IF($A350="","",INDEX('PI Furnizor'!$B:$B,ROW()-3)&amp;"")</f>
        <v/>
      </c>
      <c r="D350" s="28" t="str">
        <f>IF($A350="","",INDEX('PI Furnizor'!$C:$C,ROW()-3)&amp;"")</f>
        <v/>
      </c>
      <c r="E350" s="30" t="str">
        <f>IF($A350="","",N(INDEX('PI Furnizor'!$D:$D,ROW()-3)))</f>
        <v/>
      </c>
      <c r="F350" s="31" t="str">
        <f>IF(ISNUMBER($X350),INDEX(Comenzi!$G:$G,$X350),"")</f>
        <v/>
      </c>
      <c r="G350" s="32" t="str">
        <f>IF($A350="","",N(INDEX('PI Furnizor'!$E:$E,ROW()-3)))</f>
        <v/>
      </c>
      <c r="H350" s="33" t="str">
        <f t="shared" si="65"/>
        <v/>
      </c>
      <c r="I350" s="34" t="str">
        <f>IF($Y350&lt;&gt;1,"",IFERROR($AE350/INDEX(Comenzi!$AN:$AN,$X350),0))</f>
        <v/>
      </c>
      <c r="J350" s="33" t="str">
        <f>IF($Y350&lt;&gt;1,"",INDEX(Comenzi!$AG:$AG,$X350)*$I350/$E350)</f>
        <v/>
      </c>
      <c r="K350" s="33" t="str">
        <f t="shared" si="66"/>
        <v/>
      </c>
      <c r="L350" s="33" t="str">
        <f>IF($Y350&lt;&gt;1,"",$K350*$AD350+INDEX(Comenzi!$AJ:$AJ,$X350)*$I350/$E350)</f>
        <v/>
      </c>
      <c r="M350" s="33" t="str">
        <f t="shared" si="67"/>
        <v/>
      </c>
      <c r="N350" s="33" t="str">
        <f t="shared" si="68"/>
        <v/>
      </c>
      <c r="O350" s="33" t="str">
        <f>IF($Y350&lt;&gt;1,"",(INDEX(Comenzi!$AK:$AK,$X350)+N(INDEX(Comenzi!$T:$T,$X350)))*$I350/$E350)</f>
        <v/>
      </c>
      <c r="P350" s="35" t="str">
        <f t="shared" si="69"/>
        <v/>
      </c>
      <c r="Q350" s="36" t="str">
        <f t="shared" si="70"/>
        <v/>
      </c>
      <c r="R350" s="37" t="str">
        <f t="shared" si="71"/>
        <v/>
      </c>
      <c r="S350" s="38" t="str">
        <f t="shared" si="72"/>
        <v/>
      </c>
      <c r="T350" s="39" t="str">
        <f t="shared" si="73"/>
        <v/>
      </c>
      <c r="U350" s="40" t="str">
        <f t="shared" si="74"/>
        <v/>
      </c>
      <c r="V350" s="33" t="str">
        <f t="shared" si="75"/>
        <v/>
      </c>
      <c r="W350" s="33" t="str">
        <f t="shared" si="76"/>
        <v/>
      </c>
      <c r="X350" s="41" t="str">
        <f>IF($A350="","",IFERROR(MATCH($A350,Comenzi!$A$9:$A$108,0)+8,""))</f>
        <v/>
      </c>
      <c r="Y350" s="41" t="str">
        <f t="shared" si="77"/>
        <v/>
      </c>
      <c r="Z350" s="42" t="str">
        <f>IF($A350="","",IF($A350="?","Lipseste ID-ul comenzii (col. A din PI Furnizor)",IF(NOT(ISNUMBER($X350)),"ID comanda negasit in foaia Comenzi",IF(N($E350)&lt;=0,"Lipseste cantitatea",IF(N($G350)=0,"Pret unitar lipsa",IF($Y350&lt;&gt;1,"Curs sau moneda marfa lipsa (foaia Comenzi)",IF(INDEX(Comenzi!$AT:$AT,$X350)&lt;&gt;"OK","Avertisment comanda: "&amp;INDEX(Comenzi!$AT:$AT,$X350),"OK")))))))</f>
        <v/>
      </c>
      <c r="AA350" s="43" t="str">
        <f>IF(ISNUMBER($X350),INDEX(Comenzi!$H:$H,$X350),"")</f>
        <v/>
      </c>
      <c r="AB350" s="43" t="str">
        <f>IF(ISNUMBER($X350),INDEX(Comenzi!$I:$I,$X350),"")</f>
        <v/>
      </c>
      <c r="AC350" s="44" t="str">
        <f>IF(ISNUMBER($X350),IF(INDEX(Comenzi!$V:$V,$X350)="",Comenzi!$D$3,INDEX(Comenzi!$V:$V,$X350)),"")</f>
        <v/>
      </c>
      <c r="AD350" s="44" t="str">
        <f>IF(ISNUMBER($X350),IF(INDEX(Comenzi!$U:$U,$X350)="",Comenzi!$D$4,INDEX(Comenzi!$U:$U,$X350)),"")</f>
        <v/>
      </c>
      <c r="AE350" s="45" t="str">
        <f>IF($Y350&lt;&gt;1,"",IF(INDEX(Comenzi!$AM:$AM,$X350)="Greutate",INDEX('PI Furnizor'!$O:$O,ROW()-3),IF(INDEX(Comenzi!$AM:$AM,$X350)="Volum (CBM)",INDEX('PI Furnizor'!$Q:$Q,ROW()-3),IF(INDEX(Comenzi!$AM:$AM,$X350)="Valoare marfa",INDEX('PI Furnizor'!$N:$N,ROW()-3),$E350))))</f>
        <v/>
      </c>
    </row>
    <row r="351" spans="1:31" x14ac:dyDescent="0.3">
      <c r="A351" s="28" t="str">
        <f>IF(COUNTA(INDEX('PI Furnizor'!$A:$E,ROW()-3,0))=0,"",IF(INDEX('PI Furnizor'!$A:$A,ROW()-3)="","?",INDEX('PI Furnizor'!$A:$A,ROW()-3)))</f>
        <v/>
      </c>
      <c r="B351" s="29" t="str">
        <f>IF(ISNUMBER($X351),INDEX(Comenzi!$B:$B,$X351),"")</f>
        <v/>
      </c>
      <c r="C351" s="28" t="str">
        <f>IF($A351="","",INDEX('PI Furnizor'!$B:$B,ROW()-3)&amp;"")</f>
        <v/>
      </c>
      <c r="D351" s="28" t="str">
        <f>IF($A351="","",INDEX('PI Furnizor'!$C:$C,ROW()-3)&amp;"")</f>
        <v/>
      </c>
      <c r="E351" s="30" t="str">
        <f>IF($A351="","",N(INDEX('PI Furnizor'!$D:$D,ROW()-3)))</f>
        <v/>
      </c>
      <c r="F351" s="31" t="str">
        <f>IF(ISNUMBER($X351),INDEX(Comenzi!$G:$G,$X351),"")</f>
        <v/>
      </c>
      <c r="G351" s="32" t="str">
        <f>IF($A351="","",N(INDEX('PI Furnizor'!$E:$E,ROW()-3)))</f>
        <v/>
      </c>
      <c r="H351" s="33" t="str">
        <f t="shared" si="65"/>
        <v/>
      </c>
      <c r="I351" s="34" t="str">
        <f>IF($Y351&lt;&gt;1,"",IFERROR($AE351/INDEX(Comenzi!$AN:$AN,$X351),0))</f>
        <v/>
      </c>
      <c r="J351" s="33" t="str">
        <f>IF($Y351&lt;&gt;1,"",INDEX(Comenzi!$AG:$AG,$X351)*$I351/$E351)</f>
        <v/>
      </c>
      <c r="K351" s="33" t="str">
        <f t="shared" si="66"/>
        <v/>
      </c>
      <c r="L351" s="33" t="str">
        <f>IF($Y351&lt;&gt;1,"",$K351*$AD351+INDEX(Comenzi!$AJ:$AJ,$X351)*$I351/$E351)</f>
        <v/>
      </c>
      <c r="M351" s="33" t="str">
        <f t="shared" si="67"/>
        <v/>
      </c>
      <c r="N351" s="33" t="str">
        <f t="shared" si="68"/>
        <v/>
      </c>
      <c r="O351" s="33" t="str">
        <f>IF($Y351&lt;&gt;1,"",(INDEX(Comenzi!$AK:$AK,$X351)+N(INDEX(Comenzi!$T:$T,$X351)))*$I351/$E351)</f>
        <v/>
      </c>
      <c r="P351" s="35" t="str">
        <f t="shared" si="69"/>
        <v/>
      </c>
      <c r="Q351" s="36" t="str">
        <f t="shared" si="70"/>
        <v/>
      </c>
      <c r="R351" s="37" t="str">
        <f t="shared" si="71"/>
        <v/>
      </c>
      <c r="S351" s="38" t="str">
        <f t="shared" si="72"/>
        <v/>
      </c>
      <c r="T351" s="39" t="str">
        <f t="shared" si="73"/>
        <v/>
      </c>
      <c r="U351" s="40" t="str">
        <f t="shared" si="74"/>
        <v/>
      </c>
      <c r="V351" s="33" t="str">
        <f t="shared" si="75"/>
        <v/>
      </c>
      <c r="W351" s="33" t="str">
        <f t="shared" si="76"/>
        <v/>
      </c>
      <c r="X351" s="41" t="str">
        <f>IF($A351="","",IFERROR(MATCH($A351,Comenzi!$A$9:$A$108,0)+8,""))</f>
        <v/>
      </c>
      <c r="Y351" s="41" t="str">
        <f t="shared" si="77"/>
        <v/>
      </c>
      <c r="Z351" s="42" t="str">
        <f>IF($A351="","",IF($A351="?","Lipseste ID-ul comenzii (col. A din PI Furnizor)",IF(NOT(ISNUMBER($X351)),"ID comanda negasit in foaia Comenzi",IF(N($E351)&lt;=0,"Lipseste cantitatea",IF(N($G351)=0,"Pret unitar lipsa",IF($Y351&lt;&gt;1,"Curs sau moneda marfa lipsa (foaia Comenzi)",IF(INDEX(Comenzi!$AT:$AT,$X351)&lt;&gt;"OK","Avertisment comanda: "&amp;INDEX(Comenzi!$AT:$AT,$X351),"OK")))))))</f>
        <v/>
      </c>
      <c r="AA351" s="43" t="str">
        <f>IF(ISNUMBER($X351),INDEX(Comenzi!$H:$H,$X351),"")</f>
        <v/>
      </c>
      <c r="AB351" s="43" t="str">
        <f>IF(ISNUMBER($X351),INDEX(Comenzi!$I:$I,$X351),"")</f>
        <v/>
      </c>
      <c r="AC351" s="44" t="str">
        <f>IF(ISNUMBER($X351),IF(INDEX(Comenzi!$V:$V,$X351)="",Comenzi!$D$3,INDEX(Comenzi!$V:$V,$X351)),"")</f>
        <v/>
      </c>
      <c r="AD351" s="44" t="str">
        <f>IF(ISNUMBER($X351),IF(INDEX(Comenzi!$U:$U,$X351)="",Comenzi!$D$4,INDEX(Comenzi!$U:$U,$X351)),"")</f>
        <v/>
      </c>
      <c r="AE351" s="45" t="str">
        <f>IF($Y351&lt;&gt;1,"",IF(INDEX(Comenzi!$AM:$AM,$X351)="Greutate",INDEX('PI Furnizor'!$O:$O,ROW()-3),IF(INDEX(Comenzi!$AM:$AM,$X351)="Volum (CBM)",INDEX('PI Furnizor'!$Q:$Q,ROW()-3),IF(INDEX(Comenzi!$AM:$AM,$X351)="Valoare marfa",INDEX('PI Furnizor'!$N:$N,ROW()-3),$E351))))</f>
        <v/>
      </c>
    </row>
    <row r="352" spans="1:31" x14ac:dyDescent="0.3">
      <c r="A352" s="28" t="str">
        <f>IF(COUNTA(INDEX('PI Furnizor'!$A:$E,ROW()-3,0))=0,"",IF(INDEX('PI Furnizor'!$A:$A,ROW()-3)="","?",INDEX('PI Furnizor'!$A:$A,ROW()-3)))</f>
        <v/>
      </c>
      <c r="B352" s="29" t="str">
        <f>IF(ISNUMBER($X352),INDEX(Comenzi!$B:$B,$X352),"")</f>
        <v/>
      </c>
      <c r="C352" s="28" t="str">
        <f>IF($A352="","",INDEX('PI Furnizor'!$B:$B,ROW()-3)&amp;"")</f>
        <v/>
      </c>
      <c r="D352" s="28" t="str">
        <f>IF($A352="","",INDEX('PI Furnizor'!$C:$C,ROW()-3)&amp;"")</f>
        <v/>
      </c>
      <c r="E352" s="30" t="str">
        <f>IF($A352="","",N(INDEX('PI Furnizor'!$D:$D,ROW()-3)))</f>
        <v/>
      </c>
      <c r="F352" s="31" t="str">
        <f>IF(ISNUMBER($X352),INDEX(Comenzi!$G:$G,$X352),"")</f>
        <v/>
      </c>
      <c r="G352" s="32" t="str">
        <f>IF($A352="","",N(INDEX('PI Furnizor'!$E:$E,ROW()-3)))</f>
        <v/>
      </c>
      <c r="H352" s="33" t="str">
        <f t="shared" si="65"/>
        <v/>
      </c>
      <c r="I352" s="34" t="str">
        <f>IF($Y352&lt;&gt;1,"",IFERROR($AE352/INDEX(Comenzi!$AN:$AN,$X352),0))</f>
        <v/>
      </c>
      <c r="J352" s="33" t="str">
        <f>IF($Y352&lt;&gt;1,"",INDEX(Comenzi!$AG:$AG,$X352)*$I352/$E352)</f>
        <v/>
      </c>
      <c r="K352" s="33" t="str">
        <f t="shared" si="66"/>
        <v/>
      </c>
      <c r="L352" s="33" t="str">
        <f>IF($Y352&lt;&gt;1,"",$K352*$AD352+INDEX(Comenzi!$AJ:$AJ,$X352)*$I352/$E352)</f>
        <v/>
      </c>
      <c r="M352" s="33" t="str">
        <f t="shared" si="67"/>
        <v/>
      </c>
      <c r="N352" s="33" t="str">
        <f t="shared" si="68"/>
        <v/>
      </c>
      <c r="O352" s="33" t="str">
        <f>IF($Y352&lt;&gt;1,"",(INDEX(Comenzi!$AK:$AK,$X352)+N(INDEX(Comenzi!$T:$T,$X352)))*$I352/$E352)</f>
        <v/>
      </c>
      <c r="P352" s="35" t="str">
        <f t="shared" si="69"/>
        <v/>
      </c>
      <c r="Q352" s="36" t="str">
        <f t="shared" si="70"/>
        <v/>
      </c>
      <c r="R352" s="37" t="str">
        <f t="shared" si="71"/>
        <v/>
      </c>
      <c r="S352" s="38" t="str">
        <f t="shared" si="72"/>
        <v/>
      </c>
      <c r="T352" s="39" t="str">
        <f t="shared" si="73"/>
        <v/>
      </c>
      <c r="U352" s="40" t="str">
        <f t="shared" si="74"/>
        <v/>
      </c>
      <c r="V352" s="33" t="str">
        <f t="shared" si="75"/>
        <v/>
      </c>
      <c r="W352" s="33" t="str">
        <f t="shared" si="76"/>
        <v/>
      </c>
      <c r="X352" s="41" t="str">
        <f>IF($A352="","",IFERROR(MATCH($A352,Comenzi!$A$9:$A$108,0)+8,""))</f>
        <v/>
      </c>
      <c r="Y352" s="41" t="str">
        <f t="shared" si="77"/>
        <v/>
      </c>
      <c r="Z352" s="42" t="str">
        <f>IF($A352="","",IF($A352="?","Lipseste ID-ul comenzii (col. A din PI Furnizor)",IF(NOT(ISNUMBER($X352)),"ID comanda negasit in foaia Comenzi",IF(N($E352)&lt;=0,"Lipseste cantitatea",IF(N($G352)=0,"Pret unitar lipsa",IF($Y352&lt;&gt;1,"Curs sau moneda marfa lipsa (foaia Comenzi)",IF(INDEX(Comenzi!$AT:$AT,$X352)&lt;&gt;"OK","Avertisment comanda: "&amp;INDEX(Comenzi!$AT:$AT,$X352),"OK")))))))</f>
        <v/>
      </c>
      <c r="AA352" s="43" t="str">
        <f>IF(ISNUMBER($X352),INDEX(Comenzi!$H:$H,$X352),"")</f>
        <v/>
      </c>
      <c r="AB352" s="43" t="str">
        <f>IF(ISNUMBER($X352),INDEX(Comenzi!$I:$I,$X352),"")</f>
        <v/>
      </c>
      <c r="AC352" s="44" t="str">
        <f>IF(ISNUMBER($X352),IF(INDEX(Comenzi!$V:$V,$X352)="",Comenzi!$D$3,INDEX(Comenzi!$V:$V,$X352)),"")</f>
        <v/>
      </c>
      <c r="AD352" s="44" t="str">
        <f>IF(ISNUMBER($X352),IF(INDEX(Comenzi!$U:$U,$X352)="",Comenzi!$D$4,INDEX(Comenzi!$U:$U,$X352)),"")</f>
        <v/>
      </c>
      <c r="AE352" s="45" t="str">
        <f>IF($Y352&lt;&gt;1,"",IF(INDEX(Comenzi!$AM:$AM,$X352)="Greutate",INDEX('PI Furnizor'!$O:$O,ROW()-3),IF(INDEX(Comenzi!$AM:$AM,$X352)="Volum (CBM)",INDEX('PI Furnizor'!$Q:$Q,ROW()-3),IF(INDEX(Comenzi!$AM:$AM,$X352)="Valoare marfa",INDEX('PI Furnizor'!$N:$N,ROW()-3),$E352))))</f>
        <v/>
      </c>
    </row>
    <row r="353" spans="1:31" x14ac:dyDescent="0.3">
      <c r="A353" s="28" t="str">
        <f>IF(COUNTA(INDEX('PI Furnizor'!$A:$E,ROW()-3,0))=0,"",IF(INDEX('PI Furnizor'!$A:$A,ROW()-3)="","?",INDEX('PI Furnizor'!$A:$A,ROW()-3)))</f>
        <v/>
      </c>
      <c r="B353" s="29" t="str">
        <f>IF(ISNUMBER($X353),INDEX(Comenzi!$B:$B,$X353),"")</f>
        <v/>
      </c>
      <c r="C353" s="28" t="str">
        <f>IF($A353="","",INDEX('PI Furnizor'!$B:$B,ROW()-3)&amp;"")</f>
        <v/>
      </c>
      <c r="D353" s="28" t="str">
        <f>IF($A353="","",INDEX('PI Furnizor'!$C:$C,ROW()-3)&amp;"")</f>
        <v/>
      </c>
      <c r="E353" s="30" t="str">
        <f>IF($A353="","",N(INDEX('PI Furnizor'!$D:$D,ROW()-3)))</f>
        <v/>
      </c>
      <c r="F353" s="31" t="str">
        <f>IF(ISNUMBER($X353),INDEX(Comenzi!$G:$G,$X353),"")</f>
        <v/>
      </c>
      <c r="G353" s="32" t="str">
        <f>IF($A353="","",N(INDEX('PI Furnizor'!$E:$E,ROW()-3)))</f>
        <v/>
      </c>
      <c r="H353" s="33" t="str">
        <f t="shared" si="65"/>
        <v/>
      </c>
      <c r="I353" s="34" t="str">
        <f>IF($Y353&lt;&gt;1,"",IFERROR($AE353/INDEX(Comenzi!$AN:$AN,$X353),0))</f>
        <v/>
      </c>
      <c r="J353" s="33" t="str">
        <f>IF($Y353&lt;&gt;1,"",INDEX(Comenzi!$AG:$AG,$X353)*$I353/$E353)</f>
        <v/>
      </c>
      <c r="K353" s="33" t="str">
        <f t="shared" si="66"/>
        <v/>
      </c>
      <c r="L353" s="33" t="str">
        <f>IF($Y353&lt;&gt;1,"",$K353*$AD353+INDEX(Comenzi!$AJ:$AJ,$X353)*$I353/$E353)</f>
        <v/>
      </c>
      <c r="M353" s="33" t="str">
        <f t="shared" si="67"/>
        <v/>
      </c>
      <c r="N353" s="33" t="str">
        <f t="shared" si="68"/>
        <v/>
      </c>
      <c r="O353" s="33" t="str">
        <f>IF($Y353&lt;&gt;1,"",(INDEX(Comenzi!$AK:$AK,$X353)+N(INDEX(Comenzi!$T:$T,$X353)))*$I353/$E353)</f>
        <v/>
      </c>
      <c r="P353" s="35" t="str">
        <f t="shared" si="69"/>
        <v/>
      </c>
      <c r="Q353" s="36" t="str">
        <f t="shared" si="70"/>
        <v/>
      </c>
      <c r="R353" s="37" t="str">
        <f t="shared" si="71"/>
        <v/>
      </c>
      <c r="S353" s="38" t="str">
        <f t="shared" si="72"/>
        <v/>
      </c>
      <c r="T353" s="39" t="str">
        <f t="shared" si="73"/>
        <v/>
      </c>
      <c r="U353" s="40" t="str">
        <f t="shared" si="74"/>
        <v/>
      </c>
      <c r="V353" s="33" t="str">
        <f t="shared" si="75"/>
        <v/>
      </c>
      <c r="W353" s="33" t="str">
        <f t="shared" si="76"/>
        <v/>
      </c>
      <c r="X353" s="41" t="str">
        <f>IF($A353="","",IFERROR(MATCH($A353,Comenzi!$A$9:$A$108,0)+8,""))</f>
        <v/>
      </c>
      <c r="Y353" s="41" t="str">
        <f t="shared" si="77"/>
        <v/>
      </c>
      <c r="Z353" s="42" t="str">
        <f>IF($A353="","",IF($A353="?","Lipseste ID-ul comenzii (col. A din PI Furnizor)",IF(NOT(ISNUMBER($X353)),"ID comanda negasit in foaia Comenzi",IF(N($E353)&lt;=0,"Lipseste cantitatea",IF(N($G353)=0,"Pret unitar lipsa",IF($Y353&lt;&gt;1,"Curs sau moneda marfa lipsa (foaia Comenzi)",IF(INDEX(Comenzi!$AT:$AT,$X353)&lt;&gt;"OK","Avertisment comanda: "&amp;INDEX(Comenzi!$AT:$AT,$X353),"OK")))))))</f>
        <v/>
      </c>
      <c r="AA353" s="43" t="str">
        <f>IF(ISNUMBER($X353),INDEX(Comenzi!$H:$H,$X353),"")</f>
        <v/>
      </c>
      <c r="AB353" s="43" t="str">
        <f>IF(ISNUMBER($X353),INDEX(Comenzi!$I:$I,$X353),"")</f>
        <v/>
      </c>
      <c r="AC353" s="44" t="str">
        <f>IF(ISNUMBER($X353),IF(INDEX(Comenzi!$V:$V,$X353)="",Comenzi!$D$3,INDEX(Comenzi!$V:$V,$X353)),"")</f>
        <v/>
      </c>
      <c r="AD353" s="44" t="str">
        <f>IF(ISNUMBER($X353),IF(INDEX(Comenzi!$U:$U,$X353)="",Comenzi!$D$4,INDEX(Comenzi!$U:$U,$X353)),"")</f>
        <v/>
      </c>
      <c r="AE353" s="45" t="str">
        <f>IF($Y353&lt;&gt;1,"",IF(INDEX(Comenzi!$AM:$AM,$X353)="Greutate",INDEX('PI Furnizor'!$O:$O,ROW()-3),IF(INDEX(Comenzi!$AM:$AM,$X353)="Volum (CBM)",INDEX('PI Furnizor'!$Q:$Q,ROW()-3),IF(INDEX(Comenzi!$AM:$AM,$X353)="Valoare marfa",INDEX('PI Furnizor'!$N:$N,ROW()-3),$E353))))</f>
        <v/>
      </c>
    </row>
    <row r="354" spans="1:31" x14ac:dyDescent="0.3">
      <c r="A354" s="28" t="str">
        <f>IF(COUNTA(INDEX('PI Furnizor'!$A:$E,ROW()-3,0))=0,"",IF(INDEX('PI Furnizor'!$A:$A,ROW()-3)="","?",INDEX('PI Furnizor'!$A:$A,ROW()-3)))</f>
        <v/>
      </c>
      <c r="B354" s="29" t="str">
        <f>IF(ISNUMBER($X354),INDEX(Comenzi!$B:$B,$X354),"")</f>
        <v/>
      </c>
      <c r="C354" s="28" t="str">
        <f>IF($A354="","",INDEX('PI Furnizor'!$B:$B,ROW()-3)&amp;"")</f>
        <v/>
      </c>
      <c r="D354" s="28" t="str">
        <f>IF($A354="","",INDEX('PI Furnizor'!$C:$C,ROW()-3)&amp;"")</f>
        <v/>
      </c>
      <c r="E354" s="30" t="str">
        <f>IF($A354="","",N(INDEX('PI Furnizor'!$D:$D,ROW()-3)))</f>
        <v/>
      </c>
      <c r="F354" s="31" t="str">
        <f>IF(ISNUMBER($X354),INDEX(Comenzi!$G:$G,$X354),"")</f>
        <v/>
      </c>
      <c r="G354" s="32" t="str">
        <f>IF($A354="","",N(INDEX('PI Furnizor'!$E:$E,ROW()-3)))</f>
        <v/>
      </c>
      <c r="H354" s="33" t="str">
        <f t="shared" si="65"/>
        <v/>
      </c>
      <c r="I354" s="34" t="str">
        <f>IF($Y354&lt;&gt;1,"",IFERROR($AE354/INDEX(Comenzi!$AN:$AN,$X354),0))</f>
        <v/>
      </c>
      <c r="J354" s="33" t="str">
        <f>IF($Y354&lt;&gt;1,"",INDEX(Comenzi!$AG:$AG,$X354)*$I354/$E354)</f>
        <v/>
      </c>
      <c r="K354" s="33" t="str">
        <f t="shared" si="66"/>
        <v/>
      </c>
      <c r="L354" s="33" t="str">
        <f>IF($Y354&lt;&gt;1,"",$K354*$AD354+INDEX(Comenzi!$AJ:$AJ,$X354)*$I354/$E354)</f>
        <v/>
      </c>
      <c r="M354" s="33" t="str">
        <f t="shared" si="67"/>
        <v/>
      </c>
      <c r="N354" s="33" t="str">
        <f t="shared" si="68"/>
        <v/>
      </c>
      <c r="O354" s="33" t="str">
        <f>IF($Y354&lt;&gt;1,"",(INDEX(Comenzi!$AK:$AK,$X354)+N(INDEX(Comenzi!$T:$T,$X354)))*$I354/$E354)</f>
        <v/>
      </c>
      <c r="P354" s="35" t="str">
        <f t="shared" si="69"/>
        <v/>
      </c>
      <c r="Q354" s="36" t="str">
        <f t="shared" si="70"/>
        <v/>
      </c>
      <c r="R354" s="37" t="str">
        <f t="shared" si="71"/>
        <v/>
      </c>
      <c r="S354" s="38" t="str">
        <f t="shared" si="72"/>
        <v/>
      </c>
      <c r="T354" s="39" t="str">
        <f t="shared" si="73"/>
        <v/>
      </c>
      <c r="U354" s="40" t="str">
        <f t="shared" si="74"/>
        <v/>
      </c>
      <c r="V354" s="33" t="str">
        <f t="shared" si="75"/>
        <v/>
      </c>
      <c r="W354" s="33" t="str">
        <f t="shared" si="76"/>
        <v/>
      </c>
      <c r="X354" s="41" t="str">
        <f>IF($A354="","",IFERROR(MATCH($A354,Comenzi!$A$9:$A$108,0)+8,""))</f>
        <v/>
      </c>
      <c r="Y354" s="41" t="str">
        <f t="shared" si="77"/>
        <v/>
      </c>
      <c r="Z354" s="42" t="str">
        <f>IF($A354="","",IF($A354="?","Lipseste ID-ul comenzii (col. A din PI Furnizor)",IF(NOT(ISNUMBER($X354)),"ID comanda negasit in foaia Comenzi",IF(N($E354)&lt;=0,"Lipseste cantitatea",IF(N($G354)=0,"Pret unitar lipsa",IF($Y354&lt;&gt;1,"Curs sau moneda marfa lipsa (foaia Comenzi)",IF(INDEX(Comenzi!$AT:$AT,$X354)&lt;&gt;"OK","Avertisment comanda: "&amp;INDEX(Comenzi!$AT:$AT,$X354),"OK")))))))</f>
        <v/>
      </c>
      <c r="AA354" s="43" t="str">
        <f>IF(ISNUMBER($X354),INDEX(Comenzi!$H:$H,$X354),"")</f>
        <v/>
      </c>
      <c r="AB354" s="43" t="str">
        <f>IF(ISNUMBER($X354),INDEX(Comenzi!$I:$I,$X354),"")</f>
        <v/>
      </c>
      <c r="AC354" s="44" t="str">
        <f>IF(ISNUMBER($X354),IF(INDEX(Comenzi!$V:$V,$X354)="",Comenzi!$D$3,INDEX(Comenzi!$V:$V,$X354)),"")</f>
        <v/>
      </c>
      <c r="AD354" s="44" t="str">
        <f>IF(ISNUMBER($X354),IF(INDEX(Comenzi!$U:$U,$X354)="",Comenzi!$D$4,INDEX(Comenzi!$U:$U,$X354)),"")</f>
        <v/>
      </c>
      <c r="AE354" s="45" t="str">
        <f>IF($Y354&lt;&gt;1,"",IF(INDEX(Comenzi!$AM:$AM,$X354)="Greutate",INDEX('PI Furnizor'!$O:$O,ROW()-3),IF(INDEX(Comenzi!$AM:$AM,$X354)="Volum (CBM)",INDEX('PI Furnizor'!$Q:$Q,ROW()-3),IF(INDEX(Comenzi!$AM:$AM,$X354)="Valoare marfa",INDEX('PI Furnizor'!$N:$N,ROW()-3),$E354))))</f>
        <v/>
      </c>
    </row>
    <row r="355" spans="1:31" x14ac:dyDescent="0.3">
      <c r="A355" s="28" t="str">
        <f>IF(COUNTA(INDEX('PI Furnizor'!$A:$E,ROW()-3,0))=0,"",IF(INDEX('PI Furnizor'!$A:$A,ROW()-3)="","?",INDEX('PI Furnizor'!$A:$A,ROW()-3)))</f>
        <v/>
      </c>
      <c r="B355" s="29" t="str">
        <f>IF(ISNUMBER($X355),INDEX(Comenzi!$B:$B,$X355),"")</f>
        <v/>
      </c>
      <c r="C355" s="28" t="str">
        <f>IF($A355="","",INDEX('PI Furnizor'!$B:$B,ROW()-3)&amp;"")</f>
        <v/>
      </c>
      <c r="D355" s="28" t="str">
        <f>IF($A355="","",INDEX('PI Furnizor'!$C:$C,ROW()-3)&amp;"")</f>
        <v/>
      </c>
      <c r="E355" s="30" t="str">
        <f>IF($A355="","",N(INDEX('PI Furnizor'!$D:$D,ROW()-3)))</f>
        <v/>
      </c>
      <c r="F355" s="31" t="str">
        <f>IF(ISNUMBER($X355),INDEX(Comenzi!$G:$G,$X355),"")</f>
        <v/>
      </c>
      <c r="G355" s="32" t="str">
        <f>IF($A355="","",N(INDEX('PI Furnizor'!$E:$E,ROW()-3)))</f>
        <v/>
      </c>
      <c r="H355" s="33" t="str">
        <f t="shared" si="65"/>
        <v/>
      </c>
      <c r="I355" s="34" t="str">
        <f>IF($Y355&lt;&gt;1,"",IFERROR($AE355/INDEX(Comenzi!$AN:$AN,$X355),0))</f>
        <v/>
      </c>
      <c r="J355" s="33" t="str">
        <f>IF($Y355&lt;&gt;1,"",INDEX(Comenzi!$AG:$AG,$X355)*$I355/$E355)</f>
        <v/>
      </c>
      <c r="K355" s="33" t="str">
        <f t="shared" si="66"/>
        <v/>
      </c>
      <c r="L355" s="33" t="str">
        <f>IF($Y355&lt;&gt;1,"",$K355*$AD355+INDEX(Comenzi!$AJ:$AJ,$X355)*$I355/$E355)</f>
        <v/>
      </c>
      <c r="M355" s="33" t="str">
        <f t="shared" si="67"/>
        <v/>
      </c>
      <c r="N355" s="33" t="str">
        <f t="shared" si="68"/>
        <v/>
      </c>
      <c r="O355" s="33" t="str">
        <f>IF($Y355&lt;&gt;1,"",(INDEX(Comenzi!$AK:$AK,$X355)+N(INDEX(Comenzi!$T:$T,$X355)))*$I355/$E355)</f>
        <v/>
      </c>
      <c r="P355" s="35" t="str">
        <f t="shared" si="69"/>
        <v/>
      </c>
      <c r="Q355" s="36" t="str">
        <f t="shared" si="70"/>
        <v/>
      </c>
      <c r="R355" s="37" t="str">
        <f t="shared" si="71"/>
        <v/>
      </c>
      <c r="S355" s="38" t="str">
        <f t="shared" si="72"/>
        <v/>
      </c>
      <c r="T355" s="39" t="str">
        <f t="shared" si="73"/>
        <v/>
      </c>
      <c r="U355" s="40" t="str">
        <f t="shared" si="74"/>
        <v/>
      </c>
      <c r="V355" s="33" t="str">
        <f t="shared" si="75"/>
        <v/>
      </c>
      <c r="W355" s="33" t="str">
        <f t="shared" si="76"/>
        <v/>
      </c>
      <c r="X355" s="41" t="str">
        <f>IF($A355="","",IFERROR(MATCH($A355,Comenzi!$A$9:$A$108,0)+8,""))</f>
        <v/>
      </c>
      <c r="Y355" s="41" t="str">
        <f t="shared" si="77"/>
        <v/>
      </c>
      <c r="Z355" s="42" t="str">
        <f>IF($A355="","",IF($A355="?","Lipseste ID-ul comenzii (col. A din PI Furnizor)",IF(NOT(ISNUMBER($X355)),"ID comanda negasit in foaia Comenzi",IF(N($E355)&lt;=0,"Lipseste cantitatea",IF(N($G355)=0,"Pret unitar lipsa",IF($Y355&lt;&gt;1,"Curs sau moneda marfa lipsa (foaia Comenzi)",IF(INDEX(Comenzi!$AT:$AT,$X355)&lt;&gt;"OK","Avertisment comanda: "&amp;INDEX(Comenzi!$AT:$AT,$X355),"OK")))))))</f>
        <v/>
      </c>
      <c r="AA355" s="43" t="str">
        <f>IF(ISNUMBER($X355),INDEX(Comenzi!$H:$H,$X355),"")</f>
        <v/>
      </c>
      <c r="AB355" s="43" t="str">
        <f>IF(ISNUMBER($X355),INDEX(Comenzi!$I:$I,$X355),"")</f>
        <v/>
      </c>
      <c r="AC355" s="44" t="str">
        <f>IF(ISNUMBER($X355),IF(INDEX(Comenzi!$V:$V,$X355)="",Comenzi!$D$3,INDEX(Comenzi!$V:$V,$X355)),"")</f>
        <v/>
      </c>
      <c r="AD355" s="44" t="str">
        <f>IF(ISNUMBER($X355),IF(INDEX(Comenzi!$U:$U,$X355)="",Comenzi!$D$4,INDEX(Comenzi!$U:$U,$X355)),"")</f>
        <v/>
      </c>
      <c r="AE355" s="45" t="str">
        <f>IF($Y355&lt;&gt;1,"",IF(INDEX(Comenzi!$AM:$AM,$X355)="Greutate",INDEX('PI Furnizor'!$O:$O,ROW()-3),IF(INDEX(Comenzi!$AM:$AM,$X355)="Volum (CBM)",INDEX('PI Furnizor'!$Q:$Q,ROW()-3),IF(INDEX(Comenzi!$AM:$AM,$X355)="Valoare marfa",INDEX('PI Furnizor'!$N:$N,ROW()-3),$E355))))</f>
        <v/>
      </c>
    </row>
    <row r="356" spans="1:31" x14ac:dyDescent="0.3">
      <c r="A356" s="28" t="str">
        <f>IF(COUNTA(INDEX('PI Furnizor'!$A:$E,ROW()-3,0))=0,"",IF(INDEX('PI Furnizor'!$A:$A,ROW()-3)="","?",INDEX('PI Furnizor'!$A:$A,ROW()-3)))</f>
        <v/>
      </c>
      <c r="B356" s="29" t="str">
        <f>IF(ISNUMBER($X356),INDEX(Comenzi!$B:$B,$X356),"")</f>
        <v/>
      </c>
      <c r="C356" s="28" t="str">
        <f>IF($A356="","",INDEX('PI Furnizor'!$B:$B,ROW()-3)&amp;"")</f>
        <v/>
      </c>
      <c r="D356" s="28" t="str">
        <f>IF($A356="","",INDEX('PI Furnizor'!$C:$C,ROW()-3)&amp;"")</f>
        <v/>
      </c>
      <c r="E356" s="30" t="str">
        <f>IF($A356="","",N(INDEX('PI Furnizor'!$D:$D,ROW()-3)))</f>
        <v/>
      </c>
      <c r="F356" s="31" t="str">
        <f>IF(ISNUMBER($X356),INDEX(Comenzi!$G:$G,$X356),"")</f>
        <v/>
      </c>
      <c r="G356" s="32" t="str">
        <f>IF($A356="","",N(INDEX('PI Furnizor'!$E:$E,ROW()-3)))</f>
        <v/>
      </c>
      <c r="H356" s="33" t="str">
        <f t="shared" si="65"/>
        <v/>
      </c>
      <c r="I356" s="34" t="str">
        <f>IF($Y356&lt;&gt;1,"",IFERROR($AE356/INDEX(Comenzi!$AN:$AN,$X356),0))</f>
        <v/>
      </c>
      <c r="J356" s="33" t="str">
        <f>IF($Y356&lt;&gt;1,"",INDEX(Comenzi!$AG:$AG,$X356)*$I356/$E356)</f>
        <v/>
      </c>
      <c r="K356" s="33" t="str">
        <f t="shared" si="66"/>
        <v/>
      </c>
      <c r="L356" s="33" t="str">
        <f>IF($Y356&lt;&gt;1,"",$K356*$AD356+INDEX(Comenzi!$AJ:$AJ,$X356)*$I356/$E356)</f>
        <v/>
      </c>
      <c r="M356" s="33" t="str">
        <f t="shared" si="67"/>
        <v/>
      </c>
      <c r="N356" s="33" t="str">
        <f t="shared" si="68"/>
        <v/>
      </c>
      <c r="O356" s="33" t="str">
        <f>IF($Y356&lt;&gt;1,"",(INDEX(Comenzi!$AK:$AK,$X356)+N(INDEX(Comenzi!$T:$T,$X356)))*$I356/$E356)</f>
        <v/>
      </c>
      <c r="P356" s="35" t="str">
        <f t="shared" si="69"/>
        <v/>
      </c>
      <c r="Q356" s="36" t="str">
        <f t="shared" si="70"/>
        <v/>
      </c>
      <c r="R356" s="37" t="str">
        <f t="shared" si="71"/>
        <v/>
      </c>
      <c r="S356" s="38" t="str">
        <f t="shared" si="72"/>
        <v/>
      </c>
      <c r="T356" s="39" t="str">
        <f t="shared" si="73"/>
        <v/>
      </c>
      <c r="U356" s="40" t="str">
        <f t="shared" si="74"/>
        <v/>
      </c>
      <c r="V356" s="33" t="str">
        <f t="shared" si="75"/>
        <v/>
      </c>
      <c r="W356" s="33" t="str">
        <f t="shared" si="76"/>
        <v/>
      </c>
      <c r="X356" s="41" t="str">
        <f>IF($A356="","",IFERROR(MATCH($A356,Comenzi!$A$9:$A$108,0)+8,""))</f>
        <v/>
      </c>
      <c r="Y356" s="41" t="str">
        <f t="shared" si="77"/>
        <v/>
      </c>
      <c r="Z356" s="42" t="str">
        <f>IF($A356="","",IF($A356="?","Lipseste ID-ul comenzii (col. A din PI Furnizor)",IF(NOT(ISNUMBER($X356)),"ID comanda negasit in foaia Comenzi",IF(N($E356)&lt;=0,"Lipseste cantitatea",IF(N($G356)=0,"Pret unitar lipsa",IF($Y356&lt;&gt;1,"Curs sau moneda marfa lipsa (foaia Comenzi)",IF(INDEX(Comenzi!$AT:$AT,$X356)&lt;&gt;"OK","Avertisment comanda: "&amp;INDEX(Comenzi!$AT:$AT,$X356),"OK")))))))</f>
        <v/>
      </c>
      <c r="AA356" s="43" t="str">
        <f>IF(ISNUMBER($X356),INDEX(Comenzi!$H:$H,$X356),"")</f>
        <v/>
      </c>
      <c r="AB356" s="43" t="str">
        <f>IF(ISNUMBER($X356),INDEX(Comenzi!$I:$I,$X356),"")</f>
        <v/>
      </c>
      <c r="AC356" s="44" t="str">
        <f>IF(ISNUMBER($X356),IF(INDEX(Comenzi!$V:$V,$X356)="",Comenzi!$D$3,INDEX(Comenzi!$V:$V,$X356)),"")</f>
        <v/>
      </c>
      <c r="AD356" s="44" t="str">
        <f>IF(ISNUMBER($X356),IF(INDEX(Comenzi!$U:$U,$X356)="",Comenzi!$D$4,INDEX(Comenzi!$U:$U,$X356)),"")</f>
        <v/>
      </c>
      <c r="AE356" s="45" t="str">
        <f>IF($Y356&lt;&gt;1,"",IF(INDEX(Comenzi!$AM:$AM,$X356)="Greutate",INDEX('PI Furnizor'!$O:$O,ROW()-3),IF(INDEX(Comenzi!$AM:$AM,$X356)="Volum (CBM)",INDEX('PI Furnizor'!$Q:$Q,ROW()-3),IF(INDEX(Comenzi!$AM:$AM,$X356)="Valoare marfa",INDEX('PI Furnizor'!$N:$N,ROW()-3),$E356))))</f>
        <v/>
      </c>
    </row>
    <row r="357" spans="1:31" x14ac:dyDescent="0.3">
      <c r="A357" s="28" t="str">
        <f>IF(COUNTA(INDEX('PI Furnizor'!$A:$E,ROW()-3,0))=0,"",IF(INDEX('PI Furnizor'!$A:$A,ROW()-3)="","?",INDEX('PI Furnizor'!$A:$A,ROW()-3)))</f>
        <v/>
      </c>
      <c r="B357" s="29" t="str">
        <f>IF(ISNUMBER($X357),INDEX(Comenzi!$B:$B,$X357),"")</f>
        <v/>
      </c>
      <c r="C357" s="28" t="str">
        <f>IF($A357="","",INDEX('PI Furnizor'!$B:$B,ROW()-3)&amp;"")</f>
        <v/>
      </c>
      <c r="D357" s="28" t="str">
        <f>IF($A357="","",INDEX('PI Furnizor'!$C:$C,ROW()-3)&amp;"")</f>
        <v/>
      </c>
      <c r="E357" s="30" t="str">
        <f>IF($A357="","",N(INDEX('PI Furnizor'!$D:$D,ROW()-3)))</f>
        <v/>
      </c>
      <c r="F357" s="31" t="str">
        <f>IF(ISNUMBER($X357),INDEX(Comenzi!$G:$G,$X357),"")</f>
        <v/>
      </c>
      <c r="G357" s="32" t="str">
        <f>IF($A357="","",N(INDEX('PI Furnizor'!$E:$E,ROW()-3)))</f>
        <v/>
      </c>
      <c r="H357" s="33" t="str">
        <f t="shared" si="65"/>
        <v/>
      </c>
      <c r="I357" s="34" t="str">
        <f>IF($Y357&lt;&gt;1,"",IFERROR($AE357/INDEX(Comenzi!$AN:$AN,$X357),0))</f>
        <v/>
      </c>
      <c r="J357" s="33" t="str">
        <f>IF($Y357&lt;&gt;1,"",INDEX(Comenzi!$AG:$AG,$X357)*$I357/$E357)</f>
        <v/>
      </c>
      <c r="K357" s="33" t="str">
        <f t="shared" si="66"/>
        <v/>
      </c>
      <c r="L357" s="33" t="str">
        <f>IF($Y357&lt;&gt;1,"",$K357*$AD357+INDEX(Comenzi!$AJ:$AJ,$X357)*$I357/$E357)</f>
        <v/>
      </c>
      <c r="M357" s="33" t="str">
        <f t="shared" si="67"/>
        <v/>
      </c>
      <c r="N357" s="33" t="str">
        <f t="shared" si="68"/>
        <v/>
      </c>
      <c r="O357" s="33" t="str">
        <f>IF($Y357&lt;&gt;1,"",(INDEX(Comenzi!$AK:$AK,$X357)+N(INDEX(Comenzi!$T:$T,$X357)))*$I357/$E357)</f>
        <v/>
      </c>
      <c r="P357" s="35" t="str">
        <f t="shared" si="69"/>
        <v/>
      </c>
      <c r="Q357" s="36" t="str">
        <f t="shared" si="70"/>
        <v/>
      </c>
      <c r="R357" s="37" t="str">
        <f t="shared" si="71"/>
        <v/>
      </c>
      <c r="S357" s="38" t="str">
        <f t="shared" si="72"/>
        <v/>
      </c>
      <c r="T357" s="39" t="str">
        <f t="shared" si="73"/>
        <v/>
      </c>
      <c r="U357" s="40" t="str">
        <f t="shared" si="74"/>
        <v/>
      </c>
      <c r="V357" s="33" t="str">
        <f t="shared" si="75"/>
        <v/>
      </c>
      <c r="W357" s="33" t="str">
        <f t="shared" si="76"/>
        <v/>
      </c>
      <c r="X357" s="41" t="str">
        <f>IF($A357="","",IFERROR(MATCH($A357,Comenzi!$A$9:$A$108,0)+8,""))</f>
        <v/>
      </c>
      <c r="Y357" s="41" t="str">
        <f t="shared" si="77"/>
        <v/>
      </c>
      <c r="Z357" s="42" t="str">
        <f>IF($A357="","",IF($A357="?","Lipseste ID-ul comenzii (col. A din PI Furnizor)",IF(NOT(ISNUMBER($X357)),"ID comanda negasit in foaia Comenzi",IF(N($E357)&lt;=0,"Lipseste cantitatea",IF(N($G357)=0,"Pret unitar lipsa",IF($Y357&lt;&gt;1,"Curs sau moneda marfa lipsa (foaia Comenzi)",IF(INDEX(Comenzi!$AT:$AT,$X357)&lt;&gt;"OK","Avertisment comanda: "&amp;INDEX(Comenzi!$AT:$AT,$X357),"OK")))))))</f>
        <v/>
      </c>
      <c r="AA357" s="43" t="str">
        <f>IF(ISNUMBER($X357),INDEX(Comenzi!$H:$H,$X357),"")</f>
        <v/>
      </c>
      <c r="AB357" s="43" t="str">
        <f>IF(ISNUMBER($X357),INDEX(Comenzi!$I:$I,$X357),"")</f>
        <v/>
      </c>
      <c r="AC357" s="44" t="str">
        <f>IF(ISNUMBER($X357),IF(INDEX(Comenzi!$V:$V,$X357)="",Comenzi!$D$3,INDEX(Comenzi!$V:$V,$X357)),"")</f>
        <v/>
      </c>
      <c r="AD357" s="44" t="str">
        <f>IF(ISNUMBER($X357),IF(INDEX(Comenzi!$U:$U,$X357)="",Comenzi!$D$4,INDEX(Comenzi!$U:$U,$X357)),"")</f>
        <v/>
      </c>
      <c r="AE357" s="45" t="str">
        <f>IF($Y357&lt;&gt;1,"",IF(INDEX(Comenzi!$AM:$AM,$X357)="Greutate",INDEX('PI Furnizor'!$O:$O,ROW()-3),IF(INDEX(Comenzi!$AM:$AM,$X357)="Volum (CBM)",INDEX('PI Furnizor'!$Q:$Q,ROW()-3),IF(INDEX(Comenzi!$AM:$AM,$X357)="Valoare marfa",INDEX('PI Furnizor'!$N:$N,ROW()-3),$E357))))</f>
        <v/>
      </c>
    </row>
    <row r="358" spans="1:31" x14ac:dyDescent="0.3">
      <c r="A358" s="28" t="str">
        <f>IF(COUNTA(INDEX('PI Furnizor'!$A:$E,ROW()-3,0))=0,"",IF(INDEX('PI Furnizor'!$A:$A,ROW()-3)="","?",INDEX('PI Furnizor'!$A:$A,ROW()-3)))</f>
        <v/>
      </c>
      <c r="B358" s="29" t="str">
        <f>IF(ISNUMBER($X358),INDEX(Comenzi!$B:$B,$X358),"")</f>
        <v/>
      </c>
      <c r="C358" s="28" t="str">
        <f>IF($A358="","",INDEX('PI Furnizor'!$B:$B,ROW()-3)&amp;"")</f>
        <v/>
      </c>
      <c r="D358" s="28" t="str">
        <f>IF($A358="","",INDEX('PI Furnizor'!$C:$C,ROW()-3)&amp;"")</f>
        <v/>
      </c>
      <c r="E358" s="30" t="str">
        <f>IF($A358="","",N(INDEX('PI Furnizor'!$D:$D,ROW()-3)))</f>
        <v/>
      </c>
      <c r="F358" s="31" t="str">
        <f>IF(ISNUMBER($X358),INDEX(Comenzi!$G:$G,$X358),"")</f>
        <v/>
      </c>
      <c r="G358" s="32" t="str">
        <f>IF($A358="","",N(INDEX('PI Furnizor'!$E:$E,ROW()-3)))</f>
        <v/>
      </c>
      <c r="H358" s="33" t="str">
        <f t="shared" si="65"/>
        <v/>
      </c>
      <c r="I358" s="34" t="str">
        <f>IF($Y358&lt;&gt;1,"",IFERROR($AE358/INDEX(Comenzi!$AN:$AN,$X358),0))</f>
        <v/>
      </c>
      <c r="J358" s="33" t="str">
        <f>IF($Y358&lt;&gt;1,"",INDEX(Comenzi!$AG:$AG,$X358)*$I358/$E358)</f>
        <v/>
      </c>
      <c r="K358" s="33" t="str">
        <f t="shared" si="66"/>
        <v/>
      </c>
      <c r="L358" s="33" t="str">
        <f>IF($Y358&lt;&gt;1,"",$K358*$AD358+INDEX(Comenzi!$AJ:$AJ,$X358)*$I358/$E358)</f>
        <v/>
      </c>
      <c r="M358" s="33" t="str">
        <f t="shared" si="67"/>
        <v/>
      </c>
      <c r="N358" s="33" t="str">
        <f t="shared" si="68"/>
        <v/>
      </c>
      <c r="O358" s="33" t="str">
        <f>IF($Y358&lt;&gt;1,"",(INDEX(Comenzi!$AK:$AK,$X358)+N(INDEX(Comenzi!$T:$T,$X358)))*$I358/$E358)</f>
        <v/>
      </c>
      <c r="P358" s="35" t="str">
        <f t="shared" si="69"/>
        <v/>
      </c>
      <c r="Q358" s="36" t="str">
        <f t="shared" si="70"/>
        <v/>
      </c>
      <c r="R358" s="37" t="str">
        <f t="shared" si="71"/>
        <v/>
      </c>
      <c r="S358" s="38" t="str">
        <f t="shared" si="72"/>
        <v/>
      </c>
      <c r="T358" s="39" t="str">
        <f t="shared" si="73"/>
        <v/>
      </c>
      <c r="U358" s="40" t="str">
        <f t="shared" si="74"/>
        <v/>
      </c>
      <c r="V358" s="33" t="str">
        <f t="shared" si="75"/>
        <v/>
      </c>
      <c r="W358" s="33" t="str">
        <f t="shared" si="76"/>
        <v/>
      </c>
      <c r="X358" s="41" t="str">
        <f>IF($A358="","",IFERROR(MATCH($A358,Comenzi!$A$9:$A$108,0)+8,""))</f>
        <v/>
      </c>
      <c r="Y358" s="41" t="str">
        <f t="shared" si="77"/>
        <v/>
      </c>
      <c r="Z358" s="42" t="str">
        <f>IF($A358="","",IF($A358="?","Lipseste ID-ul comenzii (col. A din PI Furnizor)",IF(NOT(ISNUMBER($X358)),"ID comanda negasit in foaia Comenzi",IF(N($E358)&lt;=0,"Lipseste cantitatea",IF(N($G358)=0,"Pret unitar lipsa",IF($Y358&lt;&gt;1,"Curs sau moneda marfa lipsa (foaia Comenzi)",IF(INDEX(Comenzi!$AT:$AT,$X358)&lt;&gt;"OK","Avertisment comanda: "&amp;INDEX(Comenzi!$AT:$AT,$X358),"OK")))))))</f>
        <v/>
      </c>
      <c r="AA358" s="43" t="str">
        <f>IF(ISNUMBER($X358),INDEX(Comenzi!$H:$H,$X358),"")</f>
        <v/>
      </c>
      <c r="AB358" s="43" t="str">
        <f>IF(ISNUMBER($X358),INDEX(Comenzi!$I:$I,$X358),"")</f>
        <v/>
      </c>
      <c r="AC358" s="44" t="str">
        <f>IF(ISNUMBER($X358),IF(INDEX(Comenzi!$V:$V,$X358)="",Comenzi!$D$3,INDEX(Comenzi!$V:$V,$X358)),"")</f>
        <v/>
      </c>
      <c r="AD358" s="44" t="str">
        <f>IF(ISNUMBER($X358),IF(INDEX(Comenzi!$U:$U,$X358)="",Comenzi!$D$4,INDEX(Comenzi!$U:$U,$X358)),"")</f>
        <v/>
      </c>
      <c r="AE358" s="45" t="str">
        <f>IF($Y358&lt;&gt;1,"",IF(INDEX(Comenzi!$AM:$AM,$X358)="Greutate",INDEX('PI Furnizor'!$O:$O,ROW()-3),IF(INDEX(Comenzi!$AM:$AM,$X358)="Volum (CBM)",INDEX('PI Furnizor'!$Q:$Q,ROW()-3),IF(INDEX(Comenzi!$AM:$AM,$X358)="Valoare marfa",INDEX('PI Furnizor'!$N:$N,ROW()-3),$E358))))</f>
        <v/>
      </c>
    </row>
    <row r="359" spans="1:31" x14ac:dyDescent="0.3">
      <c r="A359" s="28" t="str">
        <f>IF(COUNTA(INDEX('PI Furnizor'!$A:$E,ROW()-3,0))=0,"",IF(INDEX('PI Furnizor'!$A:$A,ROW()-3)="","?",INDEX('PI Furnizor'!$A:$A,ROW()-3)))</f>
        <v/>
      </c>
      <c r="B359" s="29" t="str">
        <f>IF(ISNUMBER($X359),INDEX(Comenzi!$B:$B,$X359),"")</f>
        <v/>
      </c>
      <c r="C359" s="28" t="str">
        <f>IF($A359="","",INDEX('PI Furnizor'!$B:$B,ROW()-3)&amp;"")</f>
        <v/>
      </c>
      <c r="D359" s="28" t="str">
        <f>IF($A359="","",INDEX('PI Furnizor'!$C:$C,ROW()-3)&amp;"")</f>
        <v/>
      </c>
      <c r="E359" s="30" t="str">
        <f>IF($A359="","",N(INDEX('PI Furnizor'!$D:$D,ROW()-3)))</f>
        <v/>
      </c>
      <c r="F359" s="31" t="str">
        <f>IF(ISNUMBER($X359),INDEX(Comenzi!$G:$G,$X359),"")</f>
        <v/>
      </c>
      <c r="G359" s="32" t="str">
        <f>IF($A359="","",N(INDEX('PI Furnizor'!$E:$E,ROW()-3)))</f>
        <v/>
      </c>
      <c r="H359" s="33" t="str">
        <f t="shared" si="65"/>
        <v/>
      </c>
      <c r="I359" s="34" t="str">
        <f>IF($Y359&lt;&gt;1,"",IFERROR($AE359/INDEX(Comenzi!$AN:$AN,$X359),0))</f>
        <v/>
      </c>
      <c r="J359" s="33" t="str">
        <f>IF($Y359&lt;&gt;1,"",INDEX(Comenzi!$AG:$AG,$X359)*$I359/$E359)</f>
        <v/>
      </c>
      <c r="K359" s="33" t="str">
        <f t="shared" si="66"/>
        <v/>
      </c>
      <c r="L359" s="33" t="str">
        <f>IF($Y359&lt;&gt;1,"",$K359*$AD359+INDEX(Comenzi!$AJ:$AJ,$X359)*$I359/$E359)</f>
        <v/>
      </c>
      <c r="M359" s="33" t="str">
        <f t="shared" si="67"/>
        <v/>
      </c>
      <c r="N359" s="33" t="str">
        <f t="shared" si="68"/>
        <v/>
      </c>
      <c r="O359" s="33" t="str">
        <f>IF($Y359&lt;&gt;1,"",(INDEX(Comenzi!$AK:$AK,$X359)+N(INDEX(Comenzi!$T:$T,$X359)))*$I359/$E359)</f>
        <v/>
      </c>
      <c r="P359" s="35" t="str">
        <f t="shared" si="69"/>
        <v/>
      </c>
      <c r="Q359" s="36" t="str">
        <f t="shared" si="70"/>
        <v/>
      </c>
      <c r="R359" s="37" t="str">
        <f t="shared" si="71"/>
        <v/>
      </c>
      <c r="S359" s="38" t="str">
        <f t="shared" si="72"/>
        <v/>
      </c>
      <c r="T359" s="39" t="str">
        <f t="shared" si="73"/>
        <v/>
      </c>
      <c r="U359" s="40" t="str">
        <f t="shared" si="74"/>
        <v/>
      </c>
      <c r="V359" s="33" t="str">
        <f t="shared" si="75"/>
        <v/>
      </c>
      <c r="W359" s="33" t="str">
        <f t="shared" si="76"/>
        <v/>
      </c>
      <c r="X359" s="41" t="str">
        <f>IF($A359="","",IFERROR(MATCH($A359,Comenzi!$A$9:$A$108,0)+8,""))</f>
        <v/>
      </c>
      <c r="Y359" s="41" t="str">
        <f t="shared" si="77"/>
        <v/>
      </c>
      <c r="Z359" s="42" t="str">
        <f>IF($A359="","",IF($A359="?","Lipseste ID-ul comenzii (col. A din PI Furnizor)",IF(NOT(ISNUMBER($X359)),"ID comanda negasit in foaia Comenzi",IF(N($E359)&lt;=0,"Lipseste cantitatea",IF(N($G359)=0,"Pret unitar lipsa",IF($Y359&lt;&gt;1,"Curs sau moneda marfa lipsa (foaia Comenzi)",IF(INDEX(Comenzi!$AT:$AT,$X359)&lt;&gt;"OK","Avertisment comanda: "&amp;INDEX(Comenzi!$AT:$AT,$X359),"OK")))))))</f>
        <v/>
      </c>
      <c r="AA359" s="43" t="str">
        <f>IF(ISNUMBER($X359),INDEX(Comenzi!$H:$H,$X359),"")</f>
        <v/>
      </c>
      <c r="AB359" s="43" t="str">
        <f>IF(ISNUMBER($X359),INDEX(Comenzi!$I:$I,$X359),"")</f>
        <v/>
      </c>
      <c r="AC359" s="44" t="str">
        <f>IF(ISNUMBER($X359),IF(INDEX(Comenzi!$V:$V,$X359)="",Comenzi!$D$3,INDEX(Comenzi!$V:$V,$X359)),"")</f>
        <v/>
      </c>
      <c r="AD359" s="44" t="str">
        <f>IF(ISNUMBER($X359),IF(INDEX(Comenzi!$U:$U,$X359)="",Comenzi!$D$4,INDEX(Comenzi!$U:$U,$X359)),"")</f>
        <v/>
      </c>
      <c r="AE359" s="45" t="str">
        <f>IF($Y359&lt;&gt;1,"",IF(INDEX(Comenzi!$AM:$AM,$X359)="Greutate",INDEX('PI Furnizor'!$O:$O,ROW()-3),IF(INDEX(Comenzi!$AM:$AM,$X359)="Volum (CBM)",INDEX('PI Furnizor'!$Q:$Q,ROW()-3),IF(INDEX(Comenzi!$AM:$AM,$X359)="Valoare marfa",INDEX('PI Furnizor'!$N:$N,ROW()-3),$E359))))</f>
        <v/>
      </c>
    </row>
    <row r="360" spans="1:31" x14ac:dyDescent="0.3">
      <c r="A360" s="28" t="str">
        <f>IF(COUNTA(INDEX('PI Furnizor'!$A:$E,ROW()-3,0))=0,"",IF(INDEX('PI Furnizor'!$A:$A,ROW()-3)="","?",INDEX('PI Furnizor'!$A:$A,ROW()-3)))</f>
        <v/>
      </c>
      <c r="B360" s="29" t="str">
        <f>IF(ISNUMBER($X360),INDEX(Comenzi!$B:$B,$X360),"")</f>
        <v/>
      </c>
      <c r="C360" s="28" t="str">
        <f>IF($A360="","",INDEX('PI Furnizor'!$B:$B,ROW()-3)&amp;"")</f>
        <v/>
      </c>
      <c r="D360" s="28" t="str">
        <f>IF($A360="","",INDEX('PI Furnizor'!$C:$C,ROW()-3)&amp;"")</f>
        <v/>
      </c>
      <c r="E360" s="30" t="str">
        <f>IF($A360="","",N(INDEX('PI Furnizor'!$D:$D,ROW()-3)))</f>
        <v/>
      </c>
      <c r="F360" s="31" t="str">
        <f>IF(ISNUMBER($X360),INDEX(Comenzi!$G:$G,$X360),"")</f>
        <v/>
      </c>
      <c r="G360" s="32" t="str">
        <f>IF($A360="","",N(INDEX('PI Furnizor'!$E:$E,ROW()-3)))</f>
        <v/>
      </c>
      <c r="H360" s="33" t="str">
        <f t="shared" si="65"/>
        <v/>
      </c>
      <c r="I360" s="34" t="str">
        <f>IF($Y360&lt;&gt;1,"",IFERROR($AE360/INDEX(Comenzi!$AN:$AN,$X360),0))</f>
        <v/>
      </c>
      <c r="J360" s="33" t="str">
        <f>IF($Y360&lt;&gt;1,"",INDEX(Comenzi!$AG:$AG,$X360)*$I360/$E360)</f>
        <v/>
      </c>
      <c r="K360" s="33" t="str">
        <f t="shared" si="66"/>
        <v/>
      </c>
      <c r="L360" s="33" t="str">
        <f>IF($Y360&lt;&gt;1,"",$K360*$AD360+INDEX(Comenzi!$AJ:$AJ,$X360)*$I360/$E360)</f>
        <v/>
      </c>
      <c r="M360" s="33" t="str">
        <f t="shared" si="67"/>
        <v/>
      </c>
      <c r="N360" s="33" t="str">
        <f t="shared" si="68"/>
        <v/>
      </c>
      <c r="O360" s="33" t="str">
        <f>IF($Y360&lt;&gt;1,"",(INDEX(Comenzi!$AK:$AK,$X360)+N(INDEX(Comenzi!$T:$T,$X360)))*$I360/$E360)</f>
        <v/>
      </c>
      <c r="P360" s="35" t="str">
        <f t="shared" si="69"/>
        <v/>
      </c>
      <c r="Q360" s="36" t="str">
        <f t="shared" si="70"/>
        <v/>
      </c>
      <c r="R360" s="37" t="str">
        <f t="shared" si="71"/>
        <v/>
      </c>
      <c r="S360" s="38" t="str">
        <f t="shared" si="72"/>
        <v/>
      </c>
      <c r="T360" s="39" t="str">
        <f t="shared" si="73"/>
        <v/>
      </c>
      <c r="U360" s="40" t="str">
        <f t="shared" si="74"/>
        <v/>
      </c>
      <c r="V360" s="33" t="str">
        <f t="shared" si="75"/>
        <v/>
      </c>
      <c r="W360" s="33" t="str">
        <f t="shared" si="76"/>
        <v/>
      </c>
      <c r="X360" s="41" t="str">
        <f>IF($A360="","",IFERROR(MATCH($A360,Comenzi!$A$9:$A$108,0)+8,""))</f>
        <v/>
      </c>
      <c r="Y360" s="41" t="str">
        <f t="shared" si="77"/>
        <v/>
      </c>
      <c r="Z360" s="42" t="str">
        <f>IF($A360="","",IF($A360="?","Lipseste ID-ul comenzii (col. A din PI Furnizor)",IF(NOT(ISNUMBER($X360)),"ID comanda negasit in foaia Comenzi",IF(N($E360)&lt;=0,"Lipseste cantitatea",IF(N($G360)=0,"Pret unitar lipsa",IF($Y360&lt;&gt;1,"Curs sau moneda marfa lipsa (foaia Comenzi)",IF(INDEX(Comenzi!$AT:$AT,$X360)&lt;&gt;"OK","Avertisment comanda: "&amp;INDEX(Comenzi!$AT:$AT,$X360),"OK")))))))</f>
        <v/>
      </c>
      <c r="AA360" s="43" t="str">
        <f>IF(ISNUMBER($X360),INDEX(Comenzi!$H:$H,$X360),"")</f>
        <v/>
      </c>
      <c r="AB360" s="43" t="str">
        <f>IF(ISNUMBER($X360),INDEX(Comenzi!$I:$I,$X360),"")</f>
        <v/>
      </c>
      <c r="AC360" s="44" t="str">
        <f>IF(ISNUMBER($X360),IF(INDEX(Comenzi!$V:$V,$X360)="",Comenzi!$D$3,INDEX(Comenzi!$V:$V,$X360)),"")</f>
        <v/>
      </c>
      <c r="AD360" s="44" t="str">
        <f>IF(ISNUMBER($X360),IF(INDEX(Comenzi!$U:$U,$X360)="",Comenzi!$D$4,INDEX(Comenzi!$U:$U,$X360)),"")</f>
        <v/>
      </c>
      <c r="AE360" s="45" t="str">
        <f>IF($Y360&lt;&gt;1,"",IF(INDEX(Comenzi!$AM:$AM,$X360)="Greutate",INDEX('PI Furnizor'!$O:$O,ROW()-3),IF(INDEX(Comenzi!$AM:$AM,$X360)="Volum (CBM)",INDEX('PI Furnizor'!$Q:$Q,ROW()-3),IF(INDEX(Comenzi!$AM:$AM,$X360)="Valoare marfa",INDEX('PI Furnizor'!$N:$N,ROW()-3),$E360))))</f>
        <v/>
      </c>
    </row>
    <row r="361" spans="1:31" x14ac:dyDescent="0.3">
      <c r="A361" s="28" t="str">
        <f>IF(COUNTA(INDEX('PI Furnizor'!$A:$E,ROW()-3,0))=0,"",IF(INDEX('PI Furnizor'!$A:$A,ROW()-3)="","?",INDEX('PI Furnizor'!$A:$A,ROW()-3)))</f>
        <v/>
      </c>
      <c r="B361" s="29" t="str">
        <f>IF(ISNUMBER($X361),INDEX(Comenzi!$B:$B,$X361),"")</f>
        <v/>
      </c>
      <c r="C361" s="28" t="str">
        <f>IF($A361="","",INDEX('PI Furnizor'!$B:$B,ROW()-3)&amp;"")</f>
        <v/>
      </c>
      <c r="D361" s="28" t="str">
        <f>IF($A361="","",INDEX('PI Furnizor'!$C:$C,ROW()-3)&amp;"")</f>
        <v/>
      </c>
      <c r="E361" s="30" t="str">
        <f>IF($A361="","",N(INDEX('PI Furnizor'!$D:$D,ROW()-3)))</f>
        <v/>
      </c>
      <c r="F361" s="31" t="str">
        <f>IF(ISNUMBER($X361),INDEX(Comenzi!$G:$G,$X361),"")</f>
        <v/>
      </c>
      <c r="G361" s="32" t="str">
        <f>IF($A361="","",N(INDEX('PI Furnizor'!$E:$E,ROW()-3)))</f>
        <v/>
      </c>
      <c r="H361" s="33" t="str">
        <f t="shared" si="65"/>
        <v/>
      </c>
      <c r="I361" s="34" t="str">
        <f>IF($Y361&lt;&gt;1,"",IFERROR($AE361/INDEX(Comenzi!$AN:$AN,$X361),0))</f>
        <v/>
      </c>
      <c r="J361" s="33" t="str">
        <f>IF($Y361&lt;&gt;1,"",INDEX(Comenzi!$AG:$AG,$X361)*$I361/$E361)</f>
        <v/>
      </c>
      <c r="K361" s="33" t="str">
        <f t="shared" si="66"/>
        <v/>
      </c>
      <c r="L361" s="33" t="str">
        <f>IF($Y361&lt;&gt;1,"",$K361*$AD361+INDEX(Comenzi!$AJ:$AJ,$X361)*$I361/$E361)</f>
        <v/>
      </c>
      <c r="M361" s="33" t="str">
        <f t="shared" si="67"/>
        <v/>
      </c>
      <c r="N361" s="33" t="str">
        <f t="shared" si="68"/>
        <v/>
      </c>
      <c r="O361" s="33" t="str">
        <f>IF($Y361&lt;&gt;1,"",(INDEX(Comenzi!$AK:$AK,$X361)+N(INDEX(Comenzi!$T:$T,$X361)))*$I361/$E361)</f>
        <v/>
      </c>
      <c r="P361" s="35" t="str">
        <f t="shared" si="69"/>
        <v/>
      </c>
      <c r="Q361" s="36" t="str">
        <f t="shared" si="70"/>
        <v/>
      </c>
      <c r="R361" s="37" t="str">
        <f t="shared" si="71"/>
        <v/>
      </c>
      <c r="S361" s="38" t="str">
        <f t="shared" si="72"/>
        <v/>
      </c>
      <c r="T361" s="39" t="str">
        <f t="shared" si="73"/>
        <v/>
      </c>
      <c r="U361" s="40" t="str">
        <f t="shared" si="74"/>
        <v/>
      </c>
      <c r="V361" s="33" t="str">
        <f t="shared" si="75"/>
        <v/>
      </c>
      <c r="W361" s="33" t="str">
        <f t="shared" si="76"/>
        <v/>
      </c>
      <c r="X361" s="41" t="str">
        <f>IF($A361="","",IFERROR(MATCH($A361,Comenzi!$A$9:$A$108,0)+8,""))</f>
        <v/>
      </c>
      <c r="Y361" s="41" t="str">
        <f t="shared" si="77"/>
        <v/>
      </c>
      <c r="Z361" s="42" t="str">
        <f>IF($A361="","",IF($A361="?","Lipseste ID-ul comenzii (col. A din PI Furnizor)",IF(NOT(ISNUMBER($X361)),"ID comanda negasit in foaia Comenzi",IF(N($E361)&lt;=0,"Lipseste cantitatea",IF(N($G361)=0,"Pret unitar lipsa",IF($Y361&lt;&gt;1,"Curs sau moneda marfa lipsa (foaia Comenzi)",IF(INDEX(Comenzi!$AT:$AT,$X361)&lt;&gt;"OK","Avertisment comanda: "&amp;INDEX(Comenzi!$AT:$AT,$X361),"OK")))))))</f>
        <v/>
      </c>
      <c r="AA361" s="43" t="str">
        <f>IF(ISNUMBER($X361),INDEX(Comenzi!$H:$H,$X361),"")</f>
        <v/>
      </c>
      <c r="AB361" s="43" t="str">
        <f>IF(ISNUMBER($X361),INDEX(Comenzi!$I:$I,$X361),"")</f>
        <v/>
      </c>
      <c r="AC361" s="44" t="str">
        <f>IF(ISNUMBER($X361),IF(INDEX(Comenzi!$V:$V,$X361)="",Comenzi!$D$3,INDEX(Comenzi!$V:$V,$X361)),"")</f>
        <v/>
      </c>
      <c r="AD361" s="44" t="str">
        <f>IF(ISNUMBER($X361),IF(INDEX(Comenzi!$U:$U,$X361)="",Comenzi!$D$4,INDEX(Comenzi!$U:$U,$X361)),"")</f>
        <v/>
      </c>
      <c r="AE361" s="45" t="str">
        <f>IF($Y361&lt;&gt;1,"",IF(INDEX(Comenzi!$AM:$AM,$X361)="Greutate",INDEX('PI Furnizor'!$O:$O,ROW()-3),IF(INDEX(Comenzi!$AM:$AM,$X361)="Volum (CBM)",INDEX('PI Furnizor'!$Q:$Q,ROW()-3),IF(INDEX(Comenzi!$AM:$AM,$X361)="Valoare marfa",INDEX('PI Furnizor'!$N:$N,ROW()-3),$E361))))</f>
        <v/>
      </c>
    </row>
    <row r="362" spans="1:31" x14ac:dyDescent="0.3">
      <c r="A362" s="28" t="str">
        <f>IF(COUNTA(INDEX('PI Furnizor'!$A:$E,ROW()-3,0))=0,"",IF(INDEX('PI Furnizor'!$A:$A,ROW()-3)="","?",INDEX('PI Furnizor'!$A:$A,ROW()-3)))</f>
        <v/>
      </c>
      <c r="B362" s="29" t="str">
        <f>IF(ISNUMBER($X362),INDEX(Comenzi!$B:$B,$X362),"")</f>
        <v/>
      </c>
      <c r="C362" s="28" t="str">
        <f>IF($A362="","",INDEX('PI Furnizor'!$B:$B,ROW()-3)&amp;"")</f>
        <v/>
      </c>
      <c r="D362" s="28" t="str">
        <f>IF($A362="","",INDEX('PI Furnizor'!$C:$C,ROW()-3)&amp;"")</f>
        <v/>
      </c>
      <c r="E362" s="30" t="str">
        <f>IF($A362="","",N(INDEX('PI Furnizor'!$D:$D,ROW()-3)))</f>
        <v/>
      </c>
      <c r="F362" s="31" t="str">
        <f>IF(ISNUMBER($X362),INDEX(Comenzi!$G:$G,$X362),"")</f>
        <v/>
      </c>
      <c r="G362" s="32" t="str">
        <f>IF($A362="","",N(INDEX('PI Furnizor'!$E:$E,ROW()-3)))</f>
        <v/>
      </c>
      <c r="H362" s="33" t="str">
        <f t="shared" si="65"/>
        <v/>
      </c>
      <c r="I362" s="34" t="str">
        <f>IF($Y362&lt;&gt;1,"",IFERROR($AE362/INDEX(Comenzi!$AN:$AN,$X362),0))</f>
        <v/>
      </c>
      <c r="J362" s="33" t="str">
        <f>IF($Y362&lt;&gt;1,"",INDEX(Comenzi!$AG:$AG,$X362)*$I362/$E362)</f>
        <v/>
      </c>
      <c r="K362" s="33" t="str">
        <f t="shared" si="66"/>
        <v/>
      </c>
      <c r="L362" s="33" t="str">
        <f>IF($Y362&lt;&gt;1,"",$K362*$AD362+INDEX(Comenzi!$AJ:$AJ,$X362)*$I362/$E362)</f>
        <v/>
      </c>
      <c r="M362" s="33" t="str">
        <f t="shared" si="67"/>
        <v/>
      </c>
      <c r="N362" s="33" t="str">
        <f t="shared" si="68"/>
        <v/>
      </c>
      <c r="O362" s="33" t="str">
        <f>IF($Y362&lt;&gt;1,"",(INDEX(Comenzi!$AK:$AK,$X362)+N(INDEX(Comenzi!$T:$T,$X362)))*$I362/$E362)</f>
        <v/>
      </c>
      <c r="P362" s="35" t="str">
        <f t="shared" si="69"/>
        <v/>
      </c>
      <c r="Q362" s="36" t="str">
        <f t="shared" si="70"/>
        <v/>
      </c>
      <c r="R362" s="37" t="str">
        <f t="shared" si="71"/>
        <v/>
      </c>
      <c r="S362" s="38" t="str">
        <f t="shared" si="72"/>
        <v/>
      </c>
      <c r="T362" s="39" t="str">
        <f t="shared" si="73"/>
        <v/>
      </c>
      <c r="U362" s="40" t="str">
        <f t="shared" si="74"/>
        <v/>
      </c>
      <c r="V362" s="33" t="str">
        <f t="shared" si="75"/>
        <v/>
      </c>
      <c r="W362" s="33" t="str">
        <f t="shared" si="76"/>
        <v/>
      </c>
      <c r="X362" s="41" t="str">
        <f>IF($A362="","",IFERROR(MATCH($A362,Comenzi!$A$9:$A$108,0)+8,""))</f>
        <v/>
      </c>
      <c r="Y362" s="41" t="str">
        <f t="shared" si="77"/>
        <v/>
      </c>
      <c r="Z362" s="42" t="str">
        <f>IF($A362="","",IF($A362="?","Lipseste ID-ul comenzii (col. A din PI Furnizor)",IF(NOT(ISNUMBER($X362)),"ID comanda negasit in foaia Comenzi",IF(N($E362)&lt;=0,"Lipseste cantitatea",IF(N($G362)=0,"Pret unitar lipsa",IF($Y362&lt;&gt;1,"Curs sau moneda marfa lipsa (foaia Comenzi)",IF(INDEX(Comenzi!$AT:$AT,$X362)&lt;&gt;"OK","Avertisment comanda: "&amp;INDEX(Comenzi!$AT:$AT,$X362),"OK")))))))</f>
        <v/>
      </c>
      <c r="AA362" s="43" t="str">
        <f>IF(ISNUMBER($X362),INDEX(Comenzi!$H:$H,$X362),"")</f>
        <v/>
      </c>
      <c r="AB362" s="43" t="str">
        <f>IF(ISNUMBER($X362),INDEX(Comenzi!$I:$I,$X362),"")</f>
        <v/>
      </c>
      <c r="AC362" s="44" t="str">
        <f>IF(ISNUMBER($X362),IF(INDEX(Comenzi!$V:$V,$X362)="",Comenzi!$D$3,INDEX(Comenzi!$V:$V,$X362)),"")</f>
        <v/>
      </c>
      <c r="AD362" s="44" t="str">
        <f>IF(ISNUMBER($X362),IF(INDEX(Comenzi!$U:$U,$X362)="",Comenzi!$D$4,INDEX(Comenzi!$U:$U,$X362)),"")</f>
        <v/>
      </c>
      <c r="AE362" s="45" t="str">
        <f>IF($Y362&lt;&gt;1,"",IF(INDEX(Comenzi!$AM:$AM,$X362)="Greutate",INDEX('PI Furnizor'!$O:$O,ROW()-3),IF(INDEX(Comenzi!$AM:$AM,$X362)="Volum (CBM)",INDEX('PI Furnizor'!$Q:$Q,ROW()-3),IF(INDEX(Comenzi!$AM:$AM,$X362)="Valoare marfa",INDEX('PI Furnizor'!$N:$N,ROW()-3),$E362))))</f>
        <v/>
      </c>
    </row>
    <row r="363" spans="1:31" x14ac:dyDescent="0.3">
      <c r="A363" s="28" t="str">
        <f>IF(COUNTA(INDEX('PI Furnizor'!$A:$E,ROW()-3,0))=0,"",IF(INDEX('PI Furnizor'!$A:$A,ROW()-3)="","?",INDEX('PI Furnizor'!$A:$A,ROW()-3)))</f>
        <v/>
      </c>
      <c r="B363" s="29" t="str">
        <f>IF(ISNUMBER($X363),INDEX(Comenzi!$B:$B,$X363),"")</f>
        <v/>
      </c>
      <c r="C363" s="28" t="str">
        <f>IF($A363="","",INDEX('PI Furnizor'!$B:$B,ROW()-3)&amp;"")</f>
        <v/>
      </c>
      <c r="D363" s="28" t="str">
        <f>IF($A363="","",INDEX('PI Furnizor'!$C:$C,ROW()-3)&amp;"")</f>
        <v/>
      </c>
      <c r="E363" s="30" t="str">
        <f>IF($A363="","",N(INDEX('PI Furnizor'!$D:$D,ROW()-3)))</f>
        <v/>
      </c>
      <c r="F363" s="31" t="str">
        <f>IF(ISNUMBER($X363),INDEX(Comenzi!$G:$G,$X363),"")</f>
        <v/>
      </c>
      <c r="G363" s="32" t="str">
        <f>IF($A363="","",N(INDEX('PI Furnizor'!$E:$E,ROW()-3)))</f>
        <v/>
      </c>
      <c r="H363" s="33" t="str">
        <f t="shared" si="65"/>
        <v/>
      </c>
      <c r="I363" s="34" t="str">
        <f>IF($Y363&lt;&gt;1,"",IFERROR($AE363/INDEX(Comenzi!$AN:$AN,$X363),0))</f>
        <v/>
      </c>
      <c r="J363" s="33" t="str">
        <f>IF($Y363&lt;&gt;1,"",INDEX(Comenzi!$AG:$AG,$X363)*$I363/$E363)</f>
        <v/>
      </c>
      <c r="K363" s="33" t="str">
        <f t="shared" si="66"/>
        <v/>
      </c>
      <c r="L363" s="33" t="str">
        <f>IF($Y363&lt;&gt;1,"",$K363*$AD363+INDEX(Comenzi!$AJ:$AJ,$X363)*$I363/$E363)</f>
        <v/>
      </c>
      <c r="M363" s="33" t="str">
        <f t="shared" si="67"/>
        <v/>
      </c>
      <c r="N363" s="33" t="str">
        <f t="shared" si="68"/>
        <v/>
      </c>
      <c r="O363" s="33" t="str">
        <f>IF($Y363&lt;&gt;1,"",(INDEX(Comenzi!$AK:$AK,$X363)+N(INDEX(Comenzi!$T:$T,$X363)))*$I363/$E363)</f>
        <v/>
      </c>
      <c r="P363" s="35" t="str">
        <f t="shared" si="69"/>
        <v/>
      </c>
      <c r="Q363" s="36" t="str">
        <f t="shared" si="70"/>
        <v/>
      </c>
      <c r="R363" s="37" t="str">
        <f t="shared" si="71"/>
        <v/>
      </c>
      <c r="S363" s="38" t="str">
        <f t="shared" si="72"/>
        <v/>
      </c>
      <c r="T363" s="39" t="str">
        <f t="shared" si="73"/>
        <v/>
      </c>
      <c r="U363" s="40" t="str">
        <f t="shared" si="74"/>
        <v/>
      </c>
      <c r="V363" s="33" t="str">
        <f t="shared" si="75"/>
        <v/>
      </c>
      <c r="W363" s="33" t="str">
        <f t="shared" si="76"/>
        <v/>
      </c>
      <c r="X363" s="41" t="str">
        <f>IF($A363="","",IFERROR(MATCH($A363,Comenzi!$A$9:$A$108,0)+8,""))</f>
        <v/>
      </c>
      <c r="Y363" s="41" t="str">
        <f t="shared" si="77"/>
        <v/>
      </c>
      <c r="Z363" s="42" t="str">
        <f>IF($A363="","",IF($A363="?","Lipseste ID-ul comenzii (col. A din PI Furnizor)",IF(NOT(ISNUMBER($X363)),"ID comanda negasit in foaia Comenzi",IF(N($E363)&lt;=0,"Lipseste cantitatea",IF(N($G363)=0,"Pret unitar lipsa",IF($Y363&lt;&gt;1,"Curs sau moneda marfa lipsa (foaia Comenzi)",IF(INDEX(Comenzi!$AT:$AT,$X363)&lt;&gt;"OK","Avertisment comanda: "&amp;INDEX(Comenzi!$AT:$AT,$X363),"OK")))))))</f>
        <v/>
      </c>
      <c r="AA363" s="43" t="str">
        <f>IF(ISNUMBER($X363),INDEX(Comenzi!$H:$H,$X363),"")</f>
        <v/>
      </c>
      <c r="AB363" s="43" t="str">
        <f>IF(ISNUMBER($X363),INDEX(Comenzi!$I:$I,$X363),"")</f>
        <v/>
      </c>
      <c r="AC363" s="44" t="str">
        <f>IF(ISNUMBER($X363),IF(INDEX(Comenzi!$V:$V,$X363)="",Comenzi!$D$3,INDEX(Comenzi!$V:$V,$X363)),"")</f>
        <v/>
      </c>
      <c r="AD363" s="44" t="str">
        <f>IF(ISNUMBER($X363),IF(INDEX(Comenzi!$U:$U,$X363)="",Comenzi!$D$4,INDEX(Comenzi!$U:$U,$X363)),"")</f>
        <v/>
      </c>
      <c r="AE363" s="45" t="str">
        <f>IF($Y363&lt;&gt;1,"",IF(INDEX(Comenzi!$AM:$AM,$X363)="Greutate",INDEX('PI Furnizor'!$O:$O,ROW()-3),IF(INDEX(Comenzi!$AM:$AM,$X363)="Volum (CBM)",INDEX('PI Furnizor'!$Q:$Q,ROW()-3),IF(INDEX(Comenzi!$AM:$AM,$X363)="Valoare marfa",INDEX('PI Furnizor'!$N:$N,ROW()-3),$E363))))</f>
        <v/>
      </c>
    </row>
    <row r="364" spans="1:31" x14ac:dyDescent="0.3">
      <c r="A364" s="28" t="str">
        <f>IF(COUNTA(INDEX('PI Furnizor'!$A:$E,ROW()-3,0))=0,"",IF(INDEX('PI Furnizor'!$A:$A,ROW()-3)="","?",INDEX('PI Furnizor'!$A:$A,ROW()-3)))</f>
        <v/>
      </c>
      <c r="B364" s="29" t="str">
        <f>IF(ISNUMBER($X364),INDEX(Comenzi!$B:$B,$X364),"")</f>
        <v/>
      </c>
      <c r="C364" s="28" t="str">
        <f>IF($A364="","",INDEX('PI Furnizor'!$B:$B,ROW()-3)&amp;"")</f>
        <v/>
      </c>
      <c r="D364" s="28" t="str">
        <f>IF($A364="","",INDEX('PI Furnizor'!$C:$C,ROW()-3)&amp;"")</f>
        <v/>
      </c>
      <c r="E364" s="30" t="str">
        <f>IF($A364="","",N(INDEX('PI Furnizor'!$D:$D,ROW()-3)))</f>
        <v/>
      </c>
      <c r="F364" s="31" t="str">
        <f>IF(ISNUMBER($X364),INDEX(Comenzi!$G:$G,$X364),"")</f>
        <v/>
      </c>
      <c r="G364" s="32" t="str">
        <f>IF($A364="","",N(INDEX('PI Furnizor'!$E:$E,ROW()-3)))</f>
        <v/>
      </c>
      <c r="H364" s="33" t="str">
        <f t="shared" si="65"/>
        <v/>
      </c>
      <c r="I364" s="34" t="str">
        <f>IF($Y364&lt;&gt;1,"",IFERROR($AE364/INDEX(Comenzi!$AN:$AN,$X364),0))</f>
        <v/>
      </c>
      <c r="J364" s="33" t="str">
        <f>IF($Y364&lt;&gt;1,"",INDEX(Comenzi!$AG:$AG,$X364)*$I364/$E364)</f>
        <v/>
      </c>
      <c r="K364" s="33" t="str">
        <f t="shared" si="66"/>
        <v/>
      </c>
      <c r="L364" s="33" t="str">
        <f>IF($Y364&lt;&gt;1,"",$K364*$AD364+INDEX(Comenzi!$AJ:$AJ,$X364)*$I364/$E364)</f>
        <v/>
      </c>
      <c r="M364" s="33" t="str">
        <f t="shared" si="67"/>
        <v/>
      </c>
      <c r="N364" s="33" t="str">
        <f t="shared" si="68"/>
        <v/>
      </c>
      <c r="O364" s="33" t="str">
        <f>IF($Y364&lt;&gt;1,"",(INDEX(Comenzi!$AK:$AK,$X364)+N(INDEX(Comenzi!$T:$T,$X364)))*$I364/$E364)</f>
        <v/>
      </c>
      <c r="P364" s="35" t="str">
        <f t="shared" si="69"/>
        <v/>
      </c>
      <c r="Q364" s="36" t="str">
        <f t="shared" si="70"/>
        <v/>
      </c>
      <c r="R364" s="37" t="str">
        <f t="shared" si="71"/>
        <v/>
      </c>
      <c r="S364" s="38" t="str">
        <f t="shared" si="72"/>
        <v/>
      </c>
      <c r="T364" s="39" t="str">
        <f t="shared" si="73"/>
        <v/>
      </c>
      <c r="U364" s="40" t="str">
        <f t="shared" si="74"/>
        <v/>
      </c>
      <c r="V364" s="33" t="str">
        <f t="shared" si="75"/>
        <v/>
      </c>
      <c r="W364" s="33" t="str">
        <f t="shared" si="76"/>
        <v/>
      </c>
      <c r="X364" s="41" t="str">
        <f>IF($A364="","",IFERROR(MATCH($A364,Comenzi!$A$9:$A$108,0)+8,""))</f>
        <v/>
      </c>
      <c r="Y364" s="41" t="str">
        <f t="shared" si="77"/>
        <v/>
      </c>
      <c r="Z364" s="42" t="str">
        <f>IF($A364="","",IF($A364="?","Lipseste ID-ul comenzii (col. A din PI Furnizor)",IF(NOT(ISNUMBER($X364)),"ID comanda negasit in foaia Comenzi",IF(N($E364)&lt;=0,"Lipseste cantitatea",IF(N($G364)=0,"Pret unitar lipsa",IF($Y364&lt;&gt;1,"Curs sau moneda marfa lipsa (foaia Comenzi)",IF(INDEX(Comenzi!$AT:$AT,$X364)&lt;&gt;"OK","Avertisment comanda: "&amp;INDEX(Comenzi!$AT:$AT,$X364),"OK")))))))</f>
        <v/>
      </c>
      <c r="AA364" s="43" t="str">
        <f>IF(ISNUMBER($X364),INDEX(Comenzi!$H:$H,$X364),"")</f>
        <v/>
      </c>
      <c r="AB364" s="43" t="str">
        <f>IF(ISNUMBER($X364),INDEX(Comenzi!$I:$I,$X364),"")</f>
        <v/>
      </c>
      <c r="AC364" s="44" t="str">
        <f>IF(ISNUMBER($X364),IF(INDEX(Comenzi!$V:$V,$X364)="",Comenzi!$D$3,INDEX(Comenzi!$V:$V,$X364)),"")</f>
        <v/>
      </c>
      <c r="AD364" s="44" t="str">
        <f>IF(ISNUMBER($X364),IF(INDEX(Comenzi!$U:$U,$X364)="",Comenzi!$D$4,INDEX(Comenzi!$U:$U,$X364)),"")</f>
        <v/>
      </c>
      <c r="AE364" s="45" t="str">
        <f>IF($Y364&lt;&gt;1,"",IF(INDEX(Comenzi!$AM:$AM,$X364)="Greutate",INDEX('PI Furnizor'!$O:$O,ROW()-3),IF(INDEX(Comenzi!$AM:$AM,$X364)="Volum (CBM)",INDEX('PI Furnizor'!$Q:$Q,ROW()-3),IF(INDEX(Comenzi!$AM:$AM,$X364)="Valoare marfa",INDEX('PI Furnizor'!$N:$N,ROW()-3),$E364))))</f>
        <v/>
      </c>
    </row>
    <row r="365" spans="1:31" x14ac:dyDescent="0.3">
      <c r="A365" s="28" t="str">
        <f>IF(COUNTA(INDEX('PI Furnizor'!$A:$E,ROW()-3,0))=0,"",IF(INDEX('PI Furnizor'!$A:$A,ROW()-3)="","?",INDEX('PI Furnizor'!$A:$A,ROW()-3)))</f>
        <v/>
      </c>
      <c r="B365" s="29" t="str">
        <f>IF(ISNUMBER($X365),INDEX(Comenzi!$B:$B,$X365),"")</f>
        <v/>
      </c>
      <c r="C365" s="28" t="str">
        <f>IF($A365="","",INDEX('PI Furnizor'!$B:$B,ROW()-3)&amp;"")</f>
        <v/>
      </c>
      <c r="D365" s="28" t="str">
        <f>IF($A365="","",INDEX('PI Furnizor'!$C:$C,ROW()-3)&amp;"")</f>
        <v/>
      </c>
      <c r="E365" s="30" t="str">
        <f>IF($A365="","",N(INDEX('PI Furnizor'!$D:$D,ROW()-3)))</f>
        <v/>
      </c>
      <c r="F365" s="31" t="str">
        <f>IF(ISNUMBER($X365),INDEX(Comenzi!$G:$G,$X365),"")</f>
        <v/>
      </c>
      <c r="G365" s="32" t="str">
        <f>IF($A365="","",N(INDEX('PI Furnizor'!$E:$E,ROW()-3)))</f>
        <v/>
      </c>
      <c r="H365" s="33" t="str">
        <f t="shared" si="65"/>
        <v/>
      </c>
      <c r="I365" s="34" t="str">
        <f>IF($Y365&lt;&gt;1,"",IFERROR($AE365/INDEX(Comenzi!$AN:$AN,$X365),0))</f>
        <v/>
      </c>
      <c r="J365" s="33" t="str">
        <f>IF($Y365&lt;&gt;1,"",INDEX(Comenzi!$AG:$AG,$X365)*$I365/$E365)</f>
        <v/>
      </c>
      <c r="K365" s="33" t="str">
        <f t="shared" si="66"/>
        <v/>
      </c>
      <c r="L365" s="33" t="str">
        <f>IF($Y365&lt;&gt;1,"",$K365*$AD365+INDEX(Comenzi!$AJ:$AJ,$X365)*$I365/$E365)</f>
        <v/>
      </c>
      <c r="M365" s="33" t="str">
        <f t="shared" si="67"/>
        <v/>
      </c>
      <c r="N365" s="33" t="str">
        <f t="shared" si="68"/>
        <v/>
      </c>
      <c r="O365" s="33" t="str">
        <f>IF($Y365&lt;&gt;1,"",(INDEX(Comenzi!$AK:$AK,$X365)+N(INDEX(Comenzi!$T:$T,$X365)))*$I365/$E365)</f>
        <v/>
      </c>
      <c r="P365" s="35" t="str">
        <f t="shared" si="69"/>
        <v/>
      </c>
      <c r="Q365" s="36" t="str">
        <f t="shared" si="70"/>
        <v/>
      </c>
      <c r="R365" s="37" t="str">
        <f t="shared" si="71"/>
        <v/>
      </c>
      <c r="S365" s="38" t="str">
        <f t="shared" si="72"/>
        <v/>
      </c>
      <c r="T365" s="39" t="str">
        <f t="shared" si="73"/>
        <v/>
      </c>
      <c r="U365" s="40" t="str">
        <f t="shared" si="74"/>
        <v/>
      </c>
      <c r="V365" s="33" t="str">
        <f t="shared" si="75"/>
        <v/>
      </c>
      <c r="W365" s="33" t="str">
        <f t="shared" si="76"/>
        <v/>
      </c>
      <c r="X365" s="41" t="str">
        <f>IF($A365="","",IFERROR(MATCH($A365,Comenzi!$A$9:$A$108,0)+8,""))</f>
        <v/>
      </c>
      <c r="Y365" s="41" t="str">
        <f t="shared" si="77"/>
        <v/>
      </c>
      <c r="Z365" s="42" t="str">
        <f>IF($A365="","",IF($A365="?","Lipseste ID-ul comenzii (col. A din PI Furnizor)",IF(NOT(ISNUMBER($X365)),"ID comanda negasit in foaia Comenzi",IF(N($E365)&lt;=0,"Lipseste cantitatea",IF(N($G365)=0,"Pret unitar lipsa",IF($Y365&lt;&gt;1,"Curs sau moneda marfa lipsa (foaia Comenzi)",IF(INDEX(Comenzi!$AT:$AT,$X365)&lt;&gt;"OK","Avertisment comanda: "&amp;INDEX(Comenzi!$AT:$AT,$X365),"OK")))))))</f>
        <v/>
      </c>
      <c r="AA365" s="43" t="str">
        <f>IF(ISNUMBER($X365),INDEX(Comenzi!$H:$H,$X365),"")</f>
        <v/>
      </c>
      <c r="AB365" s="43" t="str">
        <f>IF(ISNUMBER($X365),INDEX(Comenzi!$I:$I,$X365),"")</f>
        <v/>
      </c>
      <c r="AC365" s="44" t="str">
        <f>IF(ISNUMBER($X365),IF(INDEX(Comenzi!$V:$V,$X365)="",Comenzi!$D$3,INDEX(Comenzi!$V:$V,$X365)),"")</f>
        <v/>
      </c>
      <c r="AD365" s="44" t="str">
        <f>IF(ISNUMBER($X365),IF(INDEX(Comenzi!$U:$U,$X365)="",Comenzi!$D$4,INDEX(Comenzi!$U:$U,$X365)),"")</f>
        <v/>
      </c>
      <c r="AE365" s="45" t="str">
        <f>IF($Y365&lt;&gt;1,"",IF(INDEX(Comenzi!$AM:$AM,$X365)="Greutate",INDEX('PI Furnizor'!$O:$O,ROW()-3),IF(INDEX(Comenzi!$AM:$AM,$X365)="Volum (CBM)",INDEX('PI Furnizor'!$Q:$Q,ROW()-3),IF(INDEX(Comenzi!$AM:$AM,$X365)="Valoare marfa",INDEX('PI Furnizor'!$N:$N,ROW()-3),$E365))))</f>
        <v/>
      </c>
    </row>
    <row r="366" spans="1:31" x14ac:dyDescent="0.3">
      <c r="A366" s="28" t="str">
        <f>IF(COUNTA(INDEX('PI Furnizor'!$A:$E,ROW()-3,0))=0,"",IF(INDEX('PI Furnizor'!$A:$A,ROW()-3)="","?",INDEX('PI Furnizor'!$A:$A,ROW()-3)))</f>
        <v/>
      </c>
      <c r="B366" s="29" t="str">
        <f>IF(ISNUMBER($X366),INDEX(Comenzi!$B:$B,$X366),"")</f>
        <v/>
      </c>
      <c r="C366" s="28" t="str">
        <f>IF($A366="","",INDEX('PI Furnizor'!$B:$B,ROW()-3)&amp;"")</f>
        <v/>
      </c>
      <c r="D366" s="28" t="str">
        <f>IF($A366="","",INDEX('PI Furnizor'!$C:$C,ROW()-3)&amp;"")</f>
        <v/>
      </c>
      <c r="E366" s="30" t="str">
        <f>IF($A366="","",N(INDEX('PI Furnizor'!$D:$D,ROW()-3)))</f>
        <v/>
      </c>
      <c r="F366" s="31" t="str">
        <f>IF(ISNUMBER($X366),INDEX(Comenzi!$G:$G,$X366),"")</f>
        <v/>
      </c>
      <c r="G366" s="32" t="str">
        <f>IF($A366="","",N(INDEX('PI Furnizor'!$E:$E,ROW()-3)))</f>
        <v/>
      </c>
      <c r="H366" s="33" t="str">
        <f t="shared" si="65"/>
        <v/>
      </c>
      <c r="I366" s="34" t="str">
        <f>IF($Y366&lt;&gt;1,"",IFERROR($AE366/INDEX(Comenzi!$AN:$AN,$X366),0))</f>
        <v/>
      </c>
      <c r="J366" s="33" t="str">
        <f>IF($Y366&lt;&gt;1,"",INDEX(Comenzi!$AG:$AG,$X366)*$I366/$E366)</f>
        <v/>
      </c>
      <c r="K366" s="33" t="str">
        <f t="shared" si="66"/>
        <v/>
      </c>
      <c r="L366" s="33" t="str">
        <f>IF($Y366&lt;&gt;1,"",$K366*$AD366+INDEX(Comenzi!$AJ:$AJ,$X366)*$I366/$E366)</f>
        <v/>
      </c>
      <c r="M366" s="33" t="str">
        <f t="shared" si="67"/>
        <v/>
      </c>
      <c r="N366" s="33" t="str">
        <f t="shared" si="68"/>
        <v/>
      </c>
      <c r="O366" s="33" t="str">
        <f>IF($Y366&lt;&gt;1,"",(INDEX(Comenzi!$AK:$AK,$X366)+N(INDEX(Comenzi!$T:$T,$X366)))*$I366/$E366)</f>
        <v/>
      </c>
      <c r="P366" s="35" t="str">
        <f t="shared" si="69"/>
        <v/>
      </c>
      <c r="Q366" s="36" t="str">
        <f t="shared" si="70"/>
        <v/>
      </c>
      <c r="R366" s="37" t="str">
        <f t="shared" si="71"/>
        <v/>
      </c>
      <c r="S366" s="38" t="str">
        <f t="shared" si="72"/>
        <v/>
      </c>
      <c r="T366" s="39" t="str">
        <f t="shared" si="73"/>
        <v/>
      </c>
      <c r="U366" s="40" t="str">
        <f t="shared" si="74"/>
        <v/>
      </c>
      <c r="V366" s="33" t="str">
        <f t="shared" si="75"/>
        <v/>
      </c>
      <c r="W366" s="33" t="str">
        <f t="shared" si="76"/>
        <v/>
      </c>
      <c r="X366" s="41" t="str">
        <f>IF($A366="","",IFERROR(MATCH($A366,Comenzi!$A$9:$A$108,0)+8,""))</f>
        <v/>
      </c>
      <c r="Y366" s="41" t="str">
        <f t="shared" si="77"/>
        <v/>
      </c>
      <c r="Z366" s="42" t="str">
        <f>IF($A366="","",IF($A366="?","Lipseste ID-ul comenzii (col. A din PI Furnizor)",IF(NOT(ISNUMBER($X366)),"ID comanda negasit in foaia Comenzi",IF(N($E366)&lt;=0,"Lipseste cantitatea",IF(N($G366)=0,"Pret unitar lipsa",IF($Y366&lt;&gt;1,"Curs sau moneda marfa lipsa (foaia Comenzi)",IF(INDEX(Comenzi!$AT:$AT,$X366)&lt;&gt;"OK","Avertisment comanda: "&amp;INDEX(Comenzi!$AT:$AT,$X366),"OK")))))))</f>
        <v/>
      </c>
      <c r="AA366" s="43" t="str">
        <f>IF(ISNUMBER($X366),INDEX(Comenzi!$H:$H,$X366),"")</f>
        <v/>
      </c>
      <c r="AB366" s="43" t="str">
        <f>IF(ISNUMBER($X366),INDEX(Comenzi!$I:$I,$X366),"")</f>
        <v/>
      </c>
      <c r="AC366" s="44" t="str">
        <f>IF(ISNUMBER($X366),IF(INDEX(Comenzi!$V:$V,$X366)="",Comenzi!$D$3,INDEX(Comenzi!$V:$V,$X366)),"")</f>
        <v/>
      </c>
      <c r="AD366" s="44" t="str">
        <f>IF(ISNUMBER($X366),IF(INDEX(Comenzi!$U:$U,$X366)="",Comenzi!$D$4,INDEX(Comenzi!$U:$U,$X366)),"")</f>
        <v/>
      </c>
      <c r="AE366" s="45" t="str">
        <f>IF($Y366&lt;&gt;1,"",IF(INDEX(Comenzi!$AM:$AM,$X366)="Greutate",INDEX('PI Furnizor'!$O:$O,ROW()-3),IF(INDEX(Comenzi!$AM:$AM,$X366)="Volum (CBM)",INDEX('PI Furnizor'!$Q:$Q,ROW()-3),IF(INDEX(Comenzi!$AM:$AM,$X366)="Valoare marfa",INDEX('PI Furnizor'!$N:$N,ROW()-3),$E366))))</f>
        <v/>
      </c>
    </row>
    <row r="367" spans="1:31" x14ac:dyDescent="0.3">
      <c r="A367" s="28" t="str">
        <f>IF(COUNTA(INDEX('PI Furnizor'!$A:$E,ROW()-3,0))=0,"",IF(INDEX('PI Furnizor'!$A:$A,ROW()-3)="","?",INDEX('PI Furnizor'!$A:$A,ROW()-3)))</f>
        <v/>
      </c>
      <c r="B367" s="29" t="str">
        <f>IF(ISNUMBER($X367),INDEX(Comenzi!$B:$B,$X367),"")</f>
        <v/>
      </c>
      <c r="C367" s="28" t="str">
        <f>IF($A367="","",INDEX('PI Furnizor'!$B:$B,ROW()-3)&amp;"")</f>
        <v/>
      </c>
      <c r="D367" s="28" t="str">
        <f>IF($A367="","",INDEX('PI Furnizor'!$C:$C,ROW()-3)&amp;"")</f>
        <v/>
      </c>
      <c r="E367" s="30" t="str">
        <f>IF($A367="","",N(INDEX('PI Furnizor'!$D:$D,ROW()-3)))</f>
        <v/>
      </c>
      <c r="F367" s="31" t="str">
        <f>IF(ISNUMBER($X367),INDEX(Comenzi!$G:$G,$X367),"")</f>
        <v/>
      </c>
      <c r="G367" s="32" t="str">
        <f>IF($A367="","",N(INDEX('PI Furnizor'!$E:$E,ROW()-3)))</f>
        <v/>
      </c>
      <c r="H367" s="33" t="str">
        <f t="shared" si="65"/>
        <v/>
      </c>
      <c r="I367" s="34" t="str">
        <f>IF($Y367&lt;&gt;1,"",IFERROR($AE367/INDEX(Comenzi!$AN:$AN,$X367),0))</f>
        <v/>
      </c>
      <c r="J367" s="33" t="str">
        <f>IF($Y367&lt;&gt;1,"",INDEX(Comenzi!$AG:$AG,$X367)*$I367/$E367)</f>
        <v/>
      </c>
      <c r="K367" s="33" t="str">
        <f t="shared" si="66"/>
        <v/>
      </c>
      <c r="L367" s="33" t="str">
        <f>IF($Y367&lt;&gt;1,"",$K367*$AD367+INDEX(Comenzi!$AJ:$AJ,$X367)*$I367/$E367)</f>
        <v/>
      </c>
      <c r="M367" s="33" t="str">
        <f t="shared" si="67"/>
        <v/>
      </c>
      <c r="N367" s="33" t="str">
        <f t="shared" si="68"/>
        <v/>
      </c>
      <c r="O367" s="33" t="str">
        <f>IF($Y367&lt;&gt;1,"",(INDEX(Comenzi!$AK:$AK,$X367)+N(INDEX(Comenzi!$T:$T,$X367)))*$I367/$E367)</f>
        <v/>
      </c>
      <c r="P367" s="35" t="str">
        <f t="shared" si="69"/>
        <v/>
      </c>
      <c r="Q367" s="36" t="str">
        <f t="shared" si="70"/>
        <v/>
      </c>
      <c r="R367" s="37" t="str">
        <f t="shared" si="71"/>
        <v/>
      </c>
      <c r="S367" s="38" t="str">
        <f t="shared" si="72"/>
        <v/>
      </c>
      <c r="T367" s="39" t="str">
        <f t="shared" si="73"/>
        <v/>
      </c>
      <c r="U367" s="40" t="str">
        <f t="shared" si="74"/>
        <v/>
      </c>
      <c r="V367" s="33" t="str">
        <f t="shared" si="75"/>
        <v/>
      </c>
      <c r="W367" s="33" t="str">
        <f t="shared" si="76"/>
        <v/>
      </c>
      <c r="X367" s="41" t="str">
        <f>IF($A367="","",IFERROR(MATCH($A367,Comenzi!$A$9:$A$108,0)+8,""))</f>
        <v/>
      </c>
      <c r="Y367" s="41" t="str">
        <f t="shared" si="77"/>
        <v/>
      </c>
      <c r="Z367" s="42" t="str">
        <f>IF($A367="","",IF($A367="?","Lipseste ID-ul comenzii (col. A din PI Furnizor)",IF(NOT(ISNUMBER($X367)),"ID comanda negasit in foaia Comenzi",IF(N($E367)&lt;=0,"Lipseste cantitatea",IF(N($G367)=0,"Pret unitar lipsa",IF($Y367&lt;&gt;1,"Curs sau moneda marfa lipsa (foaia Comenzi)",IF(INDEX(Comenzi!$AT:$AT,$X367)&lt;&gt;"OK","Avertisment comanda: "&amp;INDEX(Comenzi!$AT:$AT,$X367),"OK")))))))</f>
        <v/>
      </c>
      <c r="AA367" s="43" t="str">
        <f>IF(ISNUMBER($X367),INDEX(Comenzi!$H:$H,$X367),"")</f>
        <v/>
      </c>
      <c r="AB367" s="43" t="str">
        <f>IF(ISNUMBER($X367),INDEX(Comenzi!$I:$I,$X367),"")</f>
        <v/>
      </c>
      <c r="AC367" s="44" t="str">
        <f>IF(ISNUMBER($X367),IF(INDEX(Comenzi!$V:$V,$X367)="",Comenzi!$D$3,INDEX(Comenzi!$V:$V,$X367)),"")</f>
        <v/>
      </c>
      <c r="AD367" s="44" t="str">
        <f>IF(ISNUMBER($X367),IF(INDEX(Comenzi!$U:$U,$X367)="",Comenzi!$D$4,INDEX(Comenzi!$U:$U,$X367)),"")</f>
        <v/>
      </c>
      <c r="AE367" s="45" t="str">
        <f>IF($Y367&lt;&gt;1,"",IF(INDEX(Comenzi!$AM:$AM,$X367)="Greutate",INDEX('PI Furnizor'!$O:$O,ROW()-3),IF(INDEX(Comenzi!$AM:$AM,$X367)="Volum (CBM)",INDEX('PI Furnizor'!$Q:$Q,ROW()-3),IF(INDEX(Comenzi!$AM:$AM,$X367)="Valoare marfa",INDEX('PI Furnizor'!$N:$N,ROW()-3),$E367))))</f>
        <v/>
      </c>
    </row>
    <row r="368" spans="1:31" x14ac:dyDescent="0.3">
      <c r="A368" s="28" t="str">
        <f>IF(COUNTA(INDEX('PI Furnizor'!$A:$E,ROW()-3,0))=0,"",IF(INDEX('PI Furnizor'!$A:$A,ROW()-3)="","?",INDEX('PI Furnizor'!$A:$A,ROW()-3)))</f>
        <v/>
      </c>
      <c r="B368" s="29" t="str">
        <f>IF(ISNUMBER($X368),INDEX(Comenzi!$B:$B,$X368),"")</f>
        <v/>
      </c>
      <c r="C368" s="28" t="str">
        <f>IF($A368="","",INDEX('PI Furnizor'!$B:$B,ROW()-3)&amp;"")</f>
        <v/>
      </c>
      <c r="D368" s="28" t="str">
        <f>IF($A368="","",INDEX('PI Furnizor'!$C:$C,ROW()-3)&amp;"")</f>
        <v/>
      </c>
      <c r="E368" s="30" t="str">
        <f>IF($A368="","",N(INDEX('PI Furnizor'!$D:$D,ROW()-3)))</f>
        <v/>
      </c>
      <c r="F368" s="31" t="str">
        <f>IF(ISNUMBER($X368),INDEX(Comenzi!$G:$G,$X368),"")</f>
        <v/>
      </c>
      <c r="G368" s="32" t="str">
        <f>IF($A368="","",N(INDEX('PI Furnizor'!$E:$E,ROW()-3)))</f>
        <v/>
      </c>
      <c r="H368" s="33" t="str">
        <f t="shared" si="65"/>
        <v/>
      </c>
      <c r="I368" s="34" t="str">
        <f>IF($Y368&lt;&gt;1,"",IFERROR($AE368/INDEX(Comenzi!$AN:$AN,$X368),0))</f>
        <v/>
      </c>
      <c r="J368" s="33" t="str">
        <f>IF($Y368&lt;&gt;1,"",INDEX(Comenzi!$AG:$AG,$X368)*$I368/$E368)</f>
        <v/>
      </c>
      <c r="K368" s="33" t="str">
        <f t="shared" si="66"/>
        <v/>
      </c>
      <c r="L368" s="33" t="str">
        <f>IF($Y368&lt;&gt;1,"",$K368*$AD368+INDEX(Comenzi!$AJ:$AJ,$X368)*$I368/$E368)</f>
        <v/>
      </c>
      <c r="M368" s="33" t="str">
        <f t="shared" si="67"/>
        <v/>
      </c>
      <c r="N368" s="33" t="str">
        <f t="shared" si="68"/>
        <v/>
      </c>
      <c r="O368" s="33" t="str">
        <f>IF($Y368&lt;&gt;1,"",(INDEX(Comenzi!$AK:$AK,$X368)+N(INDEX(Comenzi!$T:$T,$X368)))*$I368/$E368)</f>
        <v/>
      </c>
      <c r="P368" s="35" t="str">
        <f t="shared" si="69"/>
        <v/>
      </c>
      <c r="Q368" s="36" t="str">
        <f t="shared" si="70"/>
        <v/>
      </c>
      <c r="R368" s="37" t="str">
        <f t="shared" si="71"/>
        <v/>
      </c>
      <c r="S368" s="38" t="str">
        <f t="shared" si="72"/>
        <v/>
      </c>
      <c r="T368" s="39" t="str">
        <f t="shared" si="73"/>
        <v/>
      </c>
      <c r="U368" s="40" t="str">
        <f t="shared" si="74"/>
        <v/>
      </c>
      <c r="V368" s="33" t="str">
        <f t="shared" si="75"/>
        <v/>
      </c>
      <c r="W368" s="33" t="str">
        <f t="shared" si="76"/>
        <v/>
      </c>
      <c r="X368" s="41" t="str">
        <f>IF($A368="","",IFERROR(MATCH($A368,Comenzi!$A$9:$A$108,0)+8,""))</f>
        <v/>
      </c>
      <c r="Y368" s="41" t="str">
        <f t="shared" si="77"/>
        <v/>
      </c>
      <c r="Z368" s="42" t="str">
        <f>IF($A368="","",IF($A368="?","Lipseste ID-ul comenzii (col. A din PI Furnizor)",IF(NOT(ISNUMBER($X368)),"ID comanda negasit in foaia Comenzi",IF(N($E368)&lt;=0,"Lipseste cantitatea",IF(N($G368)=0,"Pret unitar lipsa",IF($Y368&lt;&gt;1,"Curs sau moneda marfa lipsa (foaia Comenzi)",IF(INDEX(Comenzi!$AT:$AT,$X368)&lt;&gt;"OK","Avertisment comanda: "&amp;INDEX(Comenzi!$AT:$AT,$X368),"OK")))))))</f>
        <v/>
      </c>
      <c r="AA368" s="43" t="str">
        <f>IF(ISNUMBER($X368),INDEX(Comenzi!$H:$H,$X368),"")</f>
        <v/>
      </c>
      <c r="AB368" s="43" t="str">
        <f>IF(ISNUMBER($X368),INDEX(Comenzi!$I:$I,$X368),"")</f>
        <v/>
      </c>
      <c r="AC368" s="44" t="str">
        <f>IF(ISNUMBER($X368),IF(INDEX(Comenzi!$V:$V,$X368)="",Comenzi!$D$3,INDEX(Comenzi!$V:$V,$X368)),"")</f>
        <v/>
      </c>
      <c r="AD368" s="44" t="str">
        <f>IF(ISNUMBER($X368),IF(INDEX(Comenzi!$U:$U,$X368)="",Comenzi!$D$4,INDEX(Comenzi!$U:$U,$X368)),"")</f>
        <v/>
      </c>
      <c r="AE368" s="45" t="str">
        <f>IF($Y368&lt;&gt;1,"",IF(INDEX(Comenzi!$AM:$AM,$X368)="Greutate",INDEX('PI Furnizor'!$O:$O,ROW()-3),IF(INDEX(Comenzi!$AM:$AM,$X368)="Volum (CBM)",INDEX('PI Furnizor'!$Q:$Q,ROW()-3),IF(INDEX(Comenzi!$AM:$AM,$X368)="Valoare marfa",INDEX('PI Furnizor'!$N:$N,ROW()-3),$E368))))</f>
        <v/>
      </c>
    </row>
    <row r="369" spans="1:31" x14ac:dyDescent="0.3">
      <c r="A369" s="28" t="str">
        <f>IF(COUNTA(INDEX('PI Furnizor'!$A:$E,ROW()-3,0))=0,"",IF(INDEX('PI Furnizor'!$A:$A,ROW()-3)="","?",INDEX('PI Furnizor'!$A:$A,ROW()-3)))</f>
        <v/>
      </c>
      <c r="B369" s="29" t="str">
        <f>IF(ISNUMBER($X369),INDEX(Comenzi!$B:$B,$X369),"")</f>
        <v/>
      </c>
      <c r="C369" s="28" t="str">
        <f>IF($A369="","",INDEX('PI Furnizor'!$B:$B,ROW()-3)&amp;"")</f>
        <v/>
      </c>
      <c r="D369" s="28" t="str">
        <f>IF($A369="","",INDEX('PI Furnizor'!$C:$C,ROW()-3)&amp;"")</f>
        <v/>
      </c>
      <c r="E369" s="30" t="str">
        <f>IF($A369="","",N(INDEX('PI Furnizor'!$D:$D,ROW()-3)))</f>
        <v/>
      </c>
      <c r="F369" s="31" t="str">
        <f>IF(ISNUMBER($X369),INDEX(Comenzi!$G:$G,$X369),"")</f>
        <v/>
      </c>
      <c r="G369" s="32" t="str">
        <f>IF($A369="","",N(INDEX('PI Furnizor'!$E:$E,ROW()-3)))</f>
        <v/>
      </c>
      <c r="H369" s="33" t="str">
        <f t="shared" si="65"/>
        <v/>
      </c>
      <c r="I369" s="34" t="str">
        <f>IF($Y369&lt;&gt;1,"",IFERROR($AE369/INDEX(Comenzi!$AN:$AN,$X369),0))</f>
        <v/>
      </c>
      <c r="J369" s="33" t="str">
        <f>IF($Y369&lt;&gt;1,"",INDEX(Comenzi!$AG:$AG,$X369)*$I369/$E369)</f>
        <v/>
      </c>
      <c r="K369" s="33" t="str">
        <f t="shared" si="66"/>
        <v/>
      </c>
      <c r="L369" s="33" t="str">
        <f>IF($Y369&lt;&gt;1,"",$K369*$AD369+INDEX(Comenzi!$AJ:$AJ,$X369)*$I369/$E369)</f>
        <v/>
      </c>
      <c r="M369" s="33" t="str">
        <f t="shared" si="67"/>
        <v/>
      </c>
      <c r="N369" s="33" t="str">
        <f t="shared" si="68"/>
        <v/>
      </c>
      <c r="O369" s="33" t="str">
        <f>IF($Y369&lt;&gt;1,"",(INDEX(Comenzi!$AK:$AK,$X369)+N(INDEX(Comenzi!$T:$T,$X369)))*$I369/$E369)</f>
        <v/>
      </c>
      <c r="P369" s="35" t="str">
        <f t="shared" si="69"/>
        <v/>
      </c>
      <c r="Q369" s="36" t="str">
        <f t="shared" si="70"/>
        <v/>
      </c>
      <c r="R369" s="37" t="str">
        <f t="shared" si="71"/>
        <v/>
      </c>
      <c r="S369" s="38" t="str">
        <f t="shared" si="72"/>
        <v/>
      </c>
      <c r="T369" s="39" t="str">
        <f t="shared" si="73"/>
        <v/>
      </c>
      <c r="U369" s="40" t="str">
        <f t="shared" si="74"/>
        <v/>
      </c>
      <c r="V369" s="33" t="str">
        <f t="shared" si="75"/>
        <v/>
      </c>
      <c r="W369" s="33" t="str">
        <f t="shared" si="76"/>
        <v/>
      </c>
      <c r="X369" s="41" t="str">
        <f>IF($A369="","",IFERROR(MATCH($A369,Comenzi!$A$9:$A$108,0)+8,""))</f>
        <v/>
      </c>
      <c r="Y369" s="41" t="str">
        <f t="shared" si="77"/>
        <v/>
      </c>
      <c r="Z369" s="42" t="str">
        <f>IF($A369="","",IF($A369="?","Lipseste ID-ul comenzii (col. A din PI Furnizor)",IF(NOT(ISNUMBER($X369)),"ID comanda negasit in foaia Comenzi",IF(N($E369)&lt;=0,"Lipseste cantitatea",IF(N($G369)=0,"Pret unitar lipsa",IF($Y369&lt;&gt;1,"Curs sau moneda marfa lipsa (foaia Comenzi)",IF(INDEX(Comenzi!$AT:$AT,$X369)&lt;&gt;"OK","Avertisment comanda: "&amp;INDEX(Comenzi!$AT:$AT,$X369),"OK")))))))</f>
        <v/>
      </c>
      <c r="AA369" s="43" t="str">
        <f>IF(ISNUMBER($X369),INDEX(Comenzi!$H:$H,$X369),"")</f>
        <v/>
      </c>
      <c r="AB369" s="43" t="str">
        <f>IF(ISNUMBER($X369),INDEX(Comenzi!$I:$I,$X369),"")</f>
        <v/>
      </c>
      <c r="AC369" s="44" t="str">
        <f>IF(ISNUMBER($X369),IF(INDEX(Comenzi!$V:$V,$X369)="",Comenzi!$D$3,INDEX(Comenzi!$V:$V,$X369)),"")</f>
        <v/>
      </c>
      <c r="AD369" s="44" t="str">
        <f>IF(ISNUMBER($X369),IF(INDEX(Comenzi!$U:$U,$X369)="",Comenzi!$D$4,INDEX(Comenzi!$U:$U,$X369)),"")</f>
        <v/>
      </c>
      <c r="AE369" s="45" t="str">
        <f>IF($Y369&lt;&gt;1,"",IF(INDEX(Comenzi!$AM:$AM,$X369)="Greutate",INDEX('PI Furnizor'!$O:$O,ROW()-3),IF(INDEX(Comenzi!$AM:$AM,$X369)="Volum (CBM)",INDEX('PI Furnizor'!$Q:$Q,ROW()-3),IF(INDEX(Comenzi!$AM:$AM,$X369)="Valoare marfa",INDEX('PI Furnizor'!$N:$N,ROW()-3),$E369))))</f>
        <v/>
      </c>
    </row>
    <row r="370" spans="1:31" x14ac:dyDescent="0.3">
      <c r="A370" s="28" t="str">
        <f>IF(COUNTA(INDEX('PI Furnizor'!$A:$E,ROW()-3,0))=0,"",IF(INDEX('PI Furnizor'!$A:$A,ROW()-3)="","?",INDEX('PI Furnizor'!$A:$A,ROW()-3)))</f>
        <v/>
      </c>
      <c r="B370" s="29" t="str">
        <f>IF(ISNUMBER($X370),INDEX(Comenzi!$B:$B,$X370),"")</f>
        <v/>
      </c>
      <c r="C370" s="28" t="str">
        <f>IF($A370="","",INDEX('PI Furnizor'!$B:$B,ROW()-3)&amp;"")</f>
        <v/>
      </c>
      <c r="D370" s="28" t="str">
        <f>IF($A370="","",INDEX('PI Furnizor'!$C:$C,ROW()-3)&amp;"")</f>
        <v/>
      </c>
      <c r="E370" s="30" t="str">
        <f>IF($A370="","",N(INDEX('PI Furnizor'!$D:$D,ROW()-3)))</f>
        <v/>
      </c>
      <c r="F370" s="31" t="str">
        <f>IF(ISNUMBER($X370),INDEX(Comenzi!$G:$G,$X370),"")</f>
        <v/>
      </c>
      <c r="G370" s="32" t="str">
        <f>IF($A370="","",N(INDEX('PI Furnizor'!$E:$E,ROW()-3)))</f>
        <v/>
      </c>
      <c r="H370" s="33" t="str">
        <f t="shared" si="65"/>
        <v/>
      </c>
      <c r="I370" s="34" t="str">
        <f>IF($Y370&lt;&gt;1,"",IFERROR($AE370/INDEX(Comenzi!$AN:$AN,$X370),0))</f>
        <v/>
      </c>
      <c r="J370" s="33" t="str">
        <f>IF($Y370&lt;&gt;1,"",INDEX(Comenzi!$AG:$AG,$X370)*$I370/$E370)</f>
        <v/>
      </c>
      <c r="K370" s="33" t="str">
        <f t="shared" si="66"/>
        <v/>
      </c>
      <c r="L370" s="33" t="str">
        <f>IF($Y370&lt;&gt;1,"",$K370*$AD370+INDEX(Comenzi!$AJ:$AJ,$X370)*$I370/$E370)</f>
        <v/>
      </c>
      <c r="M370" s="33" t="str">
        <f t="shared" si="67"/>
        <v/>
      </c>
      <c r="N370" s="33" t="str">
        <f t="shared" si="68"/>
        <v/>
      </c>
      <c r="O370" s="33" t="str">
        <f>IF($Y370&lt;&gt;1,"",(INDEX(Comenzi!$AK:$AK,$X370)+N(INDEX(Comenzi!$T:$T,$X370)))*$I370/$E370)</f>
        <v/>
      </c>
      <c r="P370" s="35" t="str">
        <f t="shared" si="69"/>
        <v/>
      </c>
      <c r="Q370" s="36" t="str">
        <f t="shared" si="70"/>
        <v/>
      </c>
      <c r="R370" s="37" t="str">
        <f t="shared" si="71"/>
        <v/>
      </c>
      <c r="S370" s="38" t="str">
        <f t="shared" si="72"/>
        <v/>
      </c>
      <c r="T370" s="39" t="str">
        <f t="shared" si="73"/>
        <v/>
      </c>
      <c r="U370" s="40" t="str">
        <f t="shared" si="74"/>
        <v/>
      </c>
      <c r="V370" s="33" t="str">
        <f t="shared" si="75"/>
        <v/>
      </c>
      <c r="W370" s="33" t="str">
        <f t="shared" si="76"/>
        <v/>
      </c>
      <c r="X370" s="41" t="str">
        <f>IF($A370="","",IFERROR(MATCH($A370,Comenzi!$A$9:$A$108,0)+8,""))</f>
        <v/>
      </c>
      <c r="Y370" s="41" t="str">
        <f t="shared" si="77"/>
        <v/>
      </c>
      <c r="Z370" s="42" t="str">
        <f>IF($A370="","",IF($A370="?","Lipseste ID-ul comenzii (col. A din PI Furnizor)",IF(NOT(ISNUMBER($X370)),"ID comanda negasit in foaia Comenzi",IF(N($E370)&lt;=0,"Lipseste cantitatea",IF(N($G370)=0,"Pret unitar lipsa",IF($Y370&lt;&gt;1,"Curs sau moneda marfa lipsa (foaia Comenzi)",IF(INDEX(Comenzi!$AT:$AT,$X370)&lt;&gt;"OK","Avertisment comanda: "&amp;INDEX(Comenzi!$AT:$AT,$X370),"OK")))))))</f>
        <v/>
      </c>
      <c r="AA370" s="43" t="str">
        <f>IF(ISNUMBER($X370),INDEX(Comenzi!$H:$H,$X370),"")</f>
        <v/>
      </c>
      <c r="AB370" s="43" t="str">
        <f>IF(ISNUMBER($X370),INDEX(Comenzi!$I:$I,$X370),"")</f>
        <v/>
      </c>
      <c r="AC370" s="44" t="str">
        <f>IF(ISNUMBER($X370),IF(INDEX(Comenzi!$V:$V,$X370)="",Comenzi!$D$3,INDEX(Comenzi!$V:$V,$X370)),"")</f>
        <v/>
      </c>
      <c r="AD370" s="44" t="str">
        <f>IF(ISNUMBER($X370),IF(INDEX(Comenzi!$U:$U,$X370)="",Comenzi!$D$4,INDEX(Comenzi!$U:$U,$X370)),"")</f>
        <v/>
      </c>
      <c r="AE370" s="45" t="str">
        <f>IF($Y370&lt;&gt;1,"",IF(INDEX(Comenzi!$AM:$AM,$X370)="Greutate",INDEX('PI Furnizor'!$O:$O,ROW()-3),IF(INDEX(Comenzi!$AM:$AM,$X370)="Volum (CBM)",INDEX('PI Furnizor'!$Q:$Q,ROW()-3),IF(INDEX(Comenzi!$AM:$AM,$X370)="Valoare marfa",INDEX('PI Furnizor'!$N:$N,ROW()-3),$E370))))</f>
        <v/>
      </c>
    </row>
    <row r="371" spans="1:31" x14ac:dyDescent="0.3">
      <c r="A371" s="28" t="str">
        <f>IF(COUNTA(INDEX('PI Furnizor'!$A:$E,ROW()-3,0))=0,"",IF(INDEX('PI Furnizor'!$A:$A,ROW()-3)="","?",INDEX('PI Furnizor'!$A:$A,ROW()-3)))</f>
        <v/>
      </c>
      <c r="B371" s="29" t="str">
        <f>IF(ISNUMBER($X371),INDEX(Comenzi!$B:$B,$X371),"")</f>
        <v/>
      </c>
      <c r="C371" s="28" t="str">
        <f>IF($A371="","",INDEX('PI Furnizor'!$B:$B,ROW()-3)&amp;"")</f>
        <v/>
      </c>
      <c r="D371" s="28" t="str">
        <f>IF($A371="","",INDEX('PI Furnizor'!$C:$C,ROW()-3)&amp;"")</f>
        <v/>
      </c>
      <c r="E371" s="30" t="str">
        <f>IF($A371="","",N(INDEX('PI Furnizor'!$D:$D,ROW()-3)))</f>
        <v/>
      </c>
      <c r="F371" s="31" t="str">
        <f>IF(ISNUMBER($X371),INDEX(Comenzi!$G:$G,$X371),"")</f>
        <v/>
      </c>
      <c r="G371" s="32" t="str">
        <f>IF($A371="","",N(INDEX('PI Furnizor'!$E:$E,ROW()-3)))</f>
        <v/>
      </c>
      <c r="H371" s="33" t="str">
        <f t="shared" si="65"/>
        <v/>
      </c>
      <c r="I371" s="34" t="str">
        <f>IF($Y371&lt;&gt;1,"",IFERROR($AE371/INDEX(Comenzi!$AN:$AN,$X371),0))</f>
        <v/>
      </c>
      <c r="J371" s="33" t="str">
        <f>IF($Y371&lt;&gt;1,"",INDEX(Comenzi!$AG:$AG,$X371)*$I371/$E371)</f>
        <v/>
      </c>
      <c r="K371" s="33" t="str">
        <f t="shared" si="66"/>
        <v/>
      </c>
      <c r="L371" s="33" t="str">
        <f>IF($Y371&lt;&gt;1,"",$K371*$AD371+INDEX(Comenzi!$AJ:$AJ,$X371)*$I371/$E371)</f>
        <v/>
      </c>
      <c r="M371" s="33" t="str">
        <f t="shared" si="67"/>
        <v/>
      </c>
      <c r="N371" s="33" t="str">
        <f t="shared" si="68"/>
        <v/>
      </c>
      <c r="O371" s="33" t="str">
        <f>IF($Y371&lt;&gt;1,"",(INDEX(Comenzi!$AK:$AK,$X371)+N(INDEX(Comenzi!$T:$T,$X371)))*$I371/$E371)</f>
        <v/>
      </c>
      <c r="P371" s="35" t="str">
        <f t="shared" si="69"/>
        <v/>
      </c>
      <c r="Q371" s="36" t="str">
        <f t="shared" si="70"/>
        <v/>
      </c>
      <c r="R371" s="37" t="str">
        <f t="shared" si="71"/>
        <v/>
      </c>
      <c r="S371" s="38" t="str">
        <f t="shared" si="72"/>
        <v/>
      </c>
      <c r="T371" s="39" t="str">
        <f t="shared" si="73"/>
        <v/>
      </c>
      <c r="U371" s="40" t="str">
        <f t="shared" si="74"/>
        <v/>
      </c>
      <c r="V371" s="33" t="str">
        <f t="shared" si="75"/>
        <v/>
      </c>
      <c r="W371" s="33" t="str">
        <f t="shared" si="76"/>
        <v/>
      </c>
      <c r="X371" s="41" t="str">
        <f>IF($A371="","",IFERROR(MATCH($A371,Comenzi!$A$9:$A$108,0)+8,""))</f>
        <v/>
      </c>
      <c r="Y371" s="41" t="str">
        <f t="shared" si="77"/>
        <v/>
      </c>
      <c r="Z371" s="42" t="str">
        <f>IF($A371="","",IF($A371="?","Lipseste ID-ul comenzii (col. A din PI Furnizor)",IF(NOT(ISNUMBER($X371)),"ID comanda negasit in foaia Comenzi",IF(N($E371)&lt;=0,"Lipseste cantitatea",IF(N($G371)=0,"Pret unitar lipsa",IF($Y371&lt;&gt;1,"Curs sau moneda marfa lipsa (foaia Comenzi)",IF(INDEX(Comenzi!$AT:$AT,$X371)&lt;&gt;"OK","Avertisment comanda: "&amp;INDEX(Comenzi!$AT:$AT,$X371),"OK")))))))</f>
        <v/>
      </c>
      <c r="AA371" s="43" t="str">
        <f>IF(ISNUMBER($X371),INDEX(Comenzi!$H:$H,$X371),"")</f>
        <v/>
      </c>
      <c r="AB371" s="43" t="str">
        <f>IF(ISNUMBER($X371),INDEX(Comenzi!$I:$I,$X371),"")</f>
        <v/>
      </c>
      <c r="AC371" s="44" t="str">
        <f>IF(ISNUMBER($X371),IF(INDEX(Comenzi!$V:$V,$X371)="",Comenzi!$D$3,INDEX(Comenzi!$V:$V,$X371)),"")</f>
        <v/>
      </c>
      <c r="AD371" s="44" t="str">
        <f>IF(ISNUMBER($X371),IF(INDEX(Comenzi!$U:$U,$X371)="",Comenzi!$D$4,INDEX(Comenzi!$U:$U,$X371)),"")</f>
        <v/>
      </c>
      <c r="AE371" s="45" t="str">
        <f>IF($Y371&lt;&gt;1,"",IF(INDEX(Comenzi!$AM:$AM,$X371)="Greutate",INDEX('PI Furnizor'!$O:$O,ROW()-3),IF(INDEX(Comenzi!$AM:$AM,$X371)="Volum (CBM)",INDEX('PI Furnizor'!$Q:$Q,ROW()-3),IF(INDEX(Comenzi!$AM:$AM,$X371)="Valoare marfa",INDEX('PI Furnizor'!$N:$N,ROW()-3),$E371))))</f>
        <v/>
      </c>
    </row>
    <row r="372" spans="1:31" x14ac:dyDescent="0.3">
      <c r="A372" s="28" t="str">
        <f>IF(COUNTA(INDEX('PI Furnizor'!$A:$E,ROW()-3,0))=0,"",IF(INDEX('PI Furnizor'!$A:$A,ROW()-3)="","?",INDEX('PI Furnizor'!$A:$A,ROW()-3)))</f>
        <v/>
      </c>
      <c r="B372" s="29" t="str">
        <f>IF(ISNUMBER($X372),INDEX(Comenzi!$B:$B,$X372),"")</f>
        <v/>
      </c>
      <c r="C372" s="28" t="str">
        <f>IF($A372="","",INDEX('PI Furnizor'!$B:$B,ROW()-3)&amp;"")</f>
        <v/>
      </c>
      <c r="D372" s="28" t="str">
        <f>IF($A372="","",INDEX('PI Furnizor'!$C:$C,ROW()-3)&amp;"")</f>
        <v/>
      </c>
      <c r="E372" s="30" t="str">
        <f>IF($A372="","",N(INDEX('PI Furnizor'!$D:$D,ROW()-3)))</f>
        <v/>
      </c>
      <c r="F372" s="31" t="str">
        <f>IF(ISNUMBER($X372),INDEX(Comenzi!$G:$G,$X372),"")</f>
        <v/>
      </c>
      <c r="G372" s="32" t="str">
        <f>IF($A372="","",N(INDEX('PI Furnizor'!$E:$E,ROW()-3)))</f>
        <v/>
      </c>
      <c r="H372" s="33" t="str">
        <f t="shared" si="65"/>
        <v/>
      </c>
      <c r="I372" s="34" t="str">
        <f>IF($Y372&lt;&gt;1,"",IFERROR($AE372/INDEX(Comenzi!$AN:$AN,$X372),0))</f>
        <v/>
      </c>
      <c r="J372" s="33" t="str">
        <f>IF($Y372&lt;&gt;1,"",INDEX(Comenzi!$AG:$AG,$X372)*$I372/$E372)</f>
        <v/>
      </c>
      <c r="K372" s="33" t="str">
        <f t="shared" si="66"/>
        <v/>
      </c>
      <c r="L372" s="33" t="str">
        <f>IF($Y372&lt;&gt;1,"",$K372*$AD372+INDEX(Comenzi!$AJ:$AJ,$X372)*$I372/$E372)</f>
        <v/>
      </c>
      <c r="M372" s="33" t="str">
        <f t="shared" si="67"/>
        <v/>
      </c>
      <c r="N372" s="33" t="str">
        <f t="shared" si="68"/>
        <v/>
      </c>
      <c r="O372" s="33" t="str">
        <f>IF($Y372&lt;&gt;1,"",(INDEX(Comenzi!$AK:$AK,$X372)+N(INDEX(Comenzi!$T:$T,$X372)))*$I372/$E372)</f>
        <v/>
      </c>
      <c r="P372" s="35" t="str">
        <f t="shared" si="69"/>
        <v/>
      </c>
      <c r="Q372" s="36" t="str">
        <f t="shared" si="70"/>
        <v/>
      </c>
      <c r="R372" s="37" t="str">
        <f t="shared" si="71"/>
        <v/>
      </c>
      <c r="S372" s="38" t="str">
        <f t="shared" si="72"/>
        <v/>
      </c>
      <c r="T372" s="39" t="str">
        <f t="shared" si="73"/>
        <v/>
      </c>
      <c r="U372" s="40" t="str">
        <f t="shared" si="74"/>
        <v/>
      </c>
      <c r="V372" s="33" t="str">
        <f t="shared" si="75"/>
        <v/>
      </c>
      <c r="W372" s="33" t="str">
        <f t="shared" si="76"/>
        <v/>
      </c>
      <c r="X372" s="41" t="str">
        <f>IF($A372="","",IFERROR(MATCH($A372,Comenzi!$A$9:$A$108,0)+8,""))</f>
        <v/>
      </c>
      <c r="Y372" s="41" t="str">
        <f t="shared" si="77"/>
        <v/>
      </c>
      <c r="Z372" s="42" t="str">
        <f>IF($A372="","",IF($A372="?","Lipseste ID-ul comenzii (col. A din PI Furnizor)",IF(NOT(ISNUMBER($X372)),"ID comanda negasit in foaia Comenzi",IF(N($E372)&lt;=0,"Lipseste cantitatea",IF(N($G372)=0,"Pret unitar lipsa",IF($Y372&lt;&gt;1,"Curs sau moneda marfa lipsa (foaia Comenzi)",IF(INDEX(Comenzi!$AT:$AT,$X372)&lt;&gt;"OK","Avertisment comanda: "&amp;INDEX(Comenzi!$AT:$AT,$X372),"OK")))))))</f>
        <v/>
      </c>
      <c r="AA372" s="43" t="str">
        <f>IF(ISNUMBER($X372),INDEX(Comenzi!$H:$H,$X372),"")</f>
        <v/>
      </c>
      <c r="AB372" s="43" t="str">
        <f>IF(ISNUMBER($X372),INDEX(Comenzi!$I:$I,$X372),"")</f>
        <v/>
      </c>
      <c r="AC372" s="44" t="str">
        <f>IF(ISNUMBER($X372),IF(INDEX(Comenzi!$V:$V,$X372)="",Comenzi!$D$3,INDEX(Comenzi!$V:$V,$X372)),"")</f>
        <v/>
      </c>
      <c r="AD372" s="44" t="str">
        <f>IF(ISNUMBER($X372),IF(INDEX(Comenzi!$U:$U,$X372)="",Comenzi!$D$4,INDEX(Comenzi!$U:$U,$X372)),"")</f>
        <v/>
      </c>
      <c r="AE372" s="45" t="str">
        <f>IF($Y372&lt;&gt;1,"",IF(INDEX(Comenzi!$AM:$AM,$X372)="Greutate",INDEX('PI Furnizor'!$O:$O,ROW()-3),IF(INDEX(Comenzi!$AM:$AM,$X372)="Volum (CBM)",INDEX('PI Furnizor'!$Q:$Q,ROW()-3),IF(INDEX(Comenzi!$AM:$AM,$X372)="Valoare marfa",INDEX('PI Furnizor'!$N:$N,ROW()-3),$E372))))</f>
        <v/>
      </c>
    </row>
    <row r="373" spans="1:31" x14ac:dyDescent="0.3">
      <c r="A373" s="28" t="str">
        <f>IF(COUNTA(INDEX('PI Furnizor'!$A:$E,ROW()-3,0))=0,"",IF(INDEX('PI Furnizor'!$A:$A,ROW()-3)="","?",INDEX('PI Furnizor'!$A:$A,ROW()-3)))</f>
        <v/>
      </c>
      <c r="B373" s="29" t="str">
        <f>IF(ISNUMBER($X373),INDEX(Comenzi!$B:$B,$X373),"")</f>
        <v/>
      </c>
      <c r="C373" s="28" t="str">
        <f>IF($A373="","",INDEX('PI Furnizor'!$B:$B,ROW()-3)&amp;"")</f>
        <v/>
      </c>
      <c r="D373" s="28" t="str">
        <f>IF($A373="","",INDEX('PI Furnizor'!$C:$C,ROW()-3)&amp;"")</f>
        <v/>
      </c>
      <c r="E373" s="30" t="str">
        <f>IF($A373="","",N(INDEX('PI Furnizor'!$D:$D,ROW()-3)))</f>
        <v/>
      </c>
      <c r="F373" s="31" t="str">
        <f>IF(ISNUMBER($X373),INDEX(Comenzi!$G:$G,$X373),"")</f>
        <v/>
      </c>
      <c r="G373" s="32" t="str">
        <f>IF($A373="","",N(INDEX('PI Furnizor'!$E:$E,ROW()-3)))</f>
        <v/>
      </c>
      <c r="H373" s="33" t="str">
        <f t="shared" si="65"/>
        <v/>
      </c>
      <c r="I373" s="34" t="str">
        <f>IF($Y373&lt;&gt;1,"",IFERROR($AE373/INDEX(Comenzi!$AN:$AN,$X373),0))</f>
        <v/>
      </c>
      <c r="J373" s="33" t="str">
        <f>IF($Y373&lt;&gt;1,"",INDEX(Comenzi!$AG:$AG,$X373)*$I373/$E373)</f>
        <v/>
      </c>
      <c r="K373" s="33" t="str">
        <f t="shared" si="66"/>
        <v/>
      </c>
      <c r="L373" s="33" t="str">
        <f>IF($Y373&lt;&gt;1,"",$K373*$AD373+INDEX(Comenzi!$AJ:$AJ,$X373)*$I373/$E373)</f>
        <v/>
      </c>
      <c r="M373" s="33" t="str">
        <f t="shared" si="67"/>
        <v/>
      </c>
      <c r="N373" s="33" t="str">
        <f t="shared" si="68"/>
        <v/>
      </c>
      <c r="O373" s="33" t="str">
        <f>IF($Y373&lt;&gt;1,"",(INDEX(Comenzi!$AK:$AK,$X373)+N(INDEX(Comenzi!$T:$T,$X373)))*$I373/$E373)</f>
        <v/>
      </c>
      <c r="P373" s="35" t="str">
        <f t="shared" si="69"/>
        <v/>
      </c>
      <c r="Q373" s="36" t="str">
        <f t="shared" si="70"/>
        <v/>
      </c>
      <c r="R373" s="37" t="str">
        <f t="shared" si="71"/>
        <v/>
      </c>
      <c r="S373" s="38" t="str">
        <f t="shared" si="72"/>
        <v/>
      </c>
      <c r="T373" s="39" t="str">
        <f t="shared" si="73"/>
        <v/>
      </c>
      <c r="U373" s="40" t="str">
        <f t="shared" si="74"/>
        <v/>
      </c>
      <c r="V373" s="33" t="str">
        <f t="shared" si="75"/>
        <v/>
      </c>
      <c r="W373" s="33" t="str">
        <f t="shared" si="76"/>
        <v/>
      </c>
      <c r="X373" s="41" t="str">
        <f>IF($A373="","",IFERROR(MATCH($A373,Comenzi!$A$9:$A$108,0)+8,""))</f>
        <v/>
      </c>
      <c r="Y373" s="41" t="str">
        <f t="shared" si="77"/>
        <v/>
      </c>
      <c r="Z373" s="42" t="str">
        <f>IF($A373="","",IF($A373="?","Lipseste ID-ul comenzii (col. A din PI Furnizor)",IF(NOT(ISNUMBER($X373)),"ID comanda negasit in foaia Comenzi",IF(N($E373)&lt;=0,"Lipseste cantitatea",IF(N($G373)=0,"Pret unitar lipsa",IF($Y373&lt;&gt;1,"Curs sau moneda marfa lipsa (foaia Comenzi)",IF(INDEX(Comenzi!$AT:$AT,$X373)&lt;&gt;"OK","Avertisment comanda: "&amp;INDEX(Comenzi!$AT:$AT,$X373),"OK")))))))</f>
        <v/>
      </c>
      <c r="AA373" s="43" t="str">
        <f>IF(ISNUMBER($X373),INDEX(Comenzi!$H:$H,$X373),"")</f>
        <v/>
      </c>
      <c r="AB373" s="43" t="str">
        <f>IF(ISNUMBER($X373),INDEX(Comenzi!$I:$I,$X373),"")</f>
        <v/>
      </c>
      <c r="AC373" s="44" t="str">
        <f>IF(ISNUMBER($X373),IF(INDEX(Comenzi!$V:$V,$X373)="",Comenzi!$D$3,INDEX(Comenzi!$V:$V,$X373)),"")</f>
        <v/>
      </c>
      <c r="AD373" s="44" t="str">
        <f>IF(ISNUMBER($X373),IF(INDEX(Comenzi!$U:$U,$X373)="",Comenzi!$D$4,INDEX(Comenzi!$U:$U,$X373)),"")</f>
        <v/>
      </c>
      <c r="AE373" s="45" t="str">
        <f>IF($Y373&lt;&gt;1,"",IF(INDEX(Comenzi!$AM:$AM,$X373)="Greutate",INDEX('PI Furnizor'!$O:$O,ROW()-3),IF(INDEX(Comenzi!$AM:$AM,$X373)="Volum (CBM)",INDEX('PI Furnizor'!$Q:$Q,ROW()-3),IF(INDEX(Comenzi!$AM:$AM,$X373)="Valoare marfa",INDEX('PI Furnizor'!$N:$N,ROW()-3),$E373))))</f>
        <v/>
      </c>
    </row>
    <row r="374" spans="1:31" x14ac:dyDescent="0.3">
      <c r="A374" s="28" t="str">
        <f>IF(COUNTA(INDEX('PI Furnizor'!$A:$E,ROW()-3,0))=0,"",IF(INDEX('PI Furnizor'!$A:$A,ROW()-3)="","?",INDEX('PI Furnizor'!$A:$A,ROW()-3)))</f>
        <v/>
      </c>
      <c r="B374" s="29" t="str">
        <f>IF(ISNUMBER($X374),INDEX(Comenzi!$B:$B,$X374),"")</f>
        <v/>
      </c>
      <c r="C374" s="28" t="str">
        <f>IF($A374="","",INDEX('PI Furnizor'!$B:$B,ROW()-3)&amp;"")</f>
        <v/>
      </c>
      <c r="D374" s="28" t="str">
        <f>IF($A374="","",INDEX('PI Furnizor'!$C:$C,ROW()-3)&amp;"")</f>
        <v/>
      </c>
      <c r="E374" s="30" t="str">
        <f>IF($A374="","",N(INDEX('PI Furnizor'!$D:$D,ROW()-3)))</f>
        <v/>
      </c>
      <c r="F374" s="31" t="str">
        <f>IF(ISNUMBER($X374),INDEX(Comenzi!$G:$G,$X374),"")</f>
        <v/>
      </c>
      <c r="G374" s="32" t="str">
        <f>IF($A374="","",N(INDEX('PI Furnizor'!$E:$E,ROW()-3)))</f>
        <v/>
      </c>
      <c r="H374" s="33" t="str">
        <f t="shared" si="65"/>
        <v/>
      </c>
      <c r="I374" s="34" t="str">
        <f>IF($Y374&lt;&gt;1,"",IFERROR($AE374/INDEX(Comenzi!$AN:$AN,$X374),0))</f>
        <v/>
      </c>
      <c r="J374" s="33" t="str">
        <f>IF($Y374&lt;&gt;1,"",INDEX(Comenzi!$AG:$AG,$X374)*$I374/$E374)</f>
        <v/>
      </c>
      <c r="K374" s="33" t="str">
        <f t="shared" si="66"/>
        <v/>
      </c>
      <c r="L374" s="33" t="str">
        <f>IF($Y374&lt;&gt;1,"",$K374*$AD374+INDEX(Comenzi!$AJ:$AJ,$X374)*$I374/$E374)</f>
        <v/>
      </c>
      <c r="M374" s="33" t="str">
        <f t="shared" si="67"/>
        <v/>
      </c>
      <c r="N374" s="33" t="str">
        <f t="shared" si="68"/>
        <v/>
      </c>
      <c r="O374" s="33" t="str">
        <f>IF($Y374&lt;&gt;1,"",(INDEX(Comenzi!$AK:$AK,$X374)+N(INDEX(Comenzi!$T:$T,$X374)))*$I374/$E374)</f>
        <v/>
      </c>
      <c r="P374" s="35" t="str">
        <f t="shared" si="69"/>
        <v/>
      </c>
      <c r="Q374" s="36" t="str">
        <f t="shared" si="70"/>
        <v/>
      </c>
      <c r="R374" s="37" t="str">
        <f t="shared" si="71"/>
        <v/>
      </c>
      <c r="S374" s="38" t="str">
        <f t="shared" si="72"/>
        <v/>
      </c>
      <c r="T374" s="39" t="str">
        <f t="shared" si="73"/>
        <v/>
      </c>
      <c r="U374" s="40" t="str">
        <f t="shared" si="74"/>
        <v/>
      </c>
      <c r="V374" s="33" t="str">
        <f t="shared" si="75"/>
        <v/>
      </c>
      <c r="W374" s="33" t="str">
        <f t="shared" si="76"/>
        <v/>
      </c>
      <c r="X374" s="41" t="str">
        <f>IF($A374="","",IFERROR(MATCH($A374,Comenzi!$A$9:$A$108,0)+8,""))</f>
        <v/>
      </c>
      <c r="Y374" s="41" t="str">
        <f t="shared" si="77"/>
        <v/>
      </c>
      <c r="Z374" s="42" t="str">
        <f>IF($A374="","",IF($A374="?","Lipseste ID-ul comenzii (col. A din PI Furnizor)",IF(NOT(ISNUMBER($X374)),"ID comanda negasit in foaia Comenzi",IF(N($E374)&lt;=0,"Lipseste cantitatea",IF(N($G374)=0,"Pret unitar lipsa",IF($Y374&lt;&gt;1,"Curs sau moneda marfa lipsa (foaia Comenzi)",IF(INDEX(Comenzi!$AT:$AT,$X374)&lt;&gt;"OK","Avertisment comanda: "&amp;INDEX(Comenzi!$AT:$AT,$X374),"OK")))))))</f>
        <v/>
      </c>
      <c r="AA374" s="43" t="str">
        <f>IF(ISNUMBER($X374),INDEX(Comenzi!$H:$H,$X374),"")</f>
        <v/>
      </c>
      <c r="AB374" s="43" t="str">
        <f>IF(ISNUMBER($X374),INDEX(Comenzi!$I:$I,$X374),"")</f>
        <v/>
      </c>
      <c r="AC374" s="44" t="str">
        <f>IF(ISNUMBER($X374),IF(INDEX(Comenzi!$V:$V,$X374)="",Comenzi!$D$3,INDEX(Comenzi!$V:$V,$X374)),"")</f>
        <v/>
      </c>
      <c r="AD374" s="44" t="str">
        <f>IF(ISNUMBER($X374),IF(INDEX(Comenzi!$U:$U,$X374)="",Comenzi!$D$4,INDEX(Comenzi!$U:$U,$X374)),"")</f>
        <v/>
      </c>
      <c r="AE374" s="45" t="str">
        <f>IF($Y374&lt;&gt;1,"",IF(INDEX(Comenzi!$AM:$AM,$X374)="Greutate",INDEX('PI Furnizor'!$O:$O,ROW()-3),IF(INDEX(Comenzi!$AM:$AM,$X374)="Volum (CBM)",INDEX('PI Furnizor'!$Q:$Q,ROW()-3),IF(INDEX(Comenzi!$AM:$AM,$X374)="Valoare marfa",INDEX('PI Furnizor'!$N:$N,ROW()-3),$E374))))</f>
        <v/>
      </c>
    </row>
    <row r="375" spans="1:31" x14ac:dyDescent="0.3">
      <c r="A375" s="28" t="str">
        <f>IF(COUNTA(INDEX('PI Furnizor'!$A:$E,ROW()-3,0))=0,"",IF(INDEX('PI Furnizor'!$A:$A,ROW()-3)="","?",INDEX('PI Furnizor'!$A:$A,ROW()-3)))</f>
        <v/>
      </c>
      <c r="B375" s="29" t="str">
        <f>IF(ISNUMBER($X375),INDEX(Comenzi!$B:$B,$X375),"")</f>
        <v/>
      </c>
      <c r="C375" s="28" t="str">
        <f>IF($A375="","",INDEX('PI Furnizor'!$B:$B,ROW()-3)&amp;"")</f>
        <v/>
      </c>
      <c r="D375" s="28" t="str">
        <f>IF($A375="","",INDEX('PI Furnizor'!$C:$C,ROW()-3)&amp;"")</f>
        <v/>
      </c>
      <c r="E375" s="30" t="str">
        <f>IF($A375="","",N(INDEX('PI Furnizor'!$D:$D,ROW()-3)))</f>
        <v/>
      </c>
      <c r="F375" s="31" t="str">
        <f>IF(ISNUMBER($X375),INDEX(Comenzi!$G:$G,$X375),"")</f>
        <v/>
      </c>
      <c r="G375" s="32" t="str">
        <f>IF($A375="","",N(INDEX('PI Furnizor'!$E:$E,ROW()-3)))</f>
        <v/>
      </c>
      <c r="H375" s="33" t="str">
        <f t="shared" si="65"/>
        <v/>
      </c>
      <c r="I375" s="34" t="str">
        <f>IF($Y375&lt;&gt;1,"",IFERROR($AE375/INDEX(Comenzi!$AN:$AN,$X375),0))</f>
        <v/>
      </c>
      <c r="J375" s="33" t="str">
        <f>IF($Y375&lt;&gt;1,"",INDEX(Comenzi!$AG:$AG,$X375)*$I375/$E375)</f>
        <v/>
      </c>
      <c r="K375" s="33" t="str">
        <f t="shared" si="66"/>
        <v/>
      </c>
      <c r="L375" s="33" t="str">
        <f>IF($Y375&lt;&gt;1,"",$K375*$AD375+INDEX(Comenzi!$AJ:$AJ,$X375)*$I375/$E375)</f>
        <v/>
      </c>
      <c r="M375" s="33" t="str">
        <f t="shared" si="67"/>
        <v/>
      </c>
      <c r="N375" s="33" t="str">
        <f t="shared" si="68"/>
        <v/>
      </c>
      <c r="O375" s="33" t="str">
        <f>IF($Y375&lt;&gt;1,"",(INDEX(Comenzi!$AK:$AK,$X375)+N(INDEX(Comenzi!$T:$T,$X375)))*$I375/$E375)</f>
        <v/>
      </c>
      <c r="P375" s="35" t="str">
        <f t="shared" si="69"/>
        <v/>
      </c>
      <c r="Q375" s="36" t="str">
        <f t="shared" si="70"/>
        <v/>
      </c>
      <c r="R375" s="37" t="str">
        <f t="shared" si="71"/>
        <v/>
      </c>
      <c r="S375" s="38" t="str">
        <f t="shared" si="72"/>
        <v/>
      </c>
      <c r="T375" s="39" t="str">
        <f t="shared" si="73"/>
        <v/>
      </c>
      <c r="U375" s="40" t="str">
        <f t="shared" si="74"/>
        <v/>
      </c>
      <c r="V375" s="33" t="str">
        <f t="shared" si="75"/>
        <v/>
      </c>
      <c r="W375" s="33" t="str">
        <f t="shared" si="76"/>
        <v/>
      </c>
      <c r="X375" s="41" t="str">
        <f>IF($A375="","",IFERROR(MATCH($A375,Comenzi!$A$9:$A$108,0)+8,""))</f>
        <v/>
      </c>
      <c r="Y375" s="41" t="str">
        <f t="shared" si="77"/>
        <v/>
      </c>
      <c r="Z375" s="42" t="str">
        <f>IF($A375="","",IF($A375="?","Lipseste ID-ul comenzii (col. A din PI Furnizor)",IF(NOT(ISNUMBER($X375)),"ID comanda negasit in foaia Comenzi",IF(N($E375)&lt;=0,"Lipseste cantitatea",IF(N($G375)=0,"Pret unitar lipsa",IF($Y375&lt;&gt;1,"Curs sau moneda marfa lipsa (foaia Comenzi)",IF(INDEX(Comenzi!$AT:$AT,$X375)&lt;&gt;"OK","Avertisment comanda: "&amp;INDEX(Comenzi!$AT:$AT,$X375),"OK")))))))</f>
        <v/>
      </c>
      <c r="AA375" s="43" t="str">
        <f>IF(ISNUMBER($X375),INDEX(Comenzi!$H:$H,$X375),"")</f>
        <v/>
      </c>
      <c r="AB375" s="43" t="str">
        <f>IF(ISNUMBER($X375),INDEX(Comenzi!$I:$I,$X375),"")</f>
        <v/>
      </c>
      <c r="AC375" s="44" t="str">
        <f>IF(ISNUMBER($X375),IF(INDEX(Comenzi!$V:$V,$X375)="",Comenzi!$D$3,INDEX(Comenzi!$V:$V,$X375)),"")</f>
        <v/>
      </c>
      <c r="AD375" s="44" t="str">
        <f>IF(ISNUMBER($X375),IF(INDEX(Comenzi!$U:$U,$X375)="",Comenzi!$D$4,INDEX(Comenzi!$U:$U,$X375)),"")</f>
        <v/>
      </c>
      <c r="AE375" s="45" t="str">
        <f>IF($Y375&lt;&gt;1,"",IF(INDEX(Comenzi!$AM:$AM,$X375)="Greutate",INDEX('PI Furnizor'!$O:$O,ROW()-3),IF(INDEX(Comenzi!$AM:$AM,$X375)="Volum (CBM)",INDEX('PI Furnizor'!$Q:$Q,ROW()-3),IF(INDEX(Comenzi!$AM:$AM,$X375)="Valoare marfa",INDEX('PI Furnizor'!$N:$N,ROW()-3),$E375))))</f>
        <v/>
      </c>
    </row>
    <row r="376" spans="1:31" x14ac:dyDescent="0.3">
      <c r="A376" s="28" t="str">
        <f>IF(COUNTA(INDEX('PI Furnizor'!$A:$E,ROW()-3,0))=0,"",IF(INDEX('PI Furnizor'!$A:$A,ROW()-3)="","?",INDEX('PI Furnizor'!$A:$A,ROW()-3)))</f>
        <v/>
      </c>
      <c r="B376" s="29" t="str">
        <f>IF(ISNUMBER($X376),INDEX(Comenzi!$B:$B,$X376),"")</f>
        <v/>
      </c>
      <c r="C376" s="28" t="str">
        <f>IF($A376="","",INDEX('PI Furnizor'!$B:$B,ROW()-3)&amp;"")</f>
        <v/>
      </c>
      <c r="D376" s="28" t="str">
        <f>IF($A376="","",INDEX('PI Furnizor'!$C:$C,ROW()-3)&amp;"")</f>
        <v/>
      </c>
      <c r="E376" s="30" t="str">
        <f>IF($A376="","",N(INDEX('PI Furnizor'!$D:$D,ROW()-3)))</f>
        <v/>
      </c>
      <c r="F376" s="31" t="str">
        <f>IF(ISNUMBER($X376),INDEX(Comenzi!$G:$G,$X376),"")</f>
        <v/>
      </c>
      <c r="G376" s="32" t="str">
        <f>IF($A376="","",N(INDEX('PI Furnizor'!$E:$E,ROW()-3)))</f>
        <v/>
      </c>
      <c r="H376" s="33" t="str">
        <f t="shared" si="65"/>
        <v/>
      </c>
      <c r="I376" s="34" t="str">
        <f>IF($Y376&lt;&gt;1,"",IFERROR($AE376/INDEX(Comenzi!$AN:$AN,$X376),0))</f>
        <v/>
      </c>
      <c r="J376" s="33" t="str">
        <f>IF($Y376&lt;&gt;1,"",INDEX(Comenzi!$AG:$AG,$X376)*$I376/$E376)</f>
        <v/>
      </c>
      <c r="K376" s="33" t="str">
        <f t="shared" si="66"/>
        <v/>
      </c>
      <c r="L376" s="33" t="str">
        <f>IF($Y376&lt;&gt;1,"",$K376*$AD376+INDEX(Comenzi!$AJ:$AJ,$X376)*$I376/$E376)</f>
        <v/>
      </c>
      <c r="M376" s="33" t="str">
        <f t="shared" si="67"/>
        <v/>
      </c>
      <c r="N376" s="33" t="str">
        <f t="shared" si="68"/>
        <v/>
      </c>
      <c r="O376" s="33" t="str">
        <f>IF($Y376&lt;&gt;1,"",(INDEX(Comenzi!$AK:$AK,$X376)+N(INDEX(Comenzi!$T:$T,$X376)))*$I376/$E376)</f>
        <v/>
      </c>
      <c r="P376" s="35" t="str">
        <f t="shared" si="69"/>
        <v/>
      </c>
      <c r="Q376" s="36" t="str">
        <f t="shared" si="70"/>
        <v/>
      </c>
      <c r="R376" s="37" t="str">
        <f t="shared" si="71"/>
        <v/>
      </c>
      <c r="S376" s="38" t="str">
        <f t="shared" si="72"/>
        <v/>
      </c>
      <c r="T376" s="39" t="str">
        <f t="shared" si="73"/>
        <v/>
      </c>
      <c r="U376" s="40" t="str">
        <f t="shared" si="74"/>
        <v/>
      </c>
      <c r="V376" s="33" t="str">
        <f t="shared" si="75"/>
        <v/>
      </c>
      <c r="W376" s="33" t="str">
        <f t="shared" si="76"/>
        <v/>
      </c>
      <c r="X376" s="41" t="str">
        <f>IF($A376="","",IFERROR(MATCH($A376,Comenzi!$A$9:$A$108,0)+8,""))</f>
        <v/>
      </c>
      <c r="Y376" s="41" t="str">
        <f t="shared" si="77"/>
        <v/>
      </c>
      <c r="Z376" s="42" t="str">
        <f>IF($A376="","",IF($A376="?","Lipseste ID-ul comenzii (col. A din PI Furnizor)",IF(NOT(ISNUMBER($X376)),"ID comanda negasit in foaia Comenzi",IF(N($E376)&lt;=0,"Lipseste cantitatea",IF(N($G376)=0,"Pret unitar lipsa",IF($Y376&lt;&gt;1,"Curs sau moneda marfa lipsa (foaia Comenzi)",IF(INDEX(Comenzi!$AT:$AT,$X376)&lt;&gt;"OK","Avertisment comanda: "&amp;INDEX(Comenzi!$AT:$AT,$X376),"OK")))))))</f>
        <v/>
      </c>
      <c r="AA376" s="43" t="str">
        <f>IF(ISNUMBER($X376),INDEX(Comenzi!$H:$H,$X376),"")</f>
        <v/>
      </c>
      <c r="AB376" s="43" t="str">
        <f>IF(ISNUMBER($X376),INDEX(Comenzi!$I:$I,$X376),"")</f>
        <v/>
      </c>
      <c r="AC376" s="44" t="str">
        <f>IF(ISNUMBER($X376),IF(INDEX(Comenzi!$V:$V,$X376)="",Comenzi!$D$3,INDEX(Comenzi!$V:$V,$X376)),"")</f>
        <v/>
      </c>
      <c r="AD376" s="44" t="str">
        <f>IF(ISNUMBER($X376),IF(INDEX(Comenzi!$U:$U,$X376)="",Comenzi!$D$4,INDEX(Comenzi!$U:$U,$X376)),"")</f>
        <v/>
      </c>
      <c r="AE376" s="45" t="str">
        <f>IF($Y376&lt;&gt;1,"",IF(INDEX(Comenzi!$AM:$AM,$X376)="Greutate",INDEX('PI Furnizor'!$O:$O,ROW()-3),IF(INDEX(Comenzi!$AM:$AM,$X376)="Volum (CBM)",INDEX('PI Furnizor'!$Q:$Q,ROW()-3),IF(INDEX(Comenzi!$AM:$AM,$X376)="Valoare marfa",INDEX('PI Furnizor'!$N:$N,ROW()-3),$E376))))</f>
        <v/>
      </c>
    </row>
    <row r="377" spans="1:31" x14ac:dyDescent="0.3">
      <c r="A377" s="28" t="str">
        <f>IF(COUNTA(INDEX('PI Furnizor'!$A:$E,ROW()-3,0))=0,"",IF(INDEX('PI Furnizor'!$A:$A,ROW()-3)="","?",INDEX('PI Furnizor'!$A:$A,ROW()-3)))</f>
        <v/>
      </c>
      <c r="B377" s="29" t="str">
        <f>IF(ISNUMBER($X377),INDEX(Comenzi!$B:$B,$X377),"")</f>
        <v/>
      </c>
      <c r="C377" s="28" t="str">
        <f>IF($A377="","",INDEX('PI Furnizor'!$B:$B,ROW()-3)&amp;"")</f>
        <v/>
      </c>
      <c r="D377" s="28" t="str">
        <f>IF($A377="","",INDEX('PI Furnizor'!$C:$C,ROW()-3)&amp;"")</f>
        <v/>
      </c>
      <c r="E377" s="30" t="str">
        <f>IF($A377="","",N(INDEX('PI Furnizor'!$D:$D,ROW()-3)))</f>
        <v/>
      </c>
      <c r="F377" s="31" t="str">
        <f>IF(ISNUMBER($X377),INDEX(Comenzi!$G:$G,$X377),"")</f>
        <v/>
      </c>
      <c r="G377" s="32" t="str">
        <f>IF($A377="","",N(INDEX('PI Furnizor'!$E:$E,ROW()-3)))</f>
        <v/>
      </c>
      <c r="H377" s="33" t="str">
        <f t="shared" si="65"/>
        <v/>
      </c>
      <c r="I377" s="34" t="str">
        <f>IF($Y377&lt;&gt;1,"",IFERROR($AE377/INDEX(Comenzi!$AN:$AN,$X377),0))</f>
        <v/>
      </c>
      <c r="J377" s="33" t="str">
        <f>IF($Y377&lt;&gt;1,"",INDEX(Comenzi!$AG:$AG,$X377)*$I377/$E377)</f>
        <v/>
      </c>
      <c r="K377" s="33" t="str">
        <f t="shared" si="66"/>
        <v/>
      </c>
      <c r="L377" s="33" t="str">
        <f>IF($Y377&lt;&gt;1,"",$K377*$AD377+INDEX(Comenzi!$AJ:$AJ,$X377)*$I377/$E377)</f>
        <v/>
      </c>
      <c r="M377" s="33" t="str">
        <f t="shared" si="67"/>
        <v/>
      </c>
      <c r="N377" s="33" t="str">
        <f t="shared" si="68"/>
        <v/>
      </c>
      <c r="O377" s="33" t="str">
        <f>IF($Y377&lt;&gt;1,"",(INDEX(Comenzi!$AK:$AK,$X377)+N(INDEX(Comenzi!$T:$T,$X377)))*$I377/$E377)</f>
        <v/>
      </c>
      <c r="P377" s="35" t="str">
        <f t="shared" si="69"/>
        <v/>
      </c>
      <c r="Q377" s="36" t="str">
        <f t="shared" si="70"/>
        <v/>
      </c>
      <c r="R377" s="37" t="str">
        <f t="shared" si="71"/>
        <v/>
      </c>
      <c r="S377" s="38" t="str">
        <f t="shared" si="72"/>
        <v/>
      </c>
      <c r="T377" s="39" t="str">
        <f t="shared" si="73"/>
        <v/>
      </c>
      <c r="U377" s="40" t="str">
        <f t="shared" si="74"/>
        <v/>
      </c>
      <c r="V377" s="33" t="str">
        <f t="shared" si="75"/>
        <v/>
      </c>
      <c r="W377" s="33" t="str">
        <f t="shared" si="76"/>
        <v/>
      </c>
      <c r="X377" s="41" t="str">
        <f>IF($A377="","",IFERROR(MATCH($A377,Comenzi!$A$9:$A$108,0)+8,""))</f>
        <v/>
      </c>
      <c r="Y377" s="41" t="str">
        <f t="shared" si="77"/>
        <v/>
      </c>
      <c r="Z377" s="42" t="str">
        <f>IF($A377="","",IF($A377="?","Lipseste ID-ul comenzii (col. A din PI Furnizor)",IF(NOT(ISNUMBER($X377)),"ID comanda negasit in foaia Comenzi",IF(N($E377)&lt;=0,"Lipseste cantitatea",IF(N($G377)=0,"Pret unitar lipsa",IF($Y377&lt;&gt;1,"Curs sau moneda marfa lipsa (foaia Comenzi)",IF(INDEX(Comenzi!$AT:$AT,$X377)&lt;&gt;"OK","Avertisment comanda: "&amp;INDEX(Comenzi!$AT:$AT,$X377),"OK")))))))</f>
        <v/>
      </c>
      <c r="AA377" s="43" t="str">
        <f>IF(ISNUMBER($X377),INDEX(Comenzi!$H:$H,$X377),"")</f>
        <v/>
      </c>
      <c r="AB377" s="43" t="str">
        <f>IF(ISNUMBER($X377),INDEX(Comenzi!$I:$I,$X377),"")</f>
        <v/>
      </c>
      <c r="AC377" s="44" t="str">
        <f>IF(ISNUMBER($X377),IF(INDEX(Comenzi!$V:$V,$X377)="",Comenzi!$D$3,INDEX(Comenzi!$V:$V,$X377)),"")</f>
        <v/>
      </c>
      <c r="AD377" s="44" t="str">
        <f>IF(ISNUMBER($X377),IF(INDEX(Comenzi!$U:$U,$X377)="",Comenzi!$D$4,INDEX(Comenzi!$U:$U,$X377)),"")</f>
        <v/>
      </c>
      <c r="AE377" s="45" t="str">
        <f>IF($Y377&lt;&gt;1,"",IF(INDEX(Comenzi!$AM:$AM,$X377)="Greutate",INDEX('PI Furnizor'!$O:$O,ROW()-3),IF(INDEX(Comenzi!$AM:$AM,$X377)="Volum (CBM)",INDEX('PI Furnizor'!$Q:$Q,ROW()-3),IF(INDEX(Comenzi!$AM:$AM,$X377)="Valoare marfa",INDEX('PI Furnizor'!$N:$N,ROW()-3),$E377))))</f>
        <v/>
      </c>
    </row>
    <row r="378" spans="1:31" x14ac:dyDescent="0.3">
      <c r="A378" s="28" t="str">
        <f>IF(COUNTA(INDEX('PI Furnizor'!$A:$E,ROW()-3,0))=0,"",IF(INDEX('PI Furnizor'!$A:$A,ROW()-3)="","?",INDEX('PI Furnizor'!$A:$A,ROW()-3)))</f>
        <v/>
      </c>
      <c r="B378" s="29" t="str">
        <f>IF(ISNUMBER($X378),INDEX(Comenzi!$B:$B,$X378),"")</f>
        <v/>
      </c>
      <c r="C378" s="28" t="str">
        <f>IF($A378="","",INDEX('PI Furnizor'!$B:$B,ROW()-3)&amp;"")</f>
        <v/>
      </c>
      <c r="D378" s="28" t="str">
        <f>IF($A378="","",INDEX('PI Furnizor'!$C:$C,ROW()-3)&amp;"")</f>
        <v/>
      </c>
      <c r="E378" s="30" t="str">
        <f>IF($A378="","",N(INDEX('PI Furnizor'!$D:$D,ROW()-3)))</f>
        <v/>
      </c>
      <c r="F378" s="31" t="str">
        <f>IF(ISNUMBER($X378),INDEX(Comenzi!$G:$G,$X378),"")</f>
        <v/>
      </c>
      <c r="G378" s="32" t="str">
        <f>IF($A378="","",N(INDEX('PI Furnizor'!$E:$E,ROW()-3)))</f>
        <v/>
      </c>
      <c r="H378" s="33" t="str">
        <f t="shared" si="65"/>
        <v/>
      </c>
      <c r="I378" s="34" t="str">
        <f>IF($Y378&lt;&gt;1,"",IFERROR($AE378/INDEX(Comenzi!$AN:$AN,$X378),0))</f>
        <v/>
      </c>
      <c r="J378" s="33" t="str">
        <f>IF($Y378&lt;&gt;1,"",INDEX(Comenzi!$AG:$AG,$X378)*$I378/$E378)</f>
        <v/>
      </c>
      <c r="K378" s="33" t="str">
        <f t="shared" si="66"/>
        <v/>
      </c>
      <c r="L378" s="33" t="str">
        <f>IF($Y378&lt;&gt;1,"",$K378*$AD378+INDEX(Comenzi!$AJ:$AJ,$X378)*$I378/$E378)</f>
        <v/>
      </c>
      <c r="M378" s="33" t="str">
        <f t="shared" si="67"/>
        <v/>
      </c>
      <c r="N378" s="33" t="str">
        <f t="shared" si="68"/>
        <v/>
      </c>
      <c r="O378" s="33" t="str">
        <f>IF($Y378&lt;&gt;1,"",(INDEX(Comenzi!$AK:$AK,$X378)+N(INDEX(Comenzi!$T:$T,$X378)))*$I378/$E378)</f>
        <v/>
      </c>
      <c r="P378" s="35" t="str">
        <f t="shared" si="69"/>
        <v/>
      </c>
      <c r="Q378" s="36" t="str">
        <f t="shared" si="70"/>
        <v/>
      </c>
      <c r="R378" s="37" t="str">
        <f t="shared" si="71"/>
        <v/>
      </c>
      <c r="S378" s="38" t="str">
        <f t="shared" si="72"/>
        <v/>
      </c>
      <c r="T378" s="39" t="str">
        <f t="shared" si="73"/>
        <v/>
      </c>
      <c r="U378" s="40" t="str">
        <f t="shared" si="74"/>
        <v/>
      </c>
      <c r="V378" s="33" t="str">
        <f t="shared" si="75"/>
        <v/>
      </c>
      <c r="W378" s="33" t="str">
        <f t="shared" si="76"/>
        <v/>
      </c>
      <c r="X378" s="41" t="str">
        <f>IF($A378="","",IFERROR(MATCH($A378,Comenzi!$A$9:$A$108,0)+8,""))</f>
        <v/>
      </c>
      <c r="Y378" s="41" t="str">
        <f t="shared" si="77"/>
        <v/>
      </c>
      <c r="Z378" s="42" t="str">
        <f>IF($A378="","",IF($A378="?","Lipseste ID-ul comenzii (col. A din PI Furnizor)",IF(NOT(ISNUMBER($X378)),"ID comanda negasit in foaia Comenzi",IF(N($E378)&lt;=0,"Lipseste cantitatea",IF(N($G378)=0,"Pret unitar lipsa",IF($Y378&lt;&gt;1,"Curs sau moneda marfa lipsa (foaia Comenzi)",IF(INDEX(Comenzi!$AT:$AT,$X378)&lt;&gt;"OK","Avertisment comanda: "&amp;INDEX(Comenzi!$AT:$AT,$X378),"OK")))))))</f>
        <v/>
      </c>
      <c r="AA378" s="43" t="str">
        <f>IF(ISNUMBER($X378),INDEX(Comenzi!$H:$H,$X378),"")</f>
        <v/>
      </c>
      <c r="AB378" s="43" t="str">
        <f>IF(ISNUMBER($X378),INDEX(Comenzi!$I:$I,$X378),"")</f>
        <v/>
      </c>
      <c r="AC378" s="44" t="str">
        <f>IF(ISNUMBER($X378),IF(INDEX(Comenzi!$V:$V,$X378)="",Comenzi!$D$3,INDEX(Comenzi!$V:$V,$X378)),"")</f>
        <v/>
      </c>
      <c r="AD378" s="44" t="str">
        <f>IF(ISNUMBER($X378),IF(INDEX(Comenzi!$U:$U,$X378)="",Comenzi!$D$4,INDEX(Comenzi!$U:$U,$X378)),"")</f>
        <v/>
      </c>
      <c r="AE378" s="45" t="str">
        <f>IF($Y378&lt;&gt;1,"",IF(INDEX(Comenzi!$AM:$AM,$X378)="Greutate",INDEX('PI Furnizor'!$O:$O,ROW()-3),IF(INDEX(Comenzi!$AM:$AM,$X378)="Volum (CBM)",INDEX('PI Furnizor'!$Q:$Q,ROW()-3),IF(INDEX(Comenzi!$AM:$AM,$X378)="Valoare marfa",INDEX('PI Furnizor'!$N:$N,ROW()-3),$E378))))</f>
        <v/>
      </c>
    </row>
    <row r="379" spans="1:31" x14ac:dyDescent="0.3">
      <c r="A379" s="28" t="str">
        <f>IF(COUNTA(INDEX('PI Furnizor'!$A:$E,ROW()-3,0))=0,"",IF(INDEX('PI Furnizor'!$A:$A,ROW()-3)="","?",INDEX('PI Furnizor'!$A:$A,ROW()-3)))</f>
        <v/>
      </c>
      <c r="B379" s="29" t="str">
        <f>IF(ISNUMBER($X379),INDEX(Comenzi!$B:$B,$X379),"")</f>
        <v/>
      </c>
      <c r="C379" s="28" t="str">
        <f>IF($A379="","",INDEX('PI Furnizor'!$B:$B,ROW()-3)&amp;"")</f>
        <v/>
      </c>
      <c r="D379" s="28" t="str">
        <f>IF($A379="","",INDEX('PI Furnizor'!$C:$C,ROW()-3)&amp;"")</f>
        <v/>
      </c>
      <c r="E379" s="30" t="str">
        <f>IF($A379="","",N(INDEX('PI Furnizor'!$D:$D,ROW()-3)))</f>
        <v/>
      </c>
      <c r="F379" s="31" t="str">
        <f>IF(ISNUMBER($X379),INDEX(Comenzi!$G:$G,$X379),"")</f>
        <v/>
      </c>
      <c r="G379" s="32" t="str">
        <f>IF($A379="","",N(INDEX('PI Furnizor'!$E:$E,ROW()-3)))</f>
        <v/>
      </c>
      <c r="H379" s="33" t="str">
        <f t="shared" si="65"/>
        <v/>
      </c>
      <c r="I379" s="34" t="str">
        <f>IF($Y379&lt;&gt;1,"",IFERROR($AE379/INDEX(Comenzi!$AN:$AN,$X379),0))</f>
        <v/>
      </c>
      <c r="J379" s="33" t="str">
        <f>IF($Y379&lt;&gt;1,"",INDEX(Comenzi!$AG:$AG,$X379)*$I379/$E379)</f>
        <v/>
      </c>
      <c r="K379" s="33" t="str">
        <f t="shared" si="66"/>
        <v/>
      </c>
      <c r="L379" s="33" t="str">
        <f>IF($Y379&lt;&gt;1,"",$K379*$AD379+INDEX(Comenzi!$AJ:$AJ,$X379)*$I379/$E379)</f>
        <v/>
      </c>
      <c r="M379" s="33" t="str">
        <f t="shared" si="67"/>
        <v/>
      </c>
      <c r="N379" s="33" t="str">
        <f t="shared" si="68"/>
        <v/>
      </c>
      <c r="O379" s="33" t="str">
        <f>IF($Y379&lt;&gt;1,"",(INDEX(Comenzi!$AK:$AK,$X379)+N(INDEX(Comenzi!$T:$T,$X379)))*$I379/$E379)</f>
        <v/>
      </c>
      <c r="P379" s="35" t="str">
        <f t="shared" si="69"/>
        <v/>
      </c>
      <c r="Q379" s="36" t="str">
        <f t="shared" si="70"/>
        <v/>
      </c>
      <c r="R379" s="37" t="str">
        <f t="shared" si="71"/>
        <v/>
      </c>
      <c r="S379" s="38" t="str">
        <f t="shared" si="72"/>
        <v/>
      </c>
      <c r="T379" s="39" t="str">
        <f t="shared" si="73"/>
        <v/>
      </c>
      <c r="U379" s="40" t="str">
        <f t="shared" si="74"/>
        <v/>
      </c>
      <c r="V379" s="33" t="str">
        <f t="shared" si="75"/>
        <v/>
      </c>
      <c r="W379" s="33" t="str">
        <f t="shared" si="76"/>
        <v/>
      </c>
      <c r="X379" s="41" t="str">
        <f>IF($A379="","",IFERROR(MATCH($A379,Comenzi!$A$9:$A$108,0)+8,""))</f>
        <v/>
      </c>
      <c r="Y379" s="41" t="str">
        <f t="shared" si="77"/>
        <v/>
      </c>
      <c r="Z379" s="42" t="str">
        <f>IF($A379="","",IF($A379="?","Lipseste ID-ul comenzii (col. A din PI Furnizor)",IF(NOT(ISNUMBER($X379)),"ID comanda negasit in foaia Comenzi",IF(N($E379)&lt;=0,"Lipseste cantitatea",IF(N($G379)=0,"Pret unitar lipsa",IF($Y379&lt;&gt;1,"Curs sau moneda marfa lipsa (foaia Comenzi)",IF(INDEX(Comenzi!$AT:$AT,$X379)&lt;&gt;"OK","Avertisment comanda: "&amp;INDEX(Comenzi!$AT:$AT,$X379),"OK")))))))</f>
        <v/>
      </c>
      <c r="AA379" s="43" t="str">
        <f>IF(ISNUMBER($X379),INDEX(Comenzi!$H:$H,$X379),"")</f>
        <v/>
      </c>
      <c r="AB379" s="43" t="str">
        <f>IF(ISNUMBER($X379),INDEX(Comenzi!$I:$I,$X379),"")</f>
        <v/>
      </c>
      <c r="AC379" s="44" t="str">
        <f>IF(ISNUMBER($X379),IF(INDEX(Comenzi!$V:$V,$X379)="",Comenzi!$D$3,INDEX(Comenzi!$V:$V,$X379)),"")</f>
        <v/>
      </c>
      <c r="AD379" s="44" t="str">
        <f>IF(ISNUMBER($X379),IF(INDEX(Comenzi!$U:$U,$X379)="",Comenzi!$D$4,INDEX(Comenzi!$U:$U,$X379)),"")</f>
        <v/>
      </c>
      <c r="AE379" s="45" t="str">
        <f>IF($Y379&lt;&gt;1,"",IF(INDEX(Comenzi!$AM:$AM,$X379)="Greutate",INDEX('PI Furnizor'!$O:$O,ROW()-3),IF(INDEX(Comenzi!$AM:$AM,$X379)="Volum (CBM)",INDEX('PI Furnizor'!$Q:$Q,ROW()-3),IF(INDEX(Comenzi!$AM:$AM,$X379)="Valoare marfa",INDEX('PI Furnizor'!$N:$N,ROW()-3),$E379))))</f>
        <v/>
      </c>
    </row>
    <row r="380" spans="1:31" x14ac:dyDescent="0.3">
      <c r="A380" s="28" t="str">
        <f>IF(COUNTA(INDEX('PI Furnizor'!$A:$E,ROW()-3,0))=0,"",IF(INDEX('PI Furnizor'!$A:$A,ROW()-3)="","?",INDEX('PI Furnizor'!$A:$A,ROW()-3)))</f>
        <v/>
      </c>
      <c r="B380" s="29" t="str">
        <f>IF(ISNUMBER($X380),INDEX(Comenzi!$B:$B,$X380),"")</f>
        <v/>
      </c>
      <c r="C380" s="28" t="str">
        <f>IF($A380="","",INDEX('PI Furnizor'!$B:$B,ROW()-3)&amp;"")</f>
        <v/>
      </c>
      <c r="D380" s="28" t="str">
        <f>IF($A380="","",INDEX('PI Furnizor'!$C:$C,ROW()-3)&amp;"")</f>
        <v/>
      </c>
      <c r="E380" s="30" t="str">
        <f>IF($A380="","",N(INDEX('PI Furnizor'!$D:$D,ROW()-3)))</f>
        <v/>
      </c>
      <c r="F380" s="31" t="str">
        <f>IF(ISNUMBER($X380),INDEX(Comenzi!$G:$G,$X380),"")</f>
        <v/>
      </c>
      <c r="G380" s="32" t="str">
        <f>IF($A380="","",N(INDEX('PI Furnizor'!$E:$E,ROW()-3)))</f>
        <v/>
      </c>
      <c r="H380" s="33" t="str">
        <f t="shared" si="65"/>
        <v/>
      </c>
      <c r="I380" s="34" t="str">
        <f>IF($Y380&lt;&gt;1,"",IFERROR($AE380/INDEX(Comenzi!$AN:$AN,$X380),0))</f>
        <v/>
      </c>
      <c r="J380" s="33" t="str">
        <f>IF($Y380&lt;&gt;1,"",INDEX(Comenzi!$AG:$AG,$X380)*$I380/$E380)</f>
        <v/>
      </c>
      <c r="K380" s="33" t="str">
        <f t="shared" si="66"/>
        <v/>
      </c>
      <c r="L380" s="33" t="str">
        <f>IF($Y380&lt;&gt;1,"",$K380*$AD380+INDEX(Comenzi!$AJ:$AJ,$X380)*$I380/$E380)</f>
        <v/>
      </c>
      <c r="M380" s="33" t="str">
        <f t="shared" si="67"/>
        <v/>
      </c>
      <c r="N380" s="33" t="str">
        <f t="shared" si="68"/>
        <v/>
      </c>
      <c r="O380" s="33" t="str">
        <f>IF($Y380&lt;&gt;1,"",(INDEX(Comenzi!$AK:$AK,$X380)+N(INDEX(Comenzi!$T:$T,$X380)))*$I380/$E380)</f>
        <v/>
      </c>
      <c r="P380" s="35" t="str">
        <f t="shared" si="69"/>
        <v/>
      </c>
      <c r="Q380" s="36" t="str">
        <f t="shared" si="70"/>
        <v/>
      </c>
      <c r="R380" s="37" t="str">
        <f t="shared" si="71"/>
        <v/>
      </c>
      <c r="S380" s="38" t="str">
        <f t="shared" si="72"/>
        <v/>
      </c>
      <c r="T380" s="39" t="str">
        <f t="shared" si="73"/>
        <v/>
      </c>
      <c r="U380" s="40" t="str">
        <f t="shared" si="74"/>
        <v/>
      </c>
      <c r="V380" s="33" t="str">
        <f t="shared" si="75"/>
        <v/>
      </c>
      <c r="W380" s="33" t="str">
        <f t="shared" si="76"/>
        <v/>
      </c>
      <c r="X380" s="41" t="str">
        <f>IF($A380="","",IFERROR(MATCH($A380,Comenzi!$A$9:$A$108,0)+8,""))</f>
        <v/>
      </c>
      <c r="Y380" s="41" t="str">
        <f t="shared" si="77"/>
        <v/>
      </c>
      <c r="Z380" s="42" t="str">
        <f>IF($A380="","",IF($A380="?","Lipseste ID-ul comenzii (col. A din PI Furnizor)",IF(NOT(ISNUMBER($X380)),"ID comanda negasit in foaia Comenzi",IF(N($E380)&lt;=0,"Lipseste cantitatea",IF(N($G380)=0,"Pret unitar lipsa",IF($Y380&lt;&gt;1,"Curs sau moneda marfa lipsa (foaia Comenzi)",IF(INDEX(Comenzi!$AT:$AT,$X380)&lt;&gt;"OK","Avertisment comanda: "&amp;INDEX(Comenzi!$AT:$AT,$X380),"OK")))))))</f>
        <v/>
      </c>
      <c r="AA380" s="43" t="str">
        <f>IF(ISNUMBER($X380),INDEX(Comenzi!$H:$H,$X380),"")</f>
        <v/>
      </c>
      <c r="AB380" s="43" t="str">
        <f>IF(ISNUMBER($X380),INDEX(Comenzi!$I:$I,$X380),"")</f>
        <v/>
      </c>
      <c r="AC380" s="44" t="str">
        <f>IF(ISNUMBER($X380),IF(INDEX(Comenzi!$V:$V,$X380)="",Comenzi!$D$3,INDEX(Comenzi!$V:$V,$X380)),"")</f>
        <v/>
      </c>
      <c r="AD380" s="44" t="str">
        <f>IF(ISNUMBER($X380),IF(INDEX(Comenzi!$U:$U,$X380)="",Comenzi!$D$4,INDEX(Comenzi!$U:$U,$X380)),"")</f>
        <v/>
      </c>
      <c r="AE380" s="45" t="str">
        <f>IF($Y380&lt;&gt;1,"",IF(INDEX(Comenzi!$AM:$AM,$X380)="Greutate",INDEX('PI Furnizor'!$O:$O,ROW()-3),IF(INDEX(Comenzi!$AM:$AM,$X380)="Volum (CBM)",INDEX('PI Furnizor'!$Q:$Q,ROW()-3),IF(INDEX(Comenzi!$AM:$AM,$X380)="Valoare marfa",INDEX('PI Furnizor'!$N:$N,ROW()-3),$E380))))</f>
        <v/>
      </c>
    </row>
    <row r="381" spans="1:31" x14ac:dyDescent="0.3">
      <c r="A381" s="28" t="str">
        <f>IF(COUNTA(INDEX('PI Furnizor'!$A:$E,ROW()-3,0))=0,"",IF(INDEX('PI Furnizor'!$A:$A,ROW()-3)="","?",INDEX('PI Furnizor'!$A:$A,ROW()-3)))</f>
        <v/>
      </c>
      <c r="B381" s="29" t="str">
        <f>IF(ISNUMBER($X381),INDEX(Comenzi!$B:$B,$X381),"")</f>
        <v/>
      </c>
      <c r="C381" s="28" t="str">
        <f>IF($A381="","",INDEX('PI Furnizor'!$B:$B,ROW()-3)&amp;"")</f>
        <v/>
      </c>
      <c r="D381" s="28" t="str">
        <f>IF($A381="","",INDEX('PI Furnizor'!$C:$C,ROW()-3)&amp;"")</f>
        <v/>
      </c>
      <c r="E381" s="30" t="str">
        <f>IF($A381="","",N(INDEX('PI Furnizor'!$D:$D,ROW()-3)))</f>
        <v/>
      </c>
      <c r="F381" s="31" t="str">
        <f>IF(ISNUMBER($X381),INDEX(Comenzi!$G:$G,$X381),"")</f>
        <v/>
      </c>
      <c r="G381" s="32" t="str">
        <f>IF($A381="","",N(INDEX('PI Furnizor'!$E:$E,ROW()-3)))</f>
        <v/>
      </c>
      <c r="H381" s="33" t="str">
        <f t="shared" si="65"/>
        <v/>
      </c>
      <c r="I381" s="34" t="str">
        <f>IF($Y381&lt;&gt;1,"",IFERROR($AE381/INDEX(Comenzi!$AN:$AN,$X381),0))</f>
        <v/>
      </c>
      <c r="J381" s="33" t="str">
        <f>IF($Y381&lt;&gt;1,"",INDEX(Comenzi!$AG:$AG,$X381)*$I381/$E381)</f>
        <v/>
      </c>
      <c r="K381" s="33" t="str">
        <f t="shared" si="66"/>
        <v/>
      </c>
      <c r="L381" s="33" t="str">
        <f>IF($Y381&lt;&gt;1,"",$K381*$AD381+INDEX(Comenzi!$AJ:$AJ,$X381)*$I381/$E381)</f>
        <v/>
      </c>
      <c r="M381" s="33" t="str">
        <f t="shared" si="67"/>
        <v/>
      </c>
      <c r="N381" s="33" t="str">
        <f t="shared" si="68"/>
        <v/>
      </c>
      <c r="O381" s="33" t="str">
        <f>IF($Y381&lt;&gt;1,"",(INDEX(Comenzi!$AK:$AK,$X381)+N(INDEX(Comenzi!$T:$T,$X381)))*$I381/$E381)</f>
        <v/>
      </c>
      <c r="P381" s="35" t="str">
        <f t="shared" si="69"/>
        <v/>
      </c>
      <c r="Q381" s="36" t="str">
        <f t="shared" si="70"/>
        <v/>
      </c>
      <c r="R381" s="37" t="str">
        <f t="shared" si="71"/>
        <v/>
      </c>
      <c r="S381" s="38" t="str">
        <f t="shared" si="72"/>
        <v/>
      </c>
      <c r="T381" s="39" t="str">
        <f t="shared" si="73"/>
        <v/>
      </c>
      <c r="U381" s="40" t="str">
        <f t="shared" si="74"/>
        <v/>
      </c>
      <c r="V381" s="33" t="str">
        <f t="shared" si="75"/>
        <v/>
      </c>
      <c r="W381" s="33" t="str">
        <f t="shared" si="76"/>
        <v/>
      </c>
      <c r="X381" s="41" t="str">
        <f>IF($A381="","",IFERROR(MATCH($A381,Comenzi!$A$9:$A$108,0)+8,""))</f>
        <v/>
      </c>
      <c r="Y381" s="41" t="str">
        <f t="shared" si="77"/>
        <v/>
      </c>
      <c r="Z381" s="42" t="str">
        <f>IF($A381="","",IF($A381="?","Lipseste ID-ul comenzii (col. A din PI Furnizor)",IF(NOT(ISNUMBER($X381)),"ID comanda negasit in foaia Comenzi",IF(N($E381)&lt;=0,"Lipseste cantitatea",IF(N($G381)=0,"Pret unitar lipsa",IF($Y381&lt;&gt;1,"Curs sau moneda marfa lipsa (foaia Comenzi)",IF(INDEX(Comenzi!$AT:$AT,$X381)&lt;&gt;"OK","Avertisment comanda: "&amp;INDEX(Comenzi!$AT:$AT,$X381),"OK")))))))</f>
        <v/>
      </c>
      <c r="AA381" s="43" t="str">
        <f>IF(ISNUMBER($X381),INDEX(Comenzi!$H:$H,$X381),"")</f>
        <v/>
      </c>
      <c r="AB381" s="43" t="str">
        <f>IF(ISNUMBER($X381),INDEX(Comenzi!$I:$I,$X381),"")</f>
        <v/>
      </c>
      <c r="AC381" s="44" t="str">
        <f>IF(ISNUMBER($X381),IF(INDEX(Comenzi!$V:$V,$X381)="",Comenzi!$D$3,INDEX(Comenzi!$V:$V,$X381)),"")</f>
        <v/>
      </c>
      <c r="AD381" s="44" t="str">
        <f>IF(ISNUMBER($X381),IF(INDEX(Comenzi!$U:$U,$X381)="",Comenzi!$D$4,INDEX(Comenzi!$U:$U,$X381)),"")</f>
        <v/>
      </c>
      <c r="AE381" s="45" t="str">
        <f>IF($Y381&lt;&gt;1,"",IF(INDEX(Comenzi!$AM:$AM,$X381)="Greutate",INDEX('PI Furnizor'!$O:$O,ROW()-3),IF(INDEX(Comenzi!$AM:$AM,$X381)="Volum (CBM)",INDEX('PI Furnizor'!$Q:$Q,ROW()-3),IF(INDEX(Comenzi!$AM:$AM,$X381)="Valoare marfa",INDEX('PI Furnizor'!$N:$N,ROW()-3),$E381))))</f>
        <v/>
      </c>
    </row>
    <row r="382" spans="1:31" x14ac:dyDescent="0.3">
      <c r="A382" s="28" t="str">
        <f>IF(COUNTA(INDEX('PI Furnizor'!$A:$E,ROW()-3,0))=0,"",IF(INDEX('PI Furnizor'!$A:$A,ROW()-3)="","?",INDEX('PI Furnizor'!$A:$A,ROW()-3)))</f>
        <v/>
      </c>
      <c r="B382" s="29" t="str">
        <f>IF(ISNUMBER($X382),INDEX(Comenzi!$B:$B,$X382),"")</f>
        <v/>
      </c>
      <c r="C382" s="28" t="str">
        <f>IF($A382="","",INDEX('PI Furnizor'!$B:$B,ROW()-3)&amp;"")</f>
        <v/>
      </c>
      <c r="D382" s="28" t="str">
        <f>IF($A382="","",INDEX('PI Furnizor'!$C:$C,ROW()-3)&amp;"")</f>
        <v/>
      </c>
      <c r="E382" s="30" t="str">
        <f>IF($A382="","",N(INDEX('PI Furnizor'!$D:$D,ROW()-3)))</f>
        <v/>
      </c>
      <c r="F382" s="31" t="str">
        <f>IF(ISNUMBER($X382),INDEX(Comenzi!$G:$G,$X382),"")</f>
        <v/>
      </c>
      <c r="G382" s="32" t="str">
        <f>IF($A382="","",N(INDEX('PI Furnizor'!$E:$E,ROW()-3)))</f>
        <v/>
      </c>
      <c r="H382" s="33" t="str">
        <f t="shared" si="65"/>
        <v/>
      </c>
      <c r="I382" s="34" t="str">
        <f>IF($Y382&lt;&gt;1,"",IFERROR($AE382/INDEX(Comenzi!$AN:$AN,$X382),0))</f>
        <v/>
      </c>
      <c r="J382" s="33" t="str">
        <f>IF($Y382&lt;&gt;1,"",INDEX(Comenzi!$AG:$AG,$X382)*$I382/$E382)</f>
        <v/>
      </c>
      <c r="K382" s="33" t="str">
        <f t="shared" si="66"/>
        <v/>
      </c>
      <c r="L382" s="33" t="str">
        <f>IF($Y382&lt;&gt;1,"",$K382*$AD382+INDEX(Comenzi!$AJ:$AJ,$X382)*$I382/$E382)</f>
        <v/>
      </c>
      <c r="M382" s="33" t="str">
        <f t="shared" si="67"/>
        <v/>
      </c>
      <c r="N382" s="33" t="str">
        <f t="shared" si="68"/>
        <v/>
      </c>
      <c r="O382" s="33" t="str">
        <f>IF($Y382&lt;&gt;1,"",(INDEX(Comenzi!$AK:$AK,$X382)+N(INDEX(Comenzi!$T:$T,$X382)))*$I382/$E382)</f>
        <v/>
      </c>
      <c r="P382" s="35" t="str">
        <f t="shared" si="69"/>
        <v/>
      </c>
      <c r="Q382" s="36" t="str">
        <f t="shared" si="70"/>
        <v/>
      </c>
      <c r="R382" s="37" t="str">
        <f t="shared" si="71"/>
        <v/>
      </c>
      <c r="S382" s="38" t="str">
        <f t="shared" si="72"/>
        <v/>
      </c>
      <c r="T382" s="39" t="str">
        <f t="shared" si="73"/>
        <v/>
      </c>
      <c r="U382" s="40" t="str">
        <f t="shared" si="74"/>
        <v/>
      </c>
      <c r="V382" s="33" t="str">
        <f t="shared" si="75"/>
        <v/>
      </c>
      <c r="W382" s="33" t="str">
        <f t="shared" si="76"/>
        <v/>
      </c>
      <c r="X382" s="41" t="str">
        <f>IF($A382="","",IFERROR(MATCH($A382,Comenzi!$A$9:$A$108,0)+8,""))</f>
        <v/>
      </c>
      <c r="Y382" s="41" t="str">
        <f t="shared" si="77"/>
        <v/>
      </c>
      <c r="Z382" s="42" t="str">
        <f>IF($A382="","",IF($A382="?","Lipseste ID-ul comenzii (col. A din PI Furnizor)",IF(NOT(ISNUMBER($X382)),"ID comanda negasit in foaia Comenzi",IF(N($E382)&lt;=0,"Lipseste cantitatea",IF(N($G382)=0,"Pret unitar lipsa",IF($Y382&lt;&gt;1,"Curs sau moneda marfa lipsa (foaia Comenzi)",IF(INDEX(Comenzi!$AT:$AT,$X382)&lt;&gt;"OK","Avertisment comanda: "&amp;INDEX(Comenzi!$AT:$AT,$X382),"OK")))))))</f>
        <v/>
      </c>
      <c r="AA382" s="43" t="str">
        <f>IF(ISNUMBER($X382),INDEX(Comenzi!$H:$H,$X382),"")</f>
        <v/>
      </c>
      <c r="AB382" s="43" t="str">
        <f>IF(ISNUMBER($X382),INDEX(Comenzi!$I:$I,$X382),"")</f>
        <v/>
      </c>
      <c r="AC382" s="44" t="str">
        <f>IF(ISNUMBER($X382),IF(INDEX(Comenzi!$V:$V,$X382)="",Comenzi!$D$3,INDEX(Comenzi!$V:$V,$X382)),"")</f>
        <v/>
      </c>
      <c r="AD382" s="44" t="str">
        <f>IF(ISNUMBER($X382),IF(INDEX(Comenzi!$U:$U,$X382)="",Comenzi!$D$4,INDEX(Comenzi!$U:$U,$X382)),"")</f>
        <v/>
      </c>
      <c r="AE382" s="45" t="str">
        <f>IF($Y382&lt;&gt;1,"",IF(INDEX(Comenzi!$AM:$AM,$X382)="Greutate",INDEX('PI Furnizor'!$O:$O,ROW()-3),IF(INDEX(Comenzi!$AM:$AM,$X382)="Volum (CBM)",INDEX('PI Furnizor'!$Q:$Q,ROW()-3),IF(INDEX(Comenzi!$AM:$AM,$X382)="Valoare marfa",INDEX('PI Furnizor'!$N:$N,ROW()-3),$E382))))</f>
        <v/>
      </c>
    </row>
    <row r="383" spans="1:31" x14ac:dyDescent="0.3">
      <c r="A383" s="28" t="str">
        <f>IF(COUNTA(INDEX('PI Furnizor'!$A:$E,ROW()-3,0))=0,"",IF(INDEX('PI Furnizor'!$A:$A,ROW()-3)="","?",INDEX('PI Furnizor'!$A:$A,ROW()-3)))</f>
        <v/>
      </c>
      <c r="B383" s="29" t="str">
        <f>IF(ISNUMBER($X383),INDEX(Comenzi!$B:$B,$X383),"")</f>
        <v/>
      </c>
      <c r="C383" s="28" t="str">
        <f>IF($A383="","",INDEX('PI Furnizor'!$B:$B,ROW()-3)&amp;"")</f>
        <v/>
      </c>
      <c r="D383" s="28" t="str">
        <f>IF($A383="","",INDEX('PI Furnizor'!$C:$C,ROW()-3)&amp;"")</f>
        <v/>
      </c>
      <c r="E383" s="30" t="str">
        <f>IF($A383="","",N(INDEX('PI Furnizor'!$D:$D,ROW()-3)))</f>
        <v/>
      </c>
      <c r="F383" s="31" t="str">
        <f>IF(ISNUMBER($X383),INDEX(Comenzi!$G:$G,$X383),"")</f>
        <v/>
      </c>
      <c r="G383" s="32" t="str">
        <f>IF($A383="","",N(INDEX('PI Furnizor'!$E:$E,ROW()-3)))</f>
        <v/>
      </c>
      <c r="H383" s="33" t="str">
        <f t="shared" si="65"/>
        <v/>
      </c>
      <c r="I383" s="34" t="str">
        <f>IF($Y383&lt;&gt;1,"",IFERROR($AE383/INDEX(Comenzi!$AN:$AN,$X383),0))</f>
        <v/>
      </c>
      <c r="J383" s="33" t="str">
        <f>IF($Y383&lt;&gt;1,"",INDEX(Comenzi!$AG:$AG,$X383)*$I383/$E383)</f>
        <v/>
      </c>
      <c r="K383" s="33" t="str">
        <f t="shared" si="66"/>
        <v/>
      </c>
      <c r="L383" s="33" t="str">
        <f>IF($Y383&lt;&gt;1,"",$K383*$AD383+INDEX(Comenzi!$AJ:$AJ,$X383)*$I383/$E383)</f>
        <v/>
      </c>
      <c r="M383" s="33" t="str">
        <f t="shared" si="67"/>
        <v/>
      </c>
      <c r="N383" s="33" t="str">
        <f t="shared" si="68"/>
        <v/>
      </c>
      <c r="O383" s="33" t="str">
        <f>IF($Y383&lt;&gt;1,"",(INDEX(Comenzi!$AK:$AK,$X383)+N(INDEX(Comenzi!$T:$T,$X383)))*$I383/$E383)</f>
        <v/>
      </c>
      <c r="P383" s="35" t="str">
        <f t="shared" si="69"/>
        <v/>
      </c>
      <c r="Q383" s="36" t="str">
        <f t="shared" si="70"/>
        <v/>
      </c>
      <c r="R383" s="37" t="str">
        <f t="shared" si="71"/>
        <v/>
      </c>
      <c r="S383" s="38" t="str">
        <f t="shared" si="72"/>
        <v/>
      </c>
      <c r="T383" s="39" t="str">
        <f t="shared" si="73"/>
        <v/>
      </c>
      <c r="U383" s="40" t="str">
        <f t="shared" si="74"/>
        <v/>
      </c>
      <c r="V383" s="33" t="str">
        <f t="shared" si="75"/>
        <v/>
      </c>
      <c r="W383" s="33" t="str">
        <f t="shared" si="76"/>
        <v/>
      </c>
      <c r="X383" s="41" t="str">
        <f>IF($A383="","",IFERROR(MATCH($A383,Comenzi!$A$9:$A$108,0)+8,""))</f>
        <v/>
      </c>
      <c r="Y383" s="41" t="str">
        <f t="shared" si="77"/>
        <v/>
      </c>
      <c r="Z383" s="42" t="str">
        <f>IF($A383="","",IF($A383="?","Lipseste ID-ul comenzii (col. A din PI Furnizor)",IF(NOT(ISNUMBER($X383)),"ID comanda negasit in foaia Comenzi",IF(N($E383)&lt;=0,"Lipseste cantitatea",IF(N($G383)=0,"Pret unitar lipsa",IF($Y383&lt;&gt;1,"Curs sau moneda marfa lipsa (foaia Comenzi)",IF(INDEX(Comenzi!$AT:$AT,$X383)&lt;&gt;"OK","Avertisment comanda: "&amp;INDEX(Comenzi!$AT:$AT,$X383),"OK")))))))</f>
        <v/>
      </c>
      <c r="AA383" s="43" t="str">
        <f>IF(ISNUMBER($X383),INDEX(Comenzi!$H:$H,$X383),"")</f>
        <v/>
      </c>
      <c r="AB383" s="43" t="str">
        <f>IF(ISNUMBER($X383),INDEX(Comenzi!$I:$I,$X383),"")</f>
        <v/>
      </c>
      <c r="AC383" s="44" t="str">
        <f>IF(ISNUMBER($X383),IF(INDEX(Comenzi!$V:$V,$X383)="",Comenzi!$D$3,INDEX(Comenzi!$V:$V,$X383)),"")</f>
        <v/>
      </c>
      <c r="AD383" s="44" t="str">
        <f>IF(ISNUMBER($X383),IF(INDEX(Comenzi!$U:$U,$X383)="",Comenzi!$D$4,INDEX(Comenzi!$U:$U,$X383)),"")</f>
        <v/>
      </c>
      <c r="AE383" s="45" t="str">
        <f>IF($Y383&lt;&gt;1,"",IF(INDEX(Comenzi!$AM:$AM,$X383)="Greutate",INDEX('PI Furnizor'!$O:$O,ROW()-3),IF(INDEX(Comenzi!$AM:$AM,$X383)="Volum (CBM)",INDEX('PI Furnizor'!$Q:$Q,ROW()-3),IF(INDEX(Comenzi!$AM:$AM,$X383)="Valoare marfa",INDEX('PI Furnizor'!$N:$N,ROW()-3),$E383))))</f>
        <v/>
      </c>
    </row>
    <row r="384" spans="1:31" x14ac:dyDescent="0.3">
      <c r="A384" s="28" t="str">
        <f>IF(COUNTA(INDEX('PI Furnizor'!$A:$E,ROW()-3,0))=0,"",IF(INDEX('PI Furnizor'!$A:$A,ROW()-3)="","?",INDEX('PI Furnizor'!$A:$A,ROW()-3)))</f>
        <v/>
      </c>
      <c r="B384" s="29" t="str">
        <f>IF(ISNUMBER($X384),INDEX(Comenzi!$B:$B,$X384),"")</f>
        <v/>
      </c>
      <c r="C384" s="28" t="str">
        <f>IF($A384="","",INDEX('PI Furnizor'!$B:$B,ROW()-3)&amp;"")</f>
        <v/>
      </c>
      <c r="D384" s="28" t="str">
        <f>IF($A384="","",INDEX('PI Furnizor'!$C:$C,ROW()-3)&amp;"")</f>
        <v/>
      </c>
      <c r="E384" s="30" t="str">
        <f>IF($A384="","",N(INDEX('PI Furnizor'!$D:$D,ROW()-3)))</f>
        <v/>
      </c>
      <c r="F384" s="31" t="str">
        <f>IF(ISNUMBER($X384),INDEX(Comenzi!$G:$G,$X384),"")</f>
        <v/>
      </c>
      <c r="G384" s="32" t="str">
        <f>IF($A384="","",N(INDEX('PI Furnizor'!$E:$E,ROW()-3)))</f>
        <v/>
      </c>
      <c r="H384" s="33" t="str">
        <f t="shared" si="65"/>
        <v/>
      </c>
      <c r="I384" s="34" t="str">
        <f>IF($Y384&lt;&gt;1,"",IFERROR($AE384/INDEX(Comenzi!$AN:$AN,$X384),0))</f>
        <v/>
      </c>
      <c r="J384" s="33" t="str">
        <f>IF($Y384&lt;&gt;1,"",INDEX(Comenzi!$AG:$AG,$X384)*$I384/$E384)</f>
        <v/>
      </c>
      <c r="K384" s="33" t="str">
        <f t="shared" si="66"/>
        <v/>
      </c>
      <c r="L384" s="33" t="str">
        <f>IF($Y384&lt;&gt;1,"",$K384*$AD384+INDEX(Comenzi!$AJ:$AJ,$X384)*$I384/$E384)</f>
        <v/>
      </c>
      <c r="M384" s="33" t="str">
        <f t="shared" si="67"/>
        <v/>
      </c>
      <c r="N384" s="33" t="str">
        <f t="shared" si="68"/>
        <v/>
      </c>
      <c r="O384" s="33" t="str">
        <f>IF($Y384&lt;&gt;1,"",(INDEX(Comenzi!$AK:$AK,$X384)+N(INDEX(Comenzi!$T:$T,$X384)))*$I384/$E384)</f>
        <v/>
      </c>
      <c r="P384" s="35" t="str">
        <f t="shared" si="69"/>
        <v/>
      </c>
      <c r="Q384" s="36" t="str">
        <f t="shared" si="70"/>
        <v/>
      </c>
      <c r="R384" s="37" t="str">
        <f t="shared" si="71"/>
        <v/>
      </c>
      <c r="S384" s="38" t="str">
        <f t="shared" si="72"/>
        <v/>
      </c>
      <c r="T384" s="39" t="str">
        <f t="shared" si="73"/>
        <v/>
      </c>
      <c r="U384" s="40" t="str">
        <f t="shared" si="74"/>
        <v/>
      </c>
      <c r="V384" s="33" t="str">
        <f t="shared" si="75"/>
        <v/>
      </c>
      <c r="W384" s="33" t="str">
        <f t="shared" si="76"/>
        <v/>
      </c>
      <c r="X384" s="41" t="str">
        <f>IF($A384="","",IFERROR(MATCH($A384,Comenzi!$A$9:$A$108,0)+8,""))</f>
        <v/>
      </c>
      <c r="Y384" s="41" t="str">
        <f t="shared" si="77"/>
        <v/>
      </c>
      <c r="Z384" s="42" t="str">
        <f>IF($A384="","",IF($A384="?","Lipseste ID-ul comenzii (col. A din PI Furnizor)",IF(NOT(ISNUMBER($X384)),"ID comanda negasit in foaia Comenzi",IF(N($E384)&lt;=0,"Lipseste cantitatea",IF(N($G384)=0,"Pret unitar lipsa",IF($Y384&lt;&gt;1,"Curs sau moneda marfa lipsa (foaia Comenzi)",IF(INDEX(Comenzi!$AT:$AT,$X384)&lt;&gt;"OK","Avertisment comanda: "&amp;INDEX(Comenzi!$AT:$AT,$X384),"OK")))))))</f>
        <v/>
      </c>
      <c r="AA384" s="43" t="str">
        <f>IF(ISNUMBER($X384),INDEX(Comenzi!$H:$H,$X384),"")</f>
        <v/>
      </c>
      <c r="AB384" s="43" t="str">
        <f>IF(ISNUMBER($X384),INDEX(Comenzi!$I:$I,$X384),"")</f>
        <v/>
      </c>
      <c r="AC384" s="44" t="str">
        <f>IF(ISNUMBER($X384),IF(INDEX(Comenzi!$V:$V,$X384)="",Comenzi!$D$3,INDEX(Comenzi!$V:$V,$X384)),"")</f>
        <v/>
      </c>
      <c r="AD384" s="44" t="str">
        <f>IF(ISNUMBER($X384),IF(INDEX(Comenzi!$U:$U,$X384)="",Comenzi!$D$4,INDEX(Comenzi!$U:$U,$X384)),"")</f>
        <v/>
      </c>
      <c r="AE384" s="45" t="str">
        <f>IF($Y384&lt;&gt;1,"",IF(INDEX(Comenzi!$AM:$AM,$X384)="Greutate",INDEX('PI Furnizor'!$O:$O,ROW()-3),IF(INDEX(Comenzi!$AM:$AM,$X384)="Volum (CBM)",INDEX('PI Furnizor'!$Q:$Q,ROW()-3),IF(INDEX(Comenzi!$AM:$AM,$X384)="Valoare marfa",INDEX('PI Furnizor'!$N:$N,ROW()-3),$E384))))</f>
        <v/>
      </c>
    </row>
    <row r="385" spans="1:31" x14ac:dyDescent="0.3">
      <c r="A385" s="28" t="str">
        <f>IF(COUNTA(INDEX('PI Furnizor'!$A:$E,ROW()-3,0))=0,"",IF(INDEX('PI Furnizor'!$A:$A,ROW()-3)="","?",INDEX('PI Furnizor'!$A:$A,ROW()-3)))</f>
        <v/>
      </c>
      <c r="B385" s="29" t="str">
        <f>IF(ISNUMBER($X385),INDEX(Comenzi!$B:$B,$X385),"")</f>
        <v/>
      </c>
      <c r="C385" s="28" t="str">
        <f>IF($A385="","",INDEX('PI Furnizor'!$B:$B,ROW()-3)&amp;"")</f>
        <v/>
      </c>
      <c r="D385" s="28" t="str">
        <f>IF($A385="","",INDEX('PI Furnizor'!$C:$C,ROW()-3)&amp;"")</f>
        <v/>
      </c>
      <c r="E385" s="30" t="str">
        <f>IF($A385="","",N(INDEX('PI Furnizor'!$D:$D,ROW()-3)))</f>
        <v/>
      </c>
      <c r="F385" s="31" t="str">
        <f>IF(ISNUMBER($X385),INDEX(Comenzi!$G:$G,$X385),"")</f>
        <v/>
      </c>
      <c r="G385" s="32" t="str">
        <f>IF($A385="","",N(INDEX('PI Furnizor'!$E:$E,ROW()-3)))</f>
        <v/>
      </c>
      <c r="H385" s="33" t="str">
        <f t="shared" si="65"/>
        <v/>
      </c>
      <c r="I385" s="34" t="str">
        <f>IF($Y385&lt;&gt;1,"",IFERROR($AE385/INDEX(Comenzi!$AN:$AN,$X385),0))</f>
        <v/>
      </c>
      <c r="J385" s="33" t="str">
        <f>IF($Y385&lt;&gt;1,"",INDEX(Comenzi!$AG:$AG,$X385)*$I385/$E385)</f>
        <v/>
      </c>
      <c r="K385" s="33" t="str">
        <f t="shared" si="66"/>
        <v/>
      </c>
      <c r="L385" s="33" t="str">
        <f>IF($Y385&lt;&gt;1,"",$K385*$AD385+INDEX(Comenzi!$AJ:$AJ,$X385)*$I385/$E385)</f>
        <v/>
      </c>
      <c r="M385" s="33" t="str">
        <f t="shared" si="67"/>
        <v/>
      </c>
      <c r="N385" s="33" t="str">
        <f t="shared" si="68"/>
        <v/>
      </c>
      <c r="O385" s="33" t="str">
        <f>IF($Y385&lt;&gt;1,"",(INDEX(Comenzi!$AK:$AK,$X385)+N(INDEX(Comenzi!$T:$T,$X385)))*$I385/$E385)</f>
        <v/>
      </c>
      <c r="P385" s="35" t="str">
        <f t="shared" si="69"/>
        <v/>
      </c>
      <c r="Q385" s="36" t="str">
        <f t="shared" si="70"/>
        <v/>
      </c>
      <c r="R385" s="37" t="str">
        <f t="shared" si="71"/>
        <v/>
      </c>
      <c r="S385" s="38" t="str">
        <f t="shared" si="72"/>
        <v/>
      </c>
      <c r="T385" s="39" t="str">
        <f t="shared" si="73"/>
        <v/>
      </c>
      <c r="U385" s="40" t="str">
        <f t="shared" si="74"/>
        <v/>
      </c>
      <c r="V385" s="33" t="str">
        <f t="shared" si="75"/>
        <v/>
      </c>
      <c r="W385" s="33" t="str">
        <f t="shared" si="76"/>
        <v/>
      </c>
      <c r="X385" s="41" t="str">
        <f>IF($A385="","",IFERROR(MATCH($A385,Comenzi!$A$9:$A$108,0)+8,""))</f>
        <v/>
      </c>
      <c r="Y385" s="41" t="str">
        <f t="shared" si="77"/>
        <v/>
      </c>
      <c r="Z385" s="42" t="str">
        <f>IF($A385="","",IF($A385="?","Lipseste ID-ul comenzii (col. A din PI Furnizor)",IF(NOT(ISNUMBER($X385)),"ID comanda negasit in foaia Comenzi",IF(N($E385)&lt;=0,"Lipseste cantitatea",IF(N($G385)=0,"Pret unitar lipsa",IF($Y385&lt;&gt;1,"Curs sau moneda marfa lipsa (foaia Comenzi)",IF(INDEX(Comenzi!$AT:$AT,$X385)&lt;&gt;"OK","Avertisment comanda: "&amp;INDEX(Comenzi!$AT:$AT,$X385),"OK")))))))</f>
        <v/>
      </c>
      <c r="AA385" s="43" t="str">
        <f>IF(ISNUMBER($X385),INDEX(Comenzi!$H:$H,$X385),"")</f>
        <v/>
      </c>
      <c r="AB385" s="43" t="str">
        <f>IF(ISNUMBER($X385),INDEX(Comenzi!$I:$I,$X385),"")</f>
        <v/>
      </c>
      <c r="AC385" s="44" t="str">
        <f>IF(ISNUMBER($X385),IF(INDEX(Comenzi!$V:$V,$X385)="",Comenzi!$D$3,INDEX(Comenzi!$V:$V,$X385)),"")</f>
        <v/>
      </c>
      <c r="AD385" s="44" t="str">
        <f>IF(ISNUMBER($X385),IF(INDEX(Comenzi!$U:$U,$X385)="",Comenzi!$D$4,INDEX(Comenzi!$U:$U,$X385)),"")</f>
        <v/>
      </c>
      <c r="AE385" s="45" t="str">
        <f>IF($Y385&lt;&gt;1,"",IF(INDEX(Comenzi!$AM:$AM,$X385)="Greutate",INDEX('PI Furnizor'!$O:$O,ROW()-3),IF(INDEX(Comenzi!$AM:$AM,$X385)="Volum (CBM)",INDEX('PI Furnizor'!$Q:$Q,ROW()-3),IF(INDEX(Comenzi!$AM:$AM,$X385)="Valoare marfa",INDEX('PI Furnizor'!$N:$N,ROW()-3),$E385))))</f>
        <v/>
      </c>
    </row>
    <row r="386" spans="1:31" x14ac:dyDescent="0.3">
      <c r="A386" s="28" t="str">
        <f>IF(COUNTA(INDEX('PI Furnizor'!$A:$E,ROW()-3,0))=0,"",IF(INDEX('PI Furnizor'!$A:$A,ROW()-3)="","?",INDEX('PI Furnizor'!$A:$A,ROW()-3)))</f>
        <v/>
      </c>
      <c r="B386" s="29" t="str">
        <f>IF(ISNUMBER($X386),INDEX(Comenzi!$B:$B,$X386),"")</f>
        <v/>
      </c>
      <c r="C386" s="28" t="str">
        <f>IF($A386="","",INDEX('PI Furnizor'!$B:$B,ROW()-3)&amp;"")</f>
        <v/>
      </c>
      <c r="D386" s="28" t="str">
        <f>IF($A386="","",INDEX('PI Furnizor'!$C:$C,ROW()-3)&amp;"")</f>
        <v/>
      </c>
      <c r="E386" s="30" t="str">
        <f>IF($A386="","",N(INDEX('PI Furnizor'!$D:$D,ROW()-3)))</f>
        <v/>
      </c>
      <c r="F386" s="31" t="str">
        <f>IF(ISNUMBER($X386),INDEX(Comenzi!$G:$G,$X386),"")</f>
        <v/>
      </c>
      <c r="G386" s="32" t="str">
        <f>IF($A386="","",N(INDEX('PI Furnizor'!$E:$E,ROW()-3)))</f>
        <v/>
      </c>
      <c r="H386" s="33" t="str">
        <f t="shared" si="65"/>
        <v/>
      </c>
      <c r="I386" s="34" t="str">
        <f>IF($Y386&lt;&gt;1,"",IFERROR($AE386/INDEX(Comenzi!$AN:$AN,$X386),0))</f>
        <v/>
      </c>
      <c r="J386" s="33" t="str">
        <f>IF($Y386&lt;&gt;1,"",INDEX(Comenzi!$AG:$AG,$X386)*$I386/$E386)</f>
        <v/>
      </c>
      <c r="K386" s="33" t="str">
        <f t="shared" si="66"/>
        <v/>
      </c>
      <c r="L386" s="33" t="str">
        <f>IF($Y386&lt;&gt;1,"",$K386*$AD386+INDEX(Comenzi!$AJ:$AJ,$X386)*$I386/$E386)</f>
        <v/>
      </c>
      <c r="M386" s="33" t="str">
        <f t="shared" si="67"/>
        <v/>
      </c>
      <c r="N386" s="33" t="str">
        <f t="shared" si="68"/>
        <v/>
      </c>
      <c r="O386" s="33" t="str">
        <f>IF($Y386&lt;&gt;1,"",(INDEX(Comenzi!$AK:$AK,$X386)+N(INDEX(Comenzi!$T:$T,$X386)))*$I386/$E386)</f>
        <v/>
      </c>
      <c r="P386" s="35" t="str">
        <f t="shared" si="69"/>
        <v/>
      </c>
      <c r="Q386" s="36" t="str">
        <f t="shared" si="70"/>
        <v/>
      </c>
      <c r="R386" s="37" t="str">
        <f t="shared" si="71"/>
        <v/>
      </c>
      <c r="S386" s="38" t="str">
        <f t="shared" si="72"/>
        <v/>
      </c>
      <c r="T386" s="39" t="str">
        <f t="shared" si="73"/>
        <v/>
      </c>
      <c r="U386" s="40" t="str">
        <f t="shared" si="74"/>
        <v/>
      </c>
      <c r="V386" s="33" t="str">
        <f t="shared" si="75"/>
        <v/>
      </c>
      <c r="W386" s="33" t="str">
        <f t="shared" si="76"/>
        <v/>
      </c>
      <c r="X386" s="41" t="str">
        <f>IF($A386="","",IFERROR(MATCH($A386,Comenzi!$A$9:$A$108,0)+8,""))</f>
        <v/>
      </c>
      <c r="Y386" s="41" t="str">
        <f t="shared" si="77"/>
        <v/>
      </c>
      <c r="Z386" s="42" t="str">
        <f>IF($A386="","",IF($A386="?","Lipseste ID-ul comenzii (col. A din PI Furnizor)",IF(NOT(ISNUMBER($X386)),"ID comanda negasit in foaia Comenzi",IF(N($E386)&lt;=0,"Lipseste cantitatea",IF(N($G386)=0,"Pret unitar lipsa",IF($Y386&lt;&gt;1,"Curs sau moneda marfa lipsa (foaia Comenzi)",IF(INDEX(Comenzi!$AT:$AT,$X386)&lt;&gt;"OK","Avertisment comanda: "&amp;INDEX(Comenzi!$AT:$AT,$X386),"OK")))))))</f>
        <v/>
      </c>
      <c r="AA386" s="43" t="str">
        <f>IF(ISNUMBER($X386),INDEX(Comenzi!$H:$H,$X386),"")</f>
        <v/>
      </c>
      <c r="AB386" s="43" t="str">
        <f>IF(ISNUMBER($X386),INDEX(Comenzi!$I:$I,$X386),"")</f>
        <v/>
      </c>
      <c r="AC386" s="44" t="str">
        <f>IF(ISNUMBER($X386),IF(INDEX(Comenzi!$V:$V,$X386)="",Comenzi!$D$3,INDEX(Comenzi!$V:$V,$X386)),"")</f>
        <v/>
      </c>
      <c r="AD386" s="44" t="str">
        <f>IF(ISNUMBER($X386),IF(INDEX(Comenzi!$U:$U,$X386)="",Comenzi!$D$4,INDEX(Comenzi!$U:$U,$X386)),"")</f>
        <v/>
      </c>
      <c r="AE386" s="45" t="str">
        <f>IF($Y386&lt;&gt;1,"",IF(INDEX(Comenzi!$AM:$AM,$X386)="Greutate",INDEX('PI Furnizor'!$O:$O,ROW()-3),IF(INDEX(Comenzi!$AM:$AM,$X386)="Volum (CBM)",INDEX('PI Furnizor'!$Q:$Q,ROW()-3),IF(INDEX(Comenzi!$AM:$AM,$X386)="Valoare marfa",INDEX('PI Furnizor'!$N:$N,ROW()-3),$E386))))</f>
        <v/>
      </c>
    </row>
    <row r="387" spans="1:31" x14ac:dyDescent="0.3">
      <c r="A387" s="28" t="str">
        <f>IF(COUNTA(INDEX('PI Furnizor'!$A:$E,ROW()-3,0))=0,"",IF(INDEX('PI Furnizor'!$A:$A,ROW()-3)="","?",INDEX('PI Furnizor'!$A:$A,ROW()-3)))</f>
        <v/>
      </c>
      <c r="B387" s="29" t="str">
        <f>IF(ISNUMBER($X387),INDEX(Comenzi!$B:$B,$X387),"")</f>
        <v/>
      </c>
      <c r="C387" s="28" t="str">
        <f>IF($A387="","",INDEX('PI Furnizor'!$B:$B,ROW()-3)&amp;"")</f>
        <v/>
      </c>
      <c r="D387" s="28" t="str">
        <f>IF($A387="","",INDEX('PI Furnizor'!$C:$C,ROW()-3)&amp;"")</f>
        <v/>
      </c>
      <c r="E387" s="30" t="str">
        <f>IF($A387="","",N(INDEX('PI Furnizor'!$D:$D,ROW()-3)))</f>
        <v/>
      </c>
      <c r="F387" s="31" t="str">
        <f>IF(ISNUMBER($X387),INDEX(Comenzi!$G:$G,$X387),"")</f>
        <v/>
      </c>
      <c r="G387" s="32" t="str">
        <f>IF($A387="","",N(INDEX('PI Furnizor'!$E:$E,ROW()-3)))</f>
        <v/>
      </c>
      <c r="H387" s="33" t="str">
        <f t="shared" si="65"/>
        <v/>
      </c>
      <c r="I387" s="34" t="str">
        <f>IF($Y387&lt;&gt;1,"",IFERROR($AE387/INDEX(Comenzi!$AN:$AN,$X387),0))</f>
        <v/>
      </c>
      <c r="J387" s="33" t="str">
        <f>IF($Y387&lt;&gt;1,"",INDEX(Comenzi!$AG:$AG,$X387)*$I387/$E387)</f>
        <v/>
      </c>
      <c r="K387" s="33" t="str">
        <f t="shared" si="66"/>
        <v/>
      </c>
      <c r="L387" s="33" t="str">
        <f>IF($Y387&lt;&gt;1,"",$K387*$AD387+INDEX(Comenzi!$AJ:$AJ,$X387)*$I387/$E387)</f>
        <v/>
      </c>
      <c r="M387" s="33" t="str">
        <f t="shared" si="67"/>
        <v/>
      </c>
      <c r="N387" s="33" t="str">
        <f t="shared" si="68"/>
        <v/>
      </c>
      <c r="O387" s="33" t="str">
        <f>IF($Y387&lt;&gt;1,"",(INDEX(Comenzi!$AK:$AK,$X387)+N(INDEX(Comenzi!$T:$T,$X387)))*$I387/$E387)</f>
        <v/>
      </c>
      <c r="P387" s="35" t="str">
        <f t="shared" si="69"/>
        <v/>
      </c>
      <c r="Q387" s="36" t="str">
        <f t="shared" si="70"/>
        <v/>
      </c>
      <c r="R387" s="37" t="str">
        <f t="shared" si="71"/>
        <v/>
      </c>
      <c r="S387" s="38" t="str">
        <f t="shared" si="72"/>
        <v/>
      </c>
      <c r="T387" s="39" t="str">
        <f t="shared" si="73"/>
        <v/>
      </c>
      <c r="U387" s="40" t="str">
        <f t="shared" si="74"/>
        <v/>
      </c>
      <c r="V387" s="33" t="str">
        <f t="shared" si="75"/>
        <v/>
      </c>
      <c r="W387" s="33" t="str">
        <f t="shared" si="76"/>
        <v/>
      </c>
      <c r="X387" s="41" t="str">
        <f>IF($A387="","",IFERROR(MATCH($A387,Comenzi!$A$9:$A$108,0)+8,""))</f>
        <v/>
      </c>
      <c r="Y387" s="41" t="str">
        <f t="shared" si="77"/>
        <v/>
      </c>
      <c r="Z387" s="42" t="str">
        <f>IF($A387="","",IF($A387="?","Lipseste ID-ul comenzii (col. A din PI Furnizor)",IF(NOT(ISNUMBER($X387)),"ID comanda negasit in foaia Comenzi",IF(N($E387)&lt;=0,"Lipseste cantitatea",IF(N($G387)=0,"Pret unitar lipsa",IF($Y387&lt;&gt;1,"Curs sau moneda marfa lipsa (foaia Comenzi)",IF(INDEX(Comenzi!$AT:$AT,$X387)&lt;&gt;"OK","Avertisment comanda: "&amp;INDEX(Comenzi!$AT:$AT,$X387),"OK")))))))</f>
        <v/>
      </c>
      <c r="AA387" s="43" t="str">
        <f>IF(ISNUMBER($X387),INDEX(Comenzi!$H:$H,$X387),"")</f>
        <v/>
      </c>
      <c r="AB387" s="43" t="str">
        <f>IF(ISNUMBER($X387),INDEX(Comenzi!$I:$I,$X387),"")</f>
        <v/>
      </c>
      <c r="AC387" s="44" t="str">
        <f>IF(ISNUMBER($X387),IF(INDEX(Comenzi!$V:$V,$X387)="",Comenzi!$D$3,INDEX(Comenzi!$V:$V,$X387)),"")</f>
        <v/>
      </c>
      <c r="AD387" s="44" t="str">
        <f>IF(ISNUMBER($X387),IF(INDEX(Comenzi!$U:$U,$X387)="",Comenzi!$D$4,INDEX(Comenzi!$U:$U,$X387)),"")</f>
        <v/>
      </c>
      <c r="AE387" s="45" t="str">
        <f>IF($Y387&lt;&gt;1,"",IF(INDEX(Comenzi!$AM:$AM,$X387)="Greutate",INDEX('PI Furnizor'!$O:$O,ROW()-3),IF(INDEX(Comenzi!$AM:$AM,$X387)="Volum (CBM)",INDEX('PI Furnizor'!$Q:$Q,ROW()-3),IF(INDEX(Comenzi!$AM:$AM,$X387)="Valoare marfa",INDEX('PI Furnizor'!$N:$N,ROW()-3),$E387))))</f>
        <v/>
      </c>
    </row>
    <row r="388" spans="1:31" x14ac:dyDescent="0.3">
      <c r="A388" s="28" t="str">
        <f>IF(COUNTA(INDEX('PI Furnizor'!$A:$E,ROW()-3,0))=0,"",IF(INDEX('PI Furnizor'!$A:$A,ROW()-3)="","?",INDEX('PI Furnizor'!$A:$A,ROW()-3)))</f>
        <v/>
      </c>
      <c r="B388" s="29" t="str">
        <f>IF(ISNUMBER($X388),INDEX(Comenzi!$B:$B,$X388),"")</f>
        <v/>
      </c>
      <c r="C388" s="28" t="str">
        <f>IF($A388="","",INDEX('PI Furnizor'!$B:$B,ROW()-3)&amp;"")</f>
        <v/>
      </c>
      <c r="D388" s="28" t="str">
        <f>IF($A388="","",INDEX('PI Furnizor'!$C:$C,ROW()-3)&amp;"")</f>
        <v/>
      </c>
      <c r="E388" s="30" t="str">
        <f>IF($A388="","",N(INDEX('PI Furnizor'!$D:$D,ROW()-3)))</f>
        <v/>
      </c>
      <c r="F388" s="31" t="str">
        <f>IF(ISNUMBER($X388),INDEX(Comenzi!$G:$G,$X388),"")</f>
        <v/>
      </c>
      <c r="G388" s="32" t="str">
        <f>IF($A388="","",N(INDEX('PI Furnizor'!$E:$E,ROW()-3)))</f>
        <v/>
      </c>
      <c r="H388" s="33" t="str">
        <f t="shared" si="65"/>
        <v/>
      </c>
      <c r="I388" s="34" t="str">
        <f>IF($Y388&lt;&gt;1,"",IFERROR($AE388/INDEX(Comenzi!$AN:$AN,$X388),0))</f>
        <v/>
      </c>
      <c r="J388" s="33" t="str">
        <f>IF($Y388&lt;&gt;1,"",INDEX(Comenzi!$AG:$AG,$X388)*$I388/$E388)</f>
        <v/>
      </c>
      <c r="K388" s="33" t="str">
        <f t="shared" si="66"/>
        <v/>
      </c>
      <c r="L388" s="33" t="str">
        <f>IF($Y388&lt;&gt;1,"",$K388*$AD388+INDEX(Comenzi!$AJ:$AJ,$X388)*$I388/$E388)</f>
        <v/>
      </c>
      <c r="M388" s="33" t="str">
        <f t="shared" si="67"/>
        <v/>
      </c>
      <c r="N388" s="33" t="str">
        <f t="shared" si="68"/>
        <v/>
      </c>
      <c r="O388" s="33" t="str">
        <f>IF($Y388&lt;&gt;1,"",(INDEX(Comenzi!$AK:$AK,$X388)+N(INDEX(Comenzi!$T:$T,$X388)))*$I388/$E388)</f>
        <v/>
      </c>
      <c r="P388" s="35" t="str">
        <f t="shared" si="69"/>
        <v/>
      </c>
      <c r="Q388" s="36" t="str">
        <f t="shared" si="70"/>
        <v/>
      </c>
      <c r="R388" s="37" t="str">
        <f t="shared" si="71"/>
        <v/>
      </c>
      <c r="S388" s="38" t="str">
        <f t="shared" si="72"/>
        <v/>
      </c>
      <c r="T388" s="39" t="str">
        <f t="shared" si="73"/>
        <v/>
      </c>
      <c r="U388" s="40" t="str">
        <f t="shared" si="74"/>
        <v/>
      </c>
      <c r="V388" s="33" t="str">
        <f t="shared" si="75"/>
        <v/>
      </c>
      <c r="W388" s="33" t="str">
        <f t="shared" si="76"/>
        <v/>
      </c>
      <c r="X388" s="41" t="str">
        <f>IF($A388="","",IFERROR(MATCH($A388,Comenzi!$A$9:$A$108,0)+8,""))</f>
        <v/>
      </c>
      <c r="Y388" s="41" t="str">
        <f t="shared" si="77"/>
        <v/>
      </c>
      <c r="Z388" s="42" t="str">
        <f>IF($A388="","",IF($A388="?","Lipseste ID-ul comenzii (col. A din PI Furnizor)",IF(NOT(ISNUMBER($X388)),"ID comanda negasit in foaia Comenzi",IF(N($E388)&lt;=0,"Lipseste cantitatea",IF(N($G388)=0,"Pret unitar lipsa",IF($Y388&lt;&gt;1,"Curs sau moneda marfa lipsa (foaia Comenzi)",IF(INDEX(Comenzi!$AT:$AT,$X388)&lt;&gt;"OK","Avertisment comanda: "&amp;INDEX(Comenzi!$AT:$AT,$X388),"OK")))))))</f>
        <v/>
      </c>
      <c r="AA388" s="43" t="str">
        <f>IF(ISNUMBER($X388),INDEX(Comenzi!$H:$H,$X388),"")</f>
        <v/>
      </c>
      <c r="AB388" s="43" t="str">
        <f>IF(ISNUMBER($X388),INDEX(Comenzi!$I:$I,$X388),"")</f>
        <v/>
      </c>
      <c r="AC388" s="44" t="str">
        <f>IF(ISNUMBER($X388),IF(INDEX(Comenzi!$V:$V,$X388)="",Comenzi!$D$3,INDEX(Comenzi!$V:$V,$X388)),"")</f>
        <v/>
      </c>
      <c r="AD388" s="44" t="str">
        <f>IF(ISNUMBER($X388),IF(INDEX(Comenzi!$U:$U,$X388)="",Comenzi!$D$4,INDEX(Comenzi!$U:$U,$X388)),"")</f>
        <v/>
      </c>
      <c r="AE388" s="45" t="str">
        <f>IF($Y388&lt;&gt;1,"",IF(INDEX(Comenzi!$AM:$AM,$X388)="Greutate",INDEX('PI Furnizor'!$O:$O,ROW()-3),IF(INDEX(Comenzi!$AM:$AM,$X388)="Volum (CBM)",INDEX('PI Furnizor'!$Q:$Q,ROW()-3),IF(INDEX(Comenzi!$AM:$AM,$X388)="Valoare marfa",INDEX('PI Furnizor'!$N:$N,ROW()-3),$E388))))</f>
        <v/>
      </c>
    </row>
    <row r="389" spans="1:31" x14ac:dyDescent="0.3">
      <c r="A389" s="28" t="str">
        <f>IF(COUNTA(INDEX('PI Furnizor'!$A:$E,ROW()-3,0))=0,"",IF(INDEX('PI Furnizor'!$A:$A,ROW()-3)="","?",INDEX('PI Furnizor'!$A:$A,ROW()-3)))</f>
        <v/>
      </c>
      <c r="B389" s="29" t="str">
        <f>IF(ISNUMBER($X389),INDEX(Comenzi!$B:$B,$X389),"")</f>
        <v/>
      </c>
      <c r="C389" s="28" t="str">
        <f>IF($A389="","",INDEX('PI Furnizor'!$B:$B,ROW()-3)&amp;"")</f>
        <v/>
      </c>
      <c r="D389" s="28" t="str">
        <f>IF($A389="","",INDEX('PI Furnizor'!$C:$C,ROW()-3)&amp;"")</f>
        <v/>
      </c>
      <c r="E389" s="30" t="str">
        <f>IF($A389="","",N(INDEX('PI Furnizor'!$D:$D,ROW()-3)))</f>
        <v/>
      </c>
      <c r="F389" s="31" t="str">
        <f>IF(ISNUMBER($X389),INDEX(Comenzi!$G:$G,$X389),"")</f>
        <v/>
      </c>
      <c r="G389" s="32" t="str">
        <f>IF($A389="","",N(INDEX('PI Furnizor'!$E:$E,ROW()-3)))</f>
        <v/>
      </c>
      <c r="H389" s="33" t="str">
        <f t="shared" si="65"/>
        <v/>
      </c>
      <c r="I389" s="34" t="str">
        <f>IF($Y389&lt;&gt;1,"",IFERROR($AE389/INDEX(Comenzi!$AN:$AN,$X389),0))</f>
        <v/>
      </c>
      <c r="J389" s="33" t="str">
        <f>IF($Y389&lt;&gt;1,"",INDEX(Comenzi!$AG:$AG,$X389)*$I389/$E389)</f>
        <v/>
      </c>
      <c r="K389" s="33" t="str">
        <f t="shared" si="66"/>
        <v/>
      </c>
      <c r="L389" s="33" t="str">
        <f>IF($Y389&lt;&gt;1,"",$K389*$AD389+INDEX(Comenzi!$AJ:$AJ,$X389)*$I389/$E389)</f>
        <v/>
      </c>
      <c r="M389" s="33" t="str">
        <f t="shared" si="67"/>
        <v/>
      </c>
      <c r="N389" s="33" t="str">
        <f t="shared" si="68"/>
        <v/>
      </c>
      <c r="O389" s="33" t="str">
        <f>IF($Y389&lt;&gt;1,"",(INDEX(Comenzi!$AK:$AK,$X389)+N(INDEX(Comenzi!$T:$T,$X389)))*$I389/$E389)</f>
        <v/>
      </c>
      <c r="P389" s="35" t="str">
        <f t="shared" si="69"/>
        <v/>
      </c>
      <c r="Q389" s="36" t="str">
        <f t="shared" si="70"/>
        <v/>
      </c>
      <c r="R389" s="37" t="str">
        <f t="shared" si="71"/>
        <v/>
      </c>
      <c r="S389" s="38" t="str">
        <f t="shared" si="72"/>
        <v/>
      </c>
      <c r="T389" s="39" t="str">
        <f t="shared" si="73"/>
        <v/>
      </c>
      <c r="U389" s="40" t="str">
        <f t="shared" si="74"/>
        <v/>
      </c>
      <c r="V389" s="33" t="str">
        <f t="shared" si="75"/>
        <v/>
      </c>
      <c r="W389" s="33" t="str">
        <f t="shared" si="76"/>
        <v/>
      </c>
      <c r="X389" s="41" t="str">
        <f>IF($A389="","",IFERROR(MATCH($A389,Comenzi!$A$9:$A$108,0)+8,""))</f>
        <v/>
      </c>
      <c r="Y389" s="41" t="str">
        <f t="shared" si="77"/>
        <v/>
      </c>
      <c r="Z389" s="42" t="str">
        <f>IF($A389="","",IF($A389="?","Lipseste ID-ul comenzii (col. A din PI Furnizor)",IF(NOT(ISNUMBER($X389)),"ID comanda negasit in foaia Comenzi",IF(N($E389)&lt;=0,"Lipseste cantitatea",IF(N($G389)=0,"Pret unitar lipsa",IF($Y389&lt;&gt;1,"Curs sau moneda marfa lipsa (foaia Comenzi)",IF(INDEX(Comenzi!$AT:$AT,$X389)&lt;&gt;"OK","Avertisment comanda: "&amp;INDEX(Comenzi!$AT:$AT,$X389),"OK")))))))</f>
        <v/>
      </c>
      <c r="AA389" s="43" t="str">
        <f>IF(ISNUMBER($X389),INDEX(Comenzi!$H:$H,$X389),"")</f>
        <v/>
      </c>
      <c r="AB389" s="43" t="str">
        <f>IF(ISNUMBER($X389),INDEX(Comenzi!$I:$I,$X389),"")</f>
        <v/>
      </c>
      <c r="AC389" s="44" t="str">
        <f>IF(ISNUMBER($X389),IF(INDEX(Comenzi!$V:$V,$X389)="",Comenzi!$D$3,INDEX(Comenzi!$V:$V,$X389)),"")</f>
        <v/>
      </c>
      <c r="AD389" s="44" t="str">
        <f>IF(ISNUMBER($X389),IF(INDEX(Comenzi!$U:$U,$X389)="",Comenzi!$D$4,INDEX(Comenzi!$U:$U,$X389)),"")</f>
        <v/>
      </c>
      <c r="AE389" s="45" t="str">
        <f>IF($Y389&lt;&gt;1,"",IF(INDEX(Comenzi!$AM:$AM,$X389)="Greutate",INDEX('PI Furnizor'!$O:$O,ROW()-3),IF(INDEX(Comenzi!$AM:$AM,$X389)="Volum (CBM)",INDEX('PI Furnizor'!$Q:$Q,ROW()-3),IF(INDEX(Comenzi!$AM:$AM,$X389)="Valoare marfa",INDEX('PI Furnizor'!$N:$N,ROW()-3),$E389))))</f>
        <v/>
      </c>
    </row>
    <row r="390" spans="1:31" x14ac:dyDescent="0.3">
      <c r="A390" s="28" t="str">
        <f>IF(COUNTA(INDEX('PI Furnizor'!$A:$E,ROW()-3,0))=0,"",IF(INDEX('PI Furnizor'!$A:$A,ROW()-3)="","?",INDEX('PI Furnizor'!$A:$A,ROW()-3)))</f>
        <v/>
      </c>
      <c r="B390" s="29" t="str">
        <f>IF(ISNUMBER($X390),INDEX(Comenzi!$B:$B,$X390),"")</f>
        <v/>
      </c>
      <c r="C390" s="28" t="str">
        <f>IF($A390="","",INDEX('PI Furnizor'!$B:$B,ROW()-3)&amp;"")</f>
        <v/>
      </c>
      <c r="D390" s="28" t="str">
        <f>IF($A390="","",INDEX('PI Furnizor'!$C:$C,ROW()-3)&amp;"")</f>
        <v/>
      </c>
      <c r="E390" s="30" t="str">
        <f>IF($A390="","",N(INDEX('PI Furnizor'!$D:$D,ROW()-3)))</f>
        <v/>
      </c>
      <c r="F390" s="31" t="str">
        <f>IF(ISNUMBER($X390),INDEX(Comenzi!$G:$G,$X390),"")</f>
        <v/>
      </c>
      <c r="G390" s="32" t="str">
        <f>IF($A390="","",N(INDEX('PI Furnizor'!$E:$E,ROW()-3)))</f>
        <v/>
      </c>
      <c r="H390" s="33" t="str">
        <f t="shared" si="65"/>
        <v/>
      </c>
      <c r="I390" s="34" t="str">
        <f>IF($Y390&lt;&gt;1,"",IFERROR($AE390/INDEX(Comenzi!$AN:$AN,$X390),0))</f>
        <v/>
      </c>
      <c r="J390" s="33" t="str">
        <f>IF($Y390&lt;&gt;1,"",INDEX(Comenzi!$AG:$AG,$X390)*$I390/$E390)</f>
        <v/>
      </c>
      <c r="K390" s="33" t="str">
        <f t="shared" si="66"/>
        <v/>
      </c>
      <c r="L390" s="33" t="str">
        <f>IF($Y390&lt;&gt;1,"",$K390*$AD390+INDEX(Comenzi!$AJ:$AJ,$X390)*$I390/$E390)</f>
        <v/>
      </c>
      <c r="M390" s="33" t="str">
        <f t="shared" si="67"/>
        <v/>
      </c>
      <c r="N390" s="33" t="str">
        <f t="shared" si="68"/>
        <v/>
      </c>
      <c r="O390" s="33" t="str">
        <f>IF($Y390&lt;&gt;1,"",(INDEX(Comenzi!$AK:$AK,$X390)+N(INDEX(Comenzi!$T:$T,$X390)))*$I390/$E390)</f>
        <v/>
      </c>
      <c r="P390" s="35" t="str">
        <f t="shared" si="69"/>
        <v/>
      </c>
      <c r="Q390" s="36" t="str">
        <f t="shared" si="70"/>
        <v/>
      </c>
      <c r="R390" s="37" t="str">
        <f t="shared" si="71"/>
        <v/>
      </c>
      <c r="S390" s="38" t="str">
        <f t="shared" si="72"/>
        <v/>
      </c>
      <c r="T390" s="39" t="str">
        <f t="shared" si="73"/>
        <v/>
      </c>
      <c r="U390" s="40" t="str">
        <f t="shared" si="74"/>
        <v/>
      </c>
      <c r="V390" s="33" t="str">
        <f t="shared" si="75"/>
        <v/>
      </c>
      <c r="W390" s="33" t="str">
        <f t="shared" si="76"/>
        <v/>
      </c>
      <c r="X390" s="41" t="str">
        <f>IF($A390="","",IFERROR(MATCH($A390,Comenzi!$A$9:$A$108,0)+8,""))</f>
        <v/>
      </c>
      <c r="Y390" s="41" t="str">
        <f t="shared" si="77"/>
        <v/>
      </c>
      <c r="Z390" s="42" t="str">
        <f>IF($A390="","",IF($A390="?","Lipseste ID-ul comenzii (col. A din PI Furnizor)",IF(NOT(ISNUMBER($X390)),"ID comanda negasit in foaia Comenzi",IF(N($E390)&lt;=0,"Lipseste cantitatea",IF(N($G390)=0,"Pret unitar lipsa",IF($Y390&lt;&gt;1,"Curs sau moneda marfa lipsa (foaia Comenzi)",IF(INDEX(Comenzi!$AT:$AT,$X390)&lt;&gt;"OK","Avertisment comanda: "&amp;INDEX(Comenzi!$AT:$AT,$X390),"OK")))))))</f>
        <v/>
      </c>
      <c r="AA390" s="43" t="str">
        <f>IF(ISNUMBER($X390),INDEX(Comenzi!$H:$H,$X390),"")</f>
        <v/>
      </c>
      <c r="AB390" s="43" t="str">
        <f>IF(ISNUMBER($X390),INDEX(Comenzi!$I:$I,$X390),"")</f>
        <v/>
      </c>
      <c r="AC390" s="44" t="str">
        <f>IF(ISNUMBER($X390),IF(INDEX(Comenzi!$V:$V,$X390)="",Comenzi!$D$3,INDEX(Comenzi!$V:$V,$X390)),"")</f>
        <v/>
      </c>
      <c r="AD390" s="44" t="str">
        <f>IF(ISNUMBER($X390),IF(INDEX(Comenzi!$U:$U,$X390)="",Comenzi!$D$4,INDEX(Comenzi!$U:$U,$X390)),"")</f>
        <v/>
      </c>
      <c r="AE390" s="45" t="str">
        <f>IF($Y390&lt;&gt;1,"",IF(INDEX(Comenzi!$AM:$AM,$X390)="Greutate",INDEX('PI Furnizor'!$O:$O,ROW()-3),IF(INDEX(Comenzi!$AM:$AM,$X390)="Volum (CBM)",INDEX('PI Furnizor'!$Q:$Q,ROW()-3),IF(INDEX(Comenzi!$AM:$AM,$X390)="Valoare marfa",INDEX('PI Furnizor'!$N:$N,ROW()-3),$E390))))</f>
        <v/>
      </c>
    </row>
    <row r="391" spans="1:31" x14ac:dyDescent="0.3">
      <c r="A391" s="28" t="str">
        <f>IF(COUNTA(INDEX('PI Furnizor'!$A:$E,ROW()-3,0))=0,"",IF(INDEX('PI Furnizor'!$A:$A,ROW()-3)="","?",INDEX('PI Furnizor'!$A:$A,ROW()-3)))</f>
        <v/>
      </c>
      <c r="B391" s="29" t="str">
        <f>IF(ISNUMBER($X391),INDEX(Comenzi!$B:$B,$X391),"")</f>
        <v/>
      </c>
      <c r="C391" s="28" t="str">
        <f>IF($A391="","",INDEX('PI Furnizor'!$B:$B,ROW()-3)&amp;"")</f>
        <v/>
      </c>
      <c r="D391" s="28" t="str">
        <f>IF($A391="","",INDEX('PI Furnizor'!$C:$C,ROW()-3)&amp;"")</f>
        <v/>
      </c>
      <c r="E391" s="30" t="str">
        <f>IF($A391="","",N(INDEX('PI Furnizor'!$D:$D,ROW()-3)))</f>
        <v/>
      </c>
      <c r="F391" s="31" t="str">
        <f>IF(ISNUMBER($X391),INDEX(Comenzi!$G:$G,$X391),"")</f>
        <v/>
      </c>
      <c r="G391" s="32" t="str">
        <f>IF($A391="","",N(INDEX('PI Furnizor'!$E:$E,ROW()-3)))</f>
        <v/>
      </c>
      <c r="H391" s="33" t="str">
        <f t="shared" si="65"/>
        <v/>
      </c>
      <c r="I391" s="34" t="str">
        <f>IF($Y391&lt;&gt;1,"",IFERROR($AE391/INDEX(Comenzi!$AN:$AN,$X391),0))</f>
        <v/>
      </c>
      <c r="J391" s="33" t="str">
        <f>IF($Y391&lt;&gt;1,"",INDEX(Comenzi!$AG:$AG,$X391)*$I391/$E391)</f>
        <v/>
      </c>
      <c r="K391" s="33" t="str">
        <f t="shared" si="66"/>
        <v/>
      </c>
      <c r="L391" s="33" t="str">
        <f>IF($Y391&lt;&gt;1,"",$K391*$AD391+INDEX(Comenzi!$AJ:$AJ,$X391)*$I391/$E391)</f>
        <v/>
      </c>
      <c r="M391" s="33" t="str">
        <f t="shared" si="67"/>
        <v/>
      </c>
      <c r="N391" s="33" t="str">
        <f t="shared" si="68"/>
        <v/>
      </c>
      <c r="O391" s="33" t="str">
        <f>IF($Y391&lt;&gt;1,"",(INDEX(Comenzi!$AK:$AK,$X391)+N(INDEX(Comenzi!$T:$T,$X391)))*$I391/$E391)</f>
        <v/>
      </c>
      <c r="P391" s="35" t="str">
        <f t="shared" si="69"/>
        <v/>
      </c>
      <c r="Q391" s="36" t="str">
        <f t="shared" si="70"/>
        <v/>
      </c>
      <c r="R391" s="37" t="str">
        <f t="shared" si="71"/>
        <v/>
      </c>
      <c r="S391" s="38" t="str">
        <f t="shared" si="72"/>
        <v/>
      </c>
      <c r="T391" s="39" t="str">
        <f t="shared" si="73"/>
        <v/>
      </c>
      <c r="U391" s="40" t="str">
        <f t="shared" si="74"/>
        <v/>
      </c>
      <c r="V391" s="33" t="str">
        <f t="shared" si="75"/>
        <v/>
      </c>
      <c r="W391" s="33" t="str">
        <f t="shared" si="76"/>
        <v/>
      </c>
      <c r="X391" s="41" t="str">
        <f>IF($A391="","",IFERROR(MATCH($A391,Comenzi!$A$9:$A$108,0)+8,""))</f>
        <v/>
      </c>
      <c r="Y391" s="41" t="str">
        <f t="shared" si="77"/>
        <v/>
      </c>
      <c r="Z391" s="42" t="str">
        <f>IF($A391="","",IF($A391="?","Lipseste ID-ul comenzii (col. A din PI Furnizor)",IF(NOT(ISNUMBER($X391)),"ID comanda negasit in foaia Comenzi",IF(N($E391)&lt;=0,"Lipseste cantitatea",IF(N($G391)=0,"Pret unitar lipsa",IF($Y391&lt;&gt;1,"Curs sau moneda marfa lipsa (foaia Comenzi)",IF(INDEX(Comenzi!$AT:$AT,$X391)&lt;&gt;"OK","Avertisment comanda: "&amp;INDEX(Comenzi!$AT:$AT,$X391),"OK")))))))</f>
        <v/>
      </c>
      <c r="AA391" s="43" t="str">
        <f>IF(ISNUMBER($X391),INDEX(Comenzi!$H:$H,$X391),"")</f>
        <v/>
      </c>
      <c r="AB391" s="43" t="str">
        <f>IF(ISNUMBER($X391),INDEX(Comenzi!$I:$I,$X391),"")</f>
        <v/>
      </c>
      <c r="AC391" s="44" t="str">
        <f>IF(ISNUMBER($X391),IF(INDEX(Comenzi!$V:$V,$X391)="",Comenzi!$D$3,INDEX(Comenzi!$V:$V,$X391)),"")</f>
        <v/>
      </c>
      <c r="AD391" s="44" t="str">
        <f>IF(ISNUMBER($X391),IF(INDEX(Comenzi!$U:$U,$X391)="",Comenzi!$D$4,INDEX(Comenzi!$U:$U,$X391)),"")</f>
        <v/>
      </c>
      <c r="AE391" s="45" t="str">
        <f>IF($Y391&lt;&gt;1,"",IF(INDEX(Comenzi!$AM:$AM,$X391)="Greutate",INDEX('PI Furnizor'!$O:$O,ROW()-3),IF(INDEX(Comenzi!$AM:$AM,$X391)="Volum (CBM)",INDEX('PI Furnizor'!$Q:$Q,ROW()-3),IF(INDEX(Comenzi!$AM:$AM,$X391)="Valoare marfa",INDEX('PI Furnizor'!$N:$N,ROW()-3),$E391))))</f>
        <v/>
      </c>
    </row>
    <row r="392" spans="1:31" x14ac:dyDescent="0.3">
      <c r="A392" s="28" t="str">
        <f>IF(COUNTA(INDEX('PI Furnizor'!$A:$E,ROW()-3,0))=0,"",IF(INDEX('PI Furnizor'!$A:$A,ROW()-3)="","?",INDEX('PI Furnizor'!$A:$A,ROW()-3)))</f>
        <v/>
      </c>
      <c r="B392" s="29" t="str">
        <f>IF(ISNUMBER($X392),INDEX(Comenzi!$B:$B,$X392),"")</f>
        <v/>
      </c>
      <c r="C392" s="28" t="str">
        <f>IF($A392="","",INDEX('PI Furnizor'!$B:$B,ROW()-3)&amp;"")</f>
        <v/>
      </c>
      <c r="D392" s="28" t="str">
        <f>IF($A392="","",INDEX('PI Furnizor'!$C:$C,ROW()-3)&amp;"")</f>
        <v/>
      </c>
      <c r="E392" s="30" t="str">
        <f>IF($A392="","",N(INDEX('PI Furnizor'!$D:$D,ROW()-3)))</f>
        <v/>
      </c>
      <c r="F392" s="31" t="str">
        <f>IF(ISNUMBER($X392),INDEX(Comenzi!$G:$G,$X392),"")</f>
        <v/>
      </c>
      <c r="G392" s="32" t="str">
        <f>IF($A392="","",N(INDEX('PI Furnizor'!$E:$E,ROW()-3)))</f>
        <v/>
      </c>
      <c r="H392" s="33" t="str">
        <f t="shared" si="65"/>
        <v/>
      </c>
      <c r="I392" s="34" t="str">
        <f>IF($Y392&lt;&gt;1,"",IFERROR($AE392/INDEX(Comenzi!$AN:$AN,$X392),0))</f>
        <v/>
      </c>
      <c r="J392" s="33" t="str">
        <f>IF($Y392&lt;&gt;1,"",INDEX(Comenzi!$AG:$AG,$X392)*$I392/$E392)</f>
        <v/>
      </c>
      <c r="K392" s="33" t="str">
        <f t="shared" si="66"/>
        <v/>
      </c>
      <c r="L392" s="33" t="str">
        <f>IF($Y392&lt;&gt;1,"",$K392*$AD392+INDEX(Comenzi!$AJ:$AJ,$X392)*$I392/$E392)</f>
        <v/>
      </c>
      <c r="M392" s="33" t="str">
        <f t="shared" si="67"/>
        <v/>
      </c>
      <c r="N392" s="33" t="str">
        <f t="shared" si="68"/>
        <v/>
      </c>
      <c r="O392" s="33" t="str">
        <f>IF($Y392&lt;&gt;1,"",(INDEX(Comenzi!$AK:$AK,$X392)+N(INDEX(Comenzi!$T:$T,$X392)))*$I392/$E392)</f>
        <v/>
      </c>
      <c r="P392" s="35" t="str">
        <f t="shared" si="69"/>
        <v/>
      </c>
      <c r="Q392" s="36" t="str">
        <f t="shared" si="70"/>
        <v/>
      </c>
      <c r="R392" s="37" t="str">
        <f t="shared" si="71"/>
        <v/>
      </c>
      <c r="S392" s="38" t="str">
        <f t="shared" si="72"/>
        <v/>
      </c>
      <c r="T392" s="39" t="str">
        <f t="shared" si="73"/>
        <v/>
      </c>
      <c r="U392" s="40" t="str">
        <f t="shared" si="74"/>
        <v/>
      </c>
      <c r="V392" s="33" t="str">
        <f t="shared" si="75"/>
        <v/>
      </c>
      <c r="W392" s="33" t="str">
        <f t="shared" si="76"/>
        <v/>
      </c>
      <c r="X392" s="41" t="str">
        <f>IF($A392="","",IFERROR(MATCH($A392,Comenzi!$A$9:$A$108,0)+8,""))</f>
        <v/>
      </c>
      <c r="Y392" s="41" t="str">
        <f t="shared" si="77"/>
        <v/>
      </c>
      <c r="Z392" s="42" t="str">
        <f>IF($A392="","",IF($A392="?","Lipseste ID-ul comenzii (col. A din PI Furnizor)",IF(NOT(ISNUMBER($X392)),"ID comanda negasit in foaia Comenzi",IF(N($E392)&lt;=0,"Lipseste cantitatea",IF(N($G392)=0,"Pret unitar lipsa",IF($Y392&lt;&gt;1,"Curs sau moneda marfa lipsa (foaia Comenzi)",IF(INDEX(Comenzi!$AT:$AT,$X392)&lt;&gt;"OK","Avertisment comanda: "&amp;INDEX(Comenzi!$AT:$AT,$X392),"OK")))))))</f>
        <v/>
      </c>
      <c r="AA392" s="43" t="str">
        <f>IF(ISNUMBER($X392),INDEX(Comenzi!$H:$H,$X392),"")</f>
        <v/>
      </c>
      <c r="AB392" s="43" t="str">
        <f>IF(ISNUMBER($X392),INDEX(Comenzi!$I:$I,$X392),"")</f>
        <v/>
      </c>
      <c r="AC392" s="44" t="str">
        <f>IF(ISNUMBER($X392),IF(INDEX(Comenzi!$V:$V,$X392)="",Comenzi!$D$3,INDEX(Comenzi!$V:$V,$X392)),"")</f>
        <v/>
      </c>
      <c r="AD392" s="44" t="str">
        <f>IF(ISNUMBER($X392),IF(INDEX(Comenzi!$U:$U,$X392)="",Comenzi!$D$4,INDEX(Comenzi!$U:$U,$X392)),"")</f>
        <v/>
      </c>
      <c r="AE392" s="45" t="str">
        <f>IF($Y392&lt;&gt;1,"",IF(INDEX(Comenzi!$AM:$AM,$X392)="Greutate",INDEX('PI Furnizor'!$O:$O,ROW()-3),IF(INDEX(Comenzi!$AM:$AM,$X392)="Volum (CBM)",INDEX('PI Furnizor'!$Q:$Q,ROW()-3),IF(INDEX(Comenzi!$AM:$AM,$X392)="Valoare marfa",INDEX('PI Furnizor'!$N:$N,ROW()-3),$E392))))</f>
        <v/>
      </c>
    </row>
    <row r="393" spans="1:31" x14ac:dyDescent="0.3">
      <c r="A393" s="28" t="str">
        <f>IF(COUNTA(INDEX('PI Furnizor'!$A:$E,ROW()-3,0))=0,"",IF(INDEX('PI Furnizor'!$A:$A,ROW()-3)="","?",INDEX('PI Furnizor'!$A:$A,ROW()-3)))</f>
        <v/>
      </c>
      <c r="B393" s="29" t="str">
        <f>IF(ISNUMBER($X393),INDEX(Comenzi!$B:$B,$X393),"")</f>
        <v/>
      </c>
      <c r="C393" s="28" t="str">
        <f>IF($A393="","",INDEX('PI Furnizor'!$B:$B,ROW()-3)&amp;"")</f>
        <v/>
      </c>
      <c r="D393" s="28" t="str">
        <f>IF($A393="","",INDEX('PI Furnizor'!$C:$C,ROW()-3)&amp;"")</f>
        <v/>
      </c>
      <c r="E393" s="30" t="str">
        <f>IF($A393="","",N(INDEX('PI Furnizor'!$D:$D,ROW()-3)))</f>
        <v/>
      </c>
      <c r="F393" s="31" t="str">
        <f>IF(ISNUMBER($X393),INDEX(Comenzi!$G:$G,$X393),"")</f>
        <v/>
      </c>
      <c r="G393" s="32" t="str">
        <f>IF($A393="","",N(INDEX('PI Furnizor'!$E:$E,ROW()-3)))</f>
        <v/>
      </c>
      <c r="H393" s="33" t="str">
        <f t="shared" si="65"/>
        <v/>
      </c>
      <c r="I393" s="34" t="str">
        <f>IF($Y393&lt;&gt;1,"",IFERROR($AE393/INDEX(Comenzi!$AN:$AN,$X393),0))</f>
        <v/>
      </c>
      <c r="J393" s="33" t="str">
        <f>IF($Y393&lt;&gt;1,"",INDEX(Comenzi!$AG:$AG,$X393)*$I393/$E393)</f>
        <v/>
      </c>
      <c r="K393" s="33" t="str">
        <f t="shared" si="66"/>
        <v/>
      </c>
      <c r="L393" s="33" t="str">
        <f>IF($Y393&lt;&gt;1,"",$K393*$AD393+INDEX(Comenzi!$AJ:$AJ,$X393)*$I393/$E393)</f>
        <v/>
      </c>
      <c r="M393" s="33" t="str">
        <f t="shared" si="67"/>
        <v/>
      </c>
      <c r="N393" s="33" t="str">
        <f t="shared" si="68"/>
        <v/>
      </c>
      <c r="O393" s="33" t="str">
        <f>IF($Y393&lt;&gt;1,"",(INDEX(Comenzi!$AK:$AK,$X393)+N(INDEX(Comenzi!$T:$T,$X393)))*$I393/$E393)</f>
        <v/>
      </c>
      <c r="P393" s="35" t="str">
        <f t="shared" si="69"/>
        <v/>
      </c>
      <c r="Q393" s="36" t="str">
        <f t="shared" si="70"/>
        <v/>
      </c>
      <c r="R393" s="37" t="str">
        <f t="shared" si="71"/>
        <v/>
      </c>
      <c r="S393" s="38" t="str">
        <f t="shared" si="72"/>
        <v/>
      </c>
      <c r="T393" s="39" t="str">
        <f t="shared" si="73"/>
        <v/>
      </c>
      <c r="U393" s="40" t="str">
        <f t="shared" si="74"/>
        <v/>
      </c>
      <c r="V393" s="33" t="str">
        <f t="shared" si="75"/>
        <v/>
      </c>
      <c r="W393" s="33" t="str">
        <f t="shared" si="76"/>
        <v/>
      </c>
      <c r="X393" s="41" t="str">
        <f>IF($A393="","",IFERROR(MATCH($A393,Comenzi!$A$9:$A$108,0)+8,""))</f>
        <v/>
      </c>
      <c r="Y393" s="41" t="str">
        <f t="shared" si="77"/>
        <v/>
      </c>
      <c r="Z393" s="42" t="str">
        <f>IF($A393="","",IF($A393="?","Lipseste ID-ul comenzii (col. A din PI Furnizor)",IF(NOT(ISNUMBER($X393)),"ID comanda negasit in foaia Comenzi",IF(N($E393)&lt;=0,"Lipseste cantitatea",IF(N($G393)=0,"Pret unitar lipsa",IF($Y393&lt;&gt;1,"Curs sau moneda marfa lipsa (foaia Comenzi)",IF(INDEX(Comenzi!$AT:$AT,$X393)&lt;&gt;"OK","Avertisment comanda: "&amp;INDEX(Comenzi!$AT:$AT,$X393),"OK")))))))</f>
        <v/>
      </c>
      <c r="AA393" s="43" t="str">
        <f>IF(ISNUMBER($X393),INDEX(Comenzi!$H:$H,$X393),"")</f>
        <v/>
      </c>
      <c r="AB393" s="43" t="str">
        <f>IF(ISNUMBER($X393),INDEX(Comenzi!$I:$I,$X393),"")</f>
        <v/>
      </c>
      <c r="AC393" s="44" t="str">
        <f>IF(ISNUMBER($X393),IF(INDEX(Comenzi!$V:$V,$X393)="",Comenzi!$D$3,INDEX(Comenzi!$V:$V,$X393)),"")</f>
        <v/>
      </c>
      <c r="AD393" s="44" t="str">
        <f>IF(ISNUMBER($X393),IF(INDEX(Comenzi!$U:$U,$X393)="",Comenzi!$D$4,INDEX(Comenzi!$U:$U,$X393)),"")</f>
        <v/>
      </c>
      <c r="AE393" s="45" t="str">
        <f>IF($Y393&lt;&gt;1,"",IF(INDEX(Comenzi!$AM:$AM,$X393)="Greutate",INDEX('PI Furnizor'!$O:$O,ROW()-3),IF(INDEX(Comenzi!$AM:$AM,$X393)="Volum (CBM)",INDEX('PI Furnizor'!$Q:$Q,ROW()-3),IF(INDEX(Comenzi!$AM:$AM,$X393)="Valoare marfa",INDEX('PI Furnizor'!$N:$N,ROW()-3),$E393))))</f>
        <v/>
      </c>
    </row>
    <row r="394" spans="1:31" x14ac:dyDescent="0.3">
      <c r="A394" s="28" t="str">
        <f>IF(COUNTA(INDEX('PI Furnizor'!$A:$E,ROW()-3,0))=0,"",IF(INDEX('PI Furnizor'!$A:$A,ROW()-3)="","?",INDEX('PI Furnizor'!$A:$A,ROW()-3)))</f>
        <v/>
      </c>
      <c r="B394" s="29" t="str">
        <f>IF(ISNUMBER($X394),INDEX(Comenzi!$B:$B,$X394),"")</f>
        <v/>
      </c>
      <c r="C394" s="28" t="str">
        <f>IF($A394="","",INDEX('PI Furnizor'!$B:$B,ROW()-3)&amp;"")</f>
        <v/>
      </c>
      <c r="D394" s="28" t="str">
        <f>IF($A394="","",INDEX('PI Furnizor'!$C:$C,ROW()-3)&amp;"")</f>
        <v/>
      </c>
      <c r="E394" s="30" t="str">
        <f>IF($A394="","",N(INDEX('PI Furnizor'!$D:$D,ROW()-3)))</f>
        <v/>
      </c>
      <c r="F394" s="31" t="str">
        <f>IF(ISNUMBER($X394),INDEX(Comenzi!$G:$G,$X394),"")</f>
        <v/>
      </c>
      <c r="G394" s="32" t="str">
        <f>IF($A394="","",N(INDEX('PI Furnizor'!$E:$E,ROW()-3)))</f>
        <v/>
      </c>
      <c r="H394" s="33" t="str">
        <f t="shared" ref="H394:H457" si="78">IF($Y394&lt;&gt;1,"",$G394*IF($F394="USD",$AA394,IF($F394="EUR",$AB394,1)))</f>
        <v/>
      </c>
      <c r="I394" s="34" t="str">
        <f>IF($Y394&lt;&gt;1,"",IFERROR($AE394/INDEX(Comenzi!$AN:$AN,$X394),0))</f>
        <v/>
      </c>
      <c r="J394" s="33" t="str">
        <f>IF($Y394&lt;&gt;1,"",INDEX(Comenzi!$AG:$AG,$X394)*$I394/$E394)</f>
        <v/>
      </c>
      <c r="K394" s="33" t="str">
        <f t="shared" ref="K394:K457" si="79">IF($Y394&lt;&gt;1,"",$H394+$J394)</f>
        <v/>
      </c>
      <c r="L394" s="33" t="str">
        <f>IF($Y394&lt;&gt;1,"",$K394*$AD394+INDEX(Comenzi!$AJ:$AJ,$X394)*$I394/$E394)</f>
        <v/>
      </c>
      <c r="M394" s="33" t="str">
        <f t="shared" ref="M394:M457" si="80">IF($Y394&lt;&gt;1,"",$K394+$L394)</f>
        <v/>
      </c>
      <c r="N394" s="33" t="str">
        <f t="shared" ref="N394:N457" si="81">IF($Y394&lt;&gt;1,"",$M394*$AC394)</f>
        <v/>
      </c>
      <c r="O394" s="33" t="str">
        <f>IF($Y394&lt;&gt;1,"",(INDEX(Comenzi!$AK:$AK,$X394)+N(INDEX(Comenzi!$T:$T,$X394)))*$I394/$E394)</f>
        <v/>
      </c>
      <c r="P394" s="35" t="str">
        <f t="shared" ref="P394:P457" si="82">IF($Y394&lt;&gt;1,"",$M394+$O394)</f>
        <v/>
      </c>
      <c r="Q394" s="36" t="str">
        <f t="shared" ref="Q394:Q457" si="83">IF($Y394&lt;&gt;1,"",$P394/$AB394)</f>
        <v/>
      </c>
      <c r="R394" s="37" t="str">
        <f t="shared" ref="R394:R457" si="84">IF($Y394&lt;&gt;1,"",$P394/$AA394)</f>
        <v/>
      </c>
      <c r="S394" s="38" t="str">
        <f t="shared" ref="S394:S457" si="85">IF($Y394&lt;&gt;1,"",$P394+$N394)</f>
        <v/>
      </c>
      <c r="T394" s="39" t="str">
        <f t="shared" ref="T394:T457" si="86">IF($Y394&lt;&gt;1,"",$S394/$AB394)</f>
        <v/>
      </c>
      <c r="U394" s="40" t="str">
        <f t="shared" ref="U394:U457" si="87">IF($Y394&lt;&gt;1,"",$S394/$AA394)</f>
        <v/>
      </c>
      <c r="V394" s="33" t="str">
        <f t="shared" ref="V394:V457" si="88">IF($Y394&lt;&gt;1,"",$P394*$E394)</f>
        <v/>
      </c>
      <c r="W394" s="33" t="str">
        <f t="shared" ref="W394:W457" si="89">IF($Y394&lt;&gt;1,"",$S394*$E394)</f>
        <v/>
      </c>
      <c r="X394" s="41" t="str">
        <f>IF($A394="","",IFERROR(MATCH($A394,Comenzi!$A$9:$A$108,0)+8,""))</f>
        <v/>
      </c>
      <c r="Y394" s="41" t="str">
        <f t="shared" ref="Y394:Y457" si="90">IF($A394="","",IF(AND(ISNUMBER($X394),N($E394)&gt;0,N($AA394)&gt;0,N($AB394)&gt;0,OR($F394="USD",$F394="EUR",$F394="RON")),1,0))</f>
        <v/>
      </c>
      <c r="Z394" s="42" t="str">
        <f>IF($A394="","",IF($A394="?","Lipseste ID-ul comenzii (col. A din PI Furnizor)",IF(NOT(ISNUMBER($X394)),"ID comanda negasit in foaia Comenzi",IF(N($E394)&lt;=0,"Lipseste cantitatea",IF(N($G394)=0,"Pret unitar lipsa",IF($Y394&lt;&gt;1,"Curs sau moneda marfa lipsa (foaia Comenzi)",IF(INDEX(Comenzi!$AT:$AT,$X394)&lt;&gt;"OK","Avertisment comanda: "&amp;INDEX(Comenzi!$AT:$AT,$X394),"OK")))))))</f>
        <v/>
      </c>
      <c r="AA394" s="43" t="str">
        <f>IF(ISNUMBER($X394),INDEX(Comenzi!$H:$H,$X394),"")</f>
        <v/>
      </c>
      <c r="AB394" s="43" t="str">
        <f>IF(ISNUMBER($X394),INDEX(Comenzi!$I:$I,$X394),"")</f>
        <v/>
      </c>
      <c r="AC394" s="44" t="str">
        <f>IF(ISNUMBER($X394),IF(INDEX(Comenzi!$V:$V,$X394)="",Comenzi!$D$3,INDEX(Comenzi!$V:$V,$X394)),"")</f>
        <v/>
      </c>
      <c r="AD394" s="44" t="str">
        <f>IF(ISNUMBER($X394),IF(INDEX(Comenzi!$U:$U,$X394)="",Comenzi!$D$4,INDEX(Comenzi!$U:$U,$X394)),"")</f>
        <v/>
      </c>
      <c r="AE394" s="45" t="str">
        <f>IF($Y394&lt;&gt;1,"",IF(INDEX(Comenzi!$AM:$AM,$X394)="Greutate",INDEX('PI Furnizor'!$O:$O,ROW()-3),IF(INDEX(Comenzi!$AM:$AM,$X394)="Volum (CBM)",INDEX('PI Furnizor'!$Q:$Q,ROW()-3),IF(INDEX(Comenzi!$AM:$AM,$X394)="Valoare marfa",INDEX('PI Furnizor'!$N:$N,ROW()-3),$E394))))</f>
        <v/>
      </c>
    </row>
    <row r="395" spans="1:31" x14ac:dyDescent="0.3">
      <c r="A395" s="28" t="str">
        <f>IF(COUNTA(INDEX('PI Furnizor'!$A:$E,ROW()-3,0))=0,"",IF(INDEX('PI Furnizor'!$A:$A,ROW()-3)="","?",INDEX('PI Furnizor'!$A:$A,ROW()-3)))</f>
        <v/>
      </c>
      <c r="B395" s="29" t="str">
        <f>IF(ISNUMBER($X395),INDEX(Comenzi!$B:$B,$X395),"")</f>
        <v/>
      </c>
      <c r="C395" s="28" t="str">
        <f>IF($A395="","",INDEX('PI Furnizor'!$B:$B,ROW()-3)&amp;"")</f>
        <v/>
      </c>
      <c r="D395" s="28" t="str">
        <f>IF($A395="","",INDEX('PI Furnizor'!$C:$C,ROW()-3)&amp;"")</f>
        <v/>
      </c>
      <c r="E395" s="30" t="str">
        <f>IF($A395="","",N(INDEX('PI Furnizor'!$D:$D,ROW()-3)))</f>
        <v/>
      </c>
      <c r="F395" s="31" t="str">
        <f>IF(ISNUMBER($X395),INDEX(Comenzi!$G:$G,$X395),"")</f>
        <v/>
      </c>
      <c r="G395" s="32" t="str">
        <f>IF($A395="","",N(INDEX('PI Furnizor'!$E:$E,ROW()-3)))</f>
        <v/>
      </c>
      <c r="H395" s="33" t="str">
        <f t="shared" si="78"/>
        <v/>
      </c>
      <c r="I395" s="34" t="str">
        <f>IF($Y395&lt;&gt;1,"",IFERROR($AE395/INDEX(Comenzi!$AN:$AN,$X395),0))</f>
        <v/>
      </c>
      <c r="J395" s="33" t="str">
        <f>IF($Y395&lt;&gt;1,"",INDEX(Comenzi!$AG:$AG,$X395)*$I395/$E395)</f>
        <v/>
      </c>
      <c r="K395" s="33" t="str">
        <f t="shared" si="79"/>
        <v/>
      </c>
      <c r="L395" s="33" t="str">
        <f>IF($Y395&lt;&gt;1,"",$K395*$AD395+INDEX(Comenzi!$AJ:$AJ,$X395)*$I395/$E395)</f>
        <v/>
      </c>
      <c r="M395" s="33" t="str">
        <f t="shared" si="80"/>
        <v/>
      </c>
      <c r="N395" s="33" t="str">
        <f t="shared" si="81"/>
        <v/>
      </c>
      <c r="O395" s="33" t="str">
        <f>IF($Y395&lt;&gt;1,"",(INDEX(Comenzi!$AK:$AK,$X395)+N(INDEX(Comenzi!$T:$T,$X395)))*$I395/$E395)</f>
        <v/>
      </c>
      <c r="P395" s="35" t="str">
        <f t="shared" si="82"/>
        <v/>
      </c>
      <c r="Q395" s="36" t="str">
        <f t="shared" si="83"/>
        <v/>
      </c>
      <c r="R395" s="37" t="str">
        <f t="shared" si="84"/>
        <v/>
      </c>
      <c r="S395" s="38" t="str">
        <f t="shared" si="85"/>
        <v/>
      </c>
      <c r="T395" s="39" t="str">
        <f t="shared" si="86"/>
        <v/>
      </c>
      <c r="U395" s="40" t="str">
        <f t="shared" si="87"/>
        <v/>
      </c>
      <c r="V395" s="33" t="str">
        <f t="shared" si="88"/>
        <v/>
      </c>
      <c r="W395" s="33" t="str">
        <f t="shared" si="89"/>
        <v/>
      </c>
      <c r="X395" s="41" t="str">
        <f>IF($A395="","",IFERROR(MATCH($A395,Comenzi!$A$9:$A$108,0)+8,""))</f>
        <v/>
      </c>
      <c r="Y395" s="41" t="str">
        <f t="shared" si="90"/>
        <v/>
      </c>
      <c r="Z395" s="42" t="str">
        <f>IF($A395="","",IF($A395="?","Lipseste ID-ul comenzii (col. A din PI Furnizor)",IF(NOT(ISNUMBER($X395)),"ID comanda negasit in foaia Comenzi",IF(N($E395)&lt;=0,"Lipseste cantitatea",IF(N($G395)=0,"Pret unitar lipsa",IF($Y395&lt;&gt;1,"Curs sau moneda marfa lipsa (foaia Comenzi)",IF(INDEX(Comenzi!$AT:$AT,$X395)&lt;&gt;"OK","Avertisment comanda: "&amp;INDEX(Comenzi!$AT:$AT,$X395),"OK")))))))</f>
        <v/>
      </c>
      <c r="AA395" s="43" t="str">
        <f>IF(ISNUMBER($X395),INDEX(Comenzi!$H:$H,$X395),"")</f>
        <v/>
      </c>
      <c r="AB395" s="43" t="str">
        <f>IF(ISNUMBER($X395),INDEX(Comenzi!$I:$I,$X395),"")</f>
        <v/>
      </c>
      <c r="AC395" s="44" t="str">
        <f>IF(ISNUMBER($X395),IF(INDEX(Comenzi!$V:$V,$X395)="",Comenzi!$D$3,INDEX(Comenzi!$V:$V,$X395)),"")</f>
        <v/>
      </c>
      <c r="AD395" s="44" t="str">
        <f>IF(ISNUMBER($X395),IF(INDEX(Comenzi!$U:$U,$X395)="",Comenzi!$D$4,INDEX(Comenzi!$U:$U,$X395)),"")</f>
        <v/>
      </c>
      <c r="AE395" s="45" t="str">
        <f>IF($Y395&lt;&gt;1,"",IF(INDEX(Comenzi!$AM:$AM,$X395)="Greutate",INDEX('PI Furnizor'!$O:$O,ROW()-3),IF(INDEX(Comenzi!$AM:$AM,$X395)="Volum (CBM)",INDEX('PI Furnizor'!$Q:$Q,ROW()-3),IF(INDEX(Comenzi!$AM:$AM,$X395)="Valoare marfa",INDEX('PI Furnizor'!$N:$N,ROW()-3),$E395))))</f>
        <v/>
      </c>
    </row>
    <row r="396" spans="1:31" x14ac:dyDescent="0.3">
      <c r="A396" s="28" t="str">
        <f>IF(COUNTA(INDEX('PI Furnizor'!$A:$E,ROW()-3,0))=0,"",IF(INDEX('PI Furnizor'!$A:$A,ROW()-3)="","?",INDEX('PI Furnizor'!$A:$A,ROW()-3)))</f>
        <v/>
      </c>
      <c r="B396" s="29" t="str">
        <f>IF(ISNUMBER($X396),INDEX(Comenzi!$B:$B,$X396),"")</f>
        <v/>
      </c>
      <c r="C396" s="28" t="str">
        <f>IF($A396="","",INDEX('PI Furnizor'!$B:$B,ROW()-3)&amp;"")</f>
        <v/>
      </c>
      <c r="D396" s="28" t="str">
        <f>IF($A396="","",INDEX('PI Furnizor'!$C:$C,ROW()-3)&amp;"")</f>
        <v/>
      </c>
      <c r="E396" s="30" t="str">
        <f>IF($A396="","",N(INDEX('PI Furnizor'!$D:$D,ROW()-3)))</f>
        <v/>
      </c>
      <c r="F396" s="31" t="str">
        <f>IF(ISNUMBER($X396),INDEX(Comenzi!$G:$G,$X396),"")</f>
        <v/>
      </c>
      <c r="G396" s="32" t="str">
        <f>IF($A396="","",N(INDEX('PI Furnizor'!$E:$E,ROW()-3)))</f>
        <v/>
      </c>
      <c r="H396" s="33" t="str">
        <f t="shared" si="78"/>
        <v/>
      </c>
      <c r="I396" s="34" t="str">
        <f>IF($Y396&lt;&gt;1,"",IFERROR($AE396/INDEX(Comenzi!$AN:$AN,$X396),0))</f>
        <v/>
      </c>
      <c r="J396" s="33" t="str">
        <f>IF($Y396&lt;&gt;1,"",INDEX(Comenzi!$AG:$AG,$X396)*$I396/$E396)</f>
        <v/>
      </c>
      <c r="K396" s="33" t="str">
        <f t="shared" si="79"/>
        <v/>
      </c>
      <c r="L396" s="33" t="str">
        <f>IF($Y396&lt;&gt;1,"",$K396*$AD396+INDEX(Comenzi!$AJ:$AJ,$X396)*$I396/$E396)</f>
        <v/>
      </c>
      <c r="M396" s="33" t="str">
        <f t="shared" si="80"/>
        <v/>
      </c>
      <c r="N396" s="33" t="str">
        <f t="shared" si="81"/>
        <v/>
      </c>
      <c r="O396" s="33" t="str">
        <f>IF($Y396&lt;&gt;1,"",(INDEX(Comenzi!$AK:$AK,$X396)+N(INDEX(Comenzi!$T:$T,$X396)))*$I396/$E396)</f>
        <v/>
      </c>
      <c r="P396" s="35" t="str">
        <f t="shared" si="82"/>
        <v/>
      </c>
      <c r="Q396" s="36" t="str">
        <f t="shared" si="83"/>
        <v/>
      </c>
      <c r="R396" s="37" t="str">
        <f t="shared" si="84"/>
        <v/>
      </c>
      <c r="S396" s="38" t="str">
        <f t="shared" si="85"/>
        <v/>
      </c>
      <c r="T396" s="39" t="str">
        <f t="shared" si="86"/>
        <v/>
      </c>
      <c r="U396" s="40" t="str">
        <f t="shared" si="87"/>
        <v/>
      </c>
      <c r="V396" s="33" t="str">
        <f t="shared" si="88"/>
        <v/>
      </c>
      <c r="W396" s="33" t="str">
        <f t="shared" si="89"/>
        <v/>
      </c>
      <c r="X396" s="41" t="str">
        <f>IF($A396="","",IFERROR(MATCH($A396,Comenzi!$A$9:$A$108,0)+8,""))</f>
        <v/>
      </c>
      <c r="Y396" s="41" t="str">
        <f t="shared" si="90"/>
        <v/>
      </c>
      <c r="Z396" s="42" t="str">
        <f>IF($A396="","",IF($A396="?","Lipseste ID-ul comenzii (col. A din PI Furnizor)",IF(NOT(ISNUMBER($X396)),"ID comanda negasit in foaia Comenzi",IF(N($E396)&lt;=0,"Lipseste cantitatea",IF(N($G396)=0,"Pret unitar lipsa",IF($Y396&lt;&gt;1,"Curs sau moneda marfa lipsa (foaia Comenzi)",IF(INDEX(Comenzi!$AT:$AT,$X396)&lt;&gt;"OK","Avertisment comanda: "&amp;INDEX(Comenzi!$AT:$AT,$X396),"OK")))))))</f>
        <v/>
      </c>
      <c r="AA396" s="43" t="str">
        <f>IF(ISNUMBER($X396),INDEX(Comenzi!$H:$H,$X396),"")</f>
        <v/>
      </c>
      <c r="AB396" s="43" t="str">
        <f>IF(ISNUMBER($X396),INDEX(Comenzi!$I:$I,$X396),"")</f>
        <v/>
      </c>
      <c r="AC396" s="44" t="str">
        <f>IF(ISNUMBER($X396),IF(INDEX(Comenzi!$V:$V,$X396)="",Comenzi!$D$3,INDEX(Comenzi!$V:$V,$X396)),"")</f>
        <v/>
      </c>
      <c r="AD396" s="44" t="str">
        <f>IF(ISNUMBER($X396),IF(INDEX(Comenzi!$U:$U,$X396)="",Comenzi!$D$4,INDEX(Comenzi!$U:$U,$X396)),"")</f>
        <v/>
      </c>
      <c r="AE396" s="45" t="str">
        <f>IF($Y396&lt;&gt;1,"",IF(INDEX(Comenzi!$AM:$AM,$X396)="Greutate",INDEX('PI Furnizor'!$O:$O,ROW()-3),IF(INDEX(Comenzi!$AM:$AM,$X396)="Volum (CBM)",INDEX('PI Furnizor'!$Q:$Q,ROW()-3),IF(INDEX(Comenzi!$AM:$AM,$X396)="Valoare marfa",INDEX('PI Furnizor'!$N:$N,ROW()-3),$E396))))</f>
        <v/>
      </c>
    </row>
    <row r="397" spans="1:31" x14ac:dyDescent="0.3">
      <c r="A397" s="28" t="str">
        <f>IF(COUNTA(INDEX('PI Furnizor'!$A:$E,ROW()-3,0))=0,"",IF(INDEX('PI Furnizor'!$A:$A,ROW()-3)="","?",INDEX('PI Furnizor'!$A:$A,ROW()-3)))</f>
        <v/>
      </c>
      <c r="B397" s="29" t="str">
        <f>IF(ISNUMBER($X397),INDEX(Comenzi!$B:$B,$X397),"")</f>
        <v/>
      </c>
      <c r="C397" s="28" t="str">
        <f>IF($A397="","",INDEX('PI Furnizor'!$B:$B,ROW()-3)&amp;"")</f>
        <v/>
      </c>
      <c r="D397" s="28" t="str">
        <f>IF($A397="","",INDEX('PI Furnizor'!$C:$C,ROW()-3)&amp;"")</f>
        <v/>
      </c>
      <c r="E397" s="30" t="str">
        <f>IF($A397="","",N(INDEX('PI Furnizor'!$D:$D,ROW()-3)))</f>
        <v/>
      </c>
      <c r="F397" s="31" t="str">
        <f>IF(ISNUMBER($X397),INDEX(Comenzi!$G:$G,$X397),"")</f>
        <v/>
      </c>
      <c r="G397" s="32" t="str">
        <f>IF($A397="","",N(INDEX('PI Furnizor'!$E:$E,ROW()-3)))</f>
        <v/>
      </c>
      <c r="H397" s="33" t="str">
        <f t="shared" si="78"/>
        <v/>
      </c>
      <c r="I397" s="34" t="str">
        <f>IF($Y397&lt;&gt;1,"",IFERROR($AE397/INDEX(Comenzi!$AN:$AN,$X397),0))</f>
        <v/>
      </c>
      <c r="J397" s="33" t="str">
        <f>IF($Y397&lt;&gt;1,"",INDEX(Comenzi!$AG:$AG,$X397)*$I397/$E397)</f>
        <v/>
      </c>
      <c r="K397" s="33" t="str">
        <f t="shared" si="79"/>
        <v/>
      </c>
      <c r="L397" s="33" t="str">
        <f>IF($Y397&lt;&gt;1,"",$K397*$AD397+INDEX(Comenzi!$AJ:$AJ,$X397)*$I397/$E397)</f>
        <v/>
      </c>
      <c r="M397" s="33" t="str">
        <f t="shared" si="80"/>
        <v/>
      </c>
      <c r="N397" s="33" t="str">
        <f t="shared" si="81"/>
        <v/>
      </c>
      <c r="O397" s="33" t="str">
        <f>IF($Y397&lt;&gt;1,"",(INDEX(Comenzi!$AK:$AK,$X397)+N(INDEX(Comenzi!$T:$T,$X397)))*$I397/$E397)</f>
        <v/>
      </c>
      <c r="P397" s="35" t="str">
        <f t="shared" si="82"/>
        <v/>
      </c>
      <c r="Q397" s="36" t="str">
        <f t="shared" si="83"/>
        <v/>
      </c>
      <c r="R397" s="37" t="str">
        <f t="shared" si="84"/>
        <v/>
      </c>
      <c r="S397" s="38" t="str">
        <f t="shared" si="85"/>
        <v/>
      </c>
      <c r="T397" s="39" t="str">
        <f t="shared" si="86"/>
        <v/>
      </c>
      <c r="U397" s="40" t="str">
        <f t="shared" si="87"/>
        <v/>
      </c>
      <c r="V397" s="33" t="str">
        <f t="shared" si="88"/>
        <v/>
      </c>
      <c r="W397" s="33" t="str">
        <f t="shared" si="89"/>
        <v/>
      </c>
      <c r="X397" s="41" t="str">
        <f>IF($A397="","",IFERROR(MATCH($A397,Comenzi!$A$9:$A$108,0)+8,""))</f>
        <v/>
      </c>
      <c r="Y397" s="41" t="str">
        <f t="shared" si="90"/>
        <v/>
      </c>
      <c r="Z397" s="42" t="str">
        <f>IF($A397="","",IF($A397="?","Lipseste ID-ul comenzii (col. A din PI Furnizor)",IF(NOT(ISNUMBER($X397)),"ID comanda negasit in foaia Comenzi",IF(N($E397)&lt;=0,"Lipseste cantitatea",IF(N($G397)=0,"Pret unitar lipsa",IF($Y397&lt;&gt;1,"Curs sau moneda marfa lipsa (foaia Comenzi)",IF(INDEX(Comenzi!$AT:$AT,$X397)&lt;&gt;"OK","Avertisment comanda: "&amp;INDEX(Comenzi!$AT:$AT,$X397),"OK")))))))</f>
        <v/>
      </c>
      <c r="AA397" s="43" t="str">
        <f>IF(ISNUMBER($X397),INDEX(Comenzi!$H:$H,$X397),"")</f>
        <v/>
      </c>
      <c r="AB397" s="43" t="str">
        <f>IF(ISNUMBER($X397),INDEX(Comenzi!$I:$I,$X397),"")</f>
        <v/>
      </c>
      <c r="AC397" s="44" t="str">
        <f>IF(ISNUMBER($X397),IF(INDEX(Comenzi!$V:$V,$X397)="",Comenzi!$D$3,INDEX(Comenzi!$V:$V,$X397)),"")</f>
        <v/>
      </c>
      <c r="AD397" s="44" t="str">
        <f>IF(ISNUMBER($X397),IF(INDEX(Comenzi!$U:$U,$X397)="",Comenzi!$D$4,INDEX(Comenzi!$U:$U,$X397)),"")</f>
        <v/>
      </c>
      <c r="AE397" s="45" t="str">
        <f>IF($Y397&lt;&gt;1,"",IF(INDEX(Comenzi!$AM:$AM,$X397)="Greutate",INDEX('PI Furnizor'!$O:$O,ROW()-3),IF(INDEX(Comenzi!$AM:$AM,$X397)="Volum (CBM)",INDEX('PI Furnizor'!$Q:$Q,ROW()-3),IF(INDEX(Comenzi!$AM:$AM,$X397)="Valoare marfa",INDEX('PI Furnizor'!$N:$N,ROW()-3),$E397))))</f>
        <v/>
      </c>
    </row>
    <row r="398" spans="1:31" x14ac:dyDescent="0.3">
      <c r="A398" s="28" t="str">
        <f>IF(COUNTA(INDEX('PI Furnizor'!$A:$E,ROW()-3,0))=0,"",IF(INDEX('PI Furnizor'!$A:$A,ROW()-3)="","?",INDEX('PI Furnizor'!$A:$A,ROW()-3)))</f>
        <v/>
      </c>
      <c r="B398" s="29" t="str">
        <f>IF(ISNUMBER($X398),INDEX(Comenzi!$B:$B,$X398),"")</f>
        <v/>
      </c>
      <c r="C398" s="28" t="str">
        <f>IF($A398="","",INDEX('PI Furnizor'!$B:$B,ROW()-3)&amp;"")</f>
        <v/>
      </c>
      <c r="D398" s="28" t="str">
        <f>IF($A398="","",INDEX('PI Furnizor'!$C:$C,ROW()-3)&amp;"")</f>
        <v/>
      </c>
      <c r="E398" s="30" t="str">
        <f>IF($A398="","",N(INDEX('PI Furnizor'!$D:$D,ROW()-3)))</f>
        <v/>
      </c>
      <c r="F398" s="31" t="str">
        <f>IF(ISNUMBER($X398),INDEX(Comenzi!$G:$G,$X398),"")</f>
        <v/>
      </c>
      <c r="G398" s="32" t="str">
        <f>IF($A398="","",N(INDEX('PI Furnizor'!$E:$E,ROW()-3)))</f>
        <v/>
      </c>
      <c r="H398" s="33" t="str">
        <f t="shared" si="78"/>
        <v/>
      </c>
      <c r="I398" s="34" t="str">
        <f>IF($Y398&lt;&gt;1,"",IFERROR($AE398/INDEX(Comenzi!$AN:$AN,$X398),0))</f>
        <v/>
      </c>
      <c r="J398" s="33" t="str">
        <f>IF($Y398&lt;&gt;1,"",INDEX(Comenzi!$AG:$AG,$X398)*$I398/$E398)</f>
        <v/>
      </c>
      <c r="K398" s="33" t="str">
        <f t="shared" si="79"/>
        <v/>
      </c>
      <c r="L398" s="33" t="str">
        <f>IF($Y398&lt;&gt;1,"",$K398*$AD398+INDEX(Comenzi!$AJ:$AJ,$X398)*$I398/$E398)</f>
        <v/>
      </c>
      <c r="M398" s="33" t="str">
        <f t="shared" si="80"/>
        <v/>
      </c>
      <c r="N398" s="33" t="str">
        <f t="shared" si="81"/>
        <v/>
      </c>
      <c r="O398" s="33" t="str">
        <f>IF($Y398&lt;&gt;1,"",(INDEX(Comenzi!$AK:$AK,$X398)+N(INDEX(Comenzi!$T:$T,$X398)))*$I398/$E398)</f>
        <v/>
      </c>
      <c r="P398" s="35" t="str">
        <f t="shared" si="82"/>
        <v/>
      </c>
      <c r="Q398" s="36" t="str">
        <f t="shared" si="83"/>
        <v/>
      </c>
      <c r="R398" s="37" t="str">
        <f t="shared" si="84"/>
        <v/>
      </c>
      <c r="S398" s="38" t="str">
        <f t="shared" si="85"/>
        <v/>
      </c>
      <c r="T398" s="39" t="str">
        <f t="shared" si="86"/>
        <v/>
      </c>
      <c r="U398" s="40" t="str">
        <f t="shared" si="87"/>
        <v/>
      </c>
      <c r="V398" s="33" t="str">
        <f t="shared" si="88"/>
        <v/>
      </c>
      <c r="W398" s="33" t="str">
        <f t="shared" si="89"/>
        <v/>
      </c>
      <c r="X398" s="41" t="str">
        <f>IF($A398="","",IFERROR(MATCH($A398,Comenzi!$A$9:$A$108,0)+8,""))</f>
        <v/>
      </c>
      <c r="Y398" s="41" t="str">
        <f t="shared" si="90"/>
        <v/>
      </c>
      <c r="Z398" s="42" t="str">
        <f>IF($A398="","",IF($A398="?","Lipseste ID-ul comenzii (col. A din PI Furnizor)",IF(NOT(ISNUMBER($X398)),"ID comanda negasit in foaia Comenzi",IF(N($E398)&lt;=0,"Lipseste cantitatea",IF(N($G398)=0,"Pret unitar lipsa",IF($Y398&lt;&gt;1,"Curs sau moneda marfa lipsa (foaia Comenzi)",IF(INDEX(Comenzi!$AT:$AT,$X398)&lt;&gt;"OK","Avertisment comanda: "&amp;INDEX(Comenzi!$AT:$AT,$X398),"OK")))))))</f>
        <v/>
      </c>
      <c r="AA398" s="43" t="str">
        <f>IF(ISNUMBER($X398),INDEX(Comenzi!$H:$H,$X398),"")</f>
        <v/>
      </c>
      <c r="AB398" s="43" t="str">
        <f>IF(ISNUMBER($X398),INDEX(Comenzi!$I:$I,$X398),"")</f>
        <v/>
      </c>
      <c r="AC398" s="44" t="str">
        <f>IF(ISNUMBER($X398),IF(INDEX(Comenzi!$V:$V,$X398)="",Comenzi!$D$3,INDEX(Comenzi!$V:$V,$X398)),"")</f>
        <v/>
      </c>
      <c r="AD398" s="44" t="str">
        <f>IF(ISNUMBER($X398),IF(INDEX(Comenzi!$U:$U,$X398)="",Comenzi!$D$4,INDEX(Comenzi!$U:$U,$X398)),"")</f>
        <v/>
      </c>
      <c r="AE398" s="45" t="str">
        <f>IF($Y398&lt;&gt;1,"",IF(INDEX(Comenzi!$AM:$AM,$X398)="Greutate",INDEX('PI Furnizor'!$O:$O,ROW()-3),IF(INDEX(Comenzi!$AM:$AM,$X398)="Volum (CBM)",INDEX('PI Furnizor'!$Q:$Q,ROW()-3),IF(INDEX(Comenzi!$AM:$AM,$X398)="Valoare marfa",INDEX('PI Furnizor'!$N:$N,ROW()-3),$E398))))</f>
        <v/>
      </c>
    </row>
    <row r="399" spans="1:31" x14ac:dyDescent="0.3">
      <c r="A399" s="28" t="str">
        <f>IF(COUNTA(INDEX('PI Furnizor'!$A:$E,ROW()-3,0))=0,"",IF(INDEX('PI Furnizor'!$A:$A,ROW()-3)="","?",INDEX('PI Furnizor'!$A:$A,ROW()-3)))</f>
        <v/>
      </c>
      <c r="B399" s="29" t="str">
        <f>IF(ISNUMBER($X399),INDEX(Comenzi!$B:$B,$X399),"")</f>
        <v/>
      </c>
      <c r="C399" s="28" t="str">
        <f>IF($A399="","",INDEX('PI Furnizor'!$B:$B,ROW()-3)&amp;"")</f>
        <v/>
      </c>
      <c r="D399" s="28" t="str">
        <f>IF($A399="","",INDEX('PI Furnizor'!$C:$C,ROW()-3)&amp;"")</f>
        <v/>
      </c>
      <c r="E399" s="30" t="str">
        <f>IF($A399="","",N(INDEX('PI Furnizor'!$D:$D,ROW()-3)))</f>
        <v/>
      </c>
      <c r="F399" s="31" t="str">
        <f>IF(ISNUMBER($X399),INDEX(Comenzi!$G:$G,$X399),"")</f>
        <v/>
      </c>
      <c r="G399" s="32" t="str">
        <f>IF($A399="","",N(INDEX('PI Furnizor'!$E:$E,ROW()-3)))</f>
        <v/>
      </c>
      <c r="H399" s="33" t="str">
        <f t="shared" si="78"/>
        <v/>
      </c>
      <c r="I399" s="34" t="str">
        <f>IF($Y399&lt;&gt;1,"",IFERROR($AE399/INDEX(Comenzi!$AN:$AN,$X399),0))</f>
        <v/>
      </c>
      <c r="J399" s="33" t="str">
        <f>IF($Y399&lt;&gt;1,"",INDEX(Comenzi!$AG:$AG,$X399)*$I399/$E399)</f>
        <v/>
      </c>
      <c r="K399" s="33" t="str">
        <f t="shared" si="79"/>
        <v/>
      </c>
      <c r="L399" s="33" t="str">
        <f>IF($Y399&lt;&gt;1,"",$K399*$AD399+INDEX(Comenzi!$AJ:$AJ,$X399)*$I399/$E399)</f>
        <v/>
      </c>
      <c r="M399" s="33" t="str">
        <f t="shared" si="80"/>
        <v/>
      </c>
      <c r="N399" s="33" t="str">
        <f t="shared" si="81"/>
        <v/>
      </c>
      <c r="O399" s="33" t="str">
        <f>IF($Y399&lt;&gt;1,"",(INDEX(Comenzi!$AK:$AK,$X399)+N(INDEX(Comenzi!$T:$T,$X399)))*$I399/$E399)</f>
        <v/>
      </c>
      <c r="P399" s="35" t="str">
        <f t="shared" si="82"/>
        <v/>
      </c>
      <c r="Q399" s="36" t="str">
        <f t="shared" si="83"/>
        <v/>
      </c>
      <c r="R399" s="37" t="str">
        <f t="shared" si="84"/>
        <v/>
      </c>
      <c r="S399" s="38" t="str">
        <f t="shared" si="85"/>
        <v/>
      </c>
      <c r="T399" s="39" t="str">
        <f t="shared" si="86"/>
        <v/>
      </c>
      <c r="U399" s="40" t="str">
        <f t="shared" si="87"/>
        <v/>
      </c>
      <c r="V399" s="33" t="str">
        <f t="shared" si="88"/>
        <v/>
      </c>
      <c r="W399" s="33" t="str">
        <f t="shared" si="89"/>
        <v/>
      </c>
      <c r="X399" s="41" t="str">
        <f>IF($A399="","",IFERROR(MATCH($A399,Comenzi!$A$9:$A$108,0)+8,""))</f>
        <v/>
      </c>
      <c r="Y399" s="41" t="str">
        <f t="shared" si="90"/>
        <v/>
      </c>
      <c r="Z399" s="42" t="str">
        <f>IF($A399="","",IF($A399="?","Lipseste ID-ul comenzii (col. A din PI Furnizor)",IF(NOT(ISNUMBER($X399)),"ID comanda negasit in foaia Comenzi",IF(N($E399)&lt;=0,"Lipseste cantitatea",IF(N($G399)=0,"Pret unitar lipsa",IF($Y399&lt;&gt;1,"Curs sau moneda marfa lipsa (foaia Comenzi)",IF(INDEX(Comenzi!$AT:$AT,$X399)&lt;&gt;"OK","Avertisment comanda: "&amp;INDEX(Comenzi!$AT:$AT,$X399),"OK")))))))</f>
        <v/>
      </c>
      <c r="AA399" s="43" t="str">
        <f>IF(ISNUMBER($X399),INDEX(Comenzi!$H:$H,$X399),"")</f>
        <v/>
      </c>
      <c r="AB399" s="43" t="str">
        <f>IF(ISNUMBER($X399),INDEX(Comenzi!$I:$I,$X399),"")</f>
        <v/>
      </c>
      <c r="AC399" s="44" t="str">
        <f>IF(ISNUMBER($X399),IF(INDEX(Comenzi!$V:$V,$X399)="",Comenzi!$D$3,INDEX(Comenzi!$V:$V,$X399)),"")</f>
        <v/>
      </c>
      <c r="AD399" s="44" t="str">
        <f>IF(ISNUMBER($X399),IF(INDEX(Comenzi!$U:$U,$X399)="",Comenzi!$D$4,INDEX(Comenzi!$U:$U,$X399)),"")</f>
        <v/>
      </c>
      <c r="AE399" s="45" t="str">
        <f>IF($Y399&lt;&gt;1,"",IF(INDEX(Comenzi!$AM:$AM,$X399)="Greutate",INDEX('PI Furnizor'!$O:$O,ROW()-3),IF(INDEX(Comenzi!$AM:$AM,$X399)="Volum (CBM)",INDEX('PI Furnizor'!$Q:$Q,ROW()-3),IF(INDEX(Comenzi!$AM:$AM,$X399)="Valoare marfa",INDEX('PI Furnizor'!$N:$N,ROW()-3),$E399))))</f>
        <v/>
      </c>
    </row>
    <row r="400" spans="1:31" x14ac:dyDescent="0.3">
      <c r="A400" s="28" t="str">
        <f>IF(COUNTA(INDEX('PI Furnizor'!$A:$E,ROW()-3,0))=0,"",IF(INDEX('PI Furnizor'!$A:$A,ROW()-3)="","?",INDEX('PI Furnizor'!$A:$A,ROW()-3)))</f>
        <v/>
      </c>
      <c r="B400" s="29" t="str">
        <f>IF(ISNUMBER($X400),INDEX(Comenzi!$B:$B,$X400),"")</f>
        <v/>
      </c>
      <c r="C400" s="28" t="str">
        <f>IF($A400="","",INDEX('PI Furnizor'!$B:$B,ROW()-3)&amp;"")</f>
        <v/>
      </c>
      <c r="D400" s="28" t="str">
        <f>IF($A400="","",INDEX('PI Furnizor'!$C:$C,ROW()-3)&amp;"")</f>
        <v/>
      </c>
      <c r="E400" s="30" t="str">
        <f>IF($A400="","",N(INDEX('PI Furnizor'!$D:$D,ROW()-3)))</f>
        <v/>
      </c>
      <c r="F400" s="31" t="str">
        <f>IF(ISNUMBER($X400),INDEX(Comenzi!$G:$G,$X400),"")</f>
        <v/>
      </c>
      <c r="G400" s="32" t="str">
        <f>IF($A400="","",N(INDEX('PI Furnizor'!$E:$E,ROW()-3)))</f>
        <v/>
      </c>
      <c r="H400" s="33" t="str">
        <f t="shared" si="78"/>
        <v/>
      </c>
      <c r="I400" s="34" t="str">
        <f>IF($Y400&lt;&gt;1,"",IFERROR($AE400/INDEX(Comenzi!$AN:$AN,$X400),0))</f>
        <v/>
      </c>
      <c r="J400" s="33" t="str">
        <f>IF($Y400&lt;&gt;1,"",INDEX(Comenzi!$AG:$AG,$X400)*$I400/$E400)</f>
        <v/>
      </c>
      <c r="K400" s="33" t="str">
        <f t="shared" si="79"/>
        <v/>
      </c>
      <c r="L400" s="33" t="str">
        <f>IF($Y400&lt;&gt;1,"",$K400*$AD400+INDEX(Comenzi!$AJ:$AJ,$X400)*$I400/$E400)</f>
        <v/>
      </c>
      <c r="M400" s="33" t="str">
        <f t="shared" si="80"/>
        <v/>
      </c>
      <c r="N400" s="33" t="str">
        <f t="shared" si="81"/>
        <v/>
      </c>
      <c r="O400" s="33" t="str">
        <f>IF($Y400&lt;&gt;1,"",(INDEX(Comenzi!$AK:$AK,$X400)+N(INDEX(Comenzi!$T:$T,$X400)))*$I400/$E400)</f>
        <v/>
      </c>
      <c r="P400" s="35" t="str">
        <f t="shared" si="82"/>
        <v/>
      </c>
      <c r="Q400" s="36" t="str">
        <f t="shared" si="83"/>
        <v/>
      </c>
      <c r="R400" s="37" t="str">
        <f t="shared" si="84"/>
        <v/>
      </c>
      <c r="S400" s="38" t="str">
        <f t="shared" si="85"/>
        <v/>
      </c>
      <c r="T400" s="39" t="str">
        <f t="shared" si="86"/>
        <v/>
      </c>
      <c r="U400" s="40" t="str">
        <f t="shared" si="87"/>
        <v/>
      </c>
      <c r="V400" s="33" t="str">
        <f t="shared" si="88"/>
        <v/>
      </c>
      <c r="W400" s="33" t="str">
        <f t="shared" si="89"/>
        <v/>
      </c>
      <c r="X400" s="41" t="str">
        <f>IF($A400="","",IFERROR(MATCH($A400,Comenzi!$A$9:$A$108,0)+8,""))</f>
        <v/>
      </c>
      <c r="Y400" s="41" t="str">
        <f t="shared" si="90"/>
        <v/>
      </c>
      <c r="Z400" s="42" t="str">
        <f>IF($A400="","",IF($A400="?","Lipseste ID-ul comenzii (col. A din PI Furnizor)",IF(NOT(ISNUMBER($X400)),"ID comanda negasit in foaia Comenzi",IF(N($E400)&lt;=0,"Lipseste cantitatea",IF(N($G400)=0,"Pret unitar lipsa",IF($Y400&lt;&gt;1,"Curs sau moneda marfa lipsa (foaia Comenzi)",IF(INDEX(Comenzi!$AT:$AT,$X400)&lt;&gt;"OK","Avertisment comanda: "&amp;INDEX(Comenzi!$AT:$AT,$X400),"OK")))))))</f>
        <v/>
      </c>
      <c r="AA400" s="43" t="str">
        <f>IF(ISNUMBER($X400),INDEX(Comenzi!$H:$H,$X400),"")</f>
        <v/>
      </c>
      <c r="AB400" s="43" t="str">
        <f>IF(ISNUMBER($X400),INDEX(Comenzi!$I:$I,$X400),"")</f>
        <v/>
      </c>
      <c r="AC400" s="44" t="str">
        <f>IF(ISNUMBER($X400),IF(INDEX(Comenzi!$V:$V,$X400)="",Comenzi!$D$3,INDEX(Comenzi!$V:$V,$X400)),"")</f>
        <v/>
      </c>
      <c r="AD400" s="44" t="str">
        <f>IF(ISNUMBER($X400),IF(INDEX(Comenzi!$U:$U,$X400)="",Comenzi!$D$4,INDEX(Comenzi!$U:$U,$X400)),"")</f>
        <v/>
      </c>
      <c r="AE400" s="45" t="str">
        <f>IF($Y400&lt;&gt;1,"",IF(INDEX(Comenzi!$AM:$AM,$X400)="Greutate",INDEX('PI Furnizor'!$O:$O,ROW()-3),IF(INDEX(Comenzi!$AM:$AM,$X400)="Volum (CBM)",INDEX('PI Furnizor'!$Q:$Q,ROW()-3),IF(INDEX(Comenzi!$AM:$AM,$X400)="Valoare marfa",INDEX('PI Furnizor'!$N:$N,ROW()-3),$E400))))</f>
        <v/>
      </c>
    </row>
    <row r="401" spans="1:31" x14ac:dyDescent="0.3">
      <c r="A401" s="28" t="str">
        <f>IF(COUNTA(INDEX('PI Furnizor'!$A:$E,ROW()-3,0))=0,"",IF(INDEX('PI Furnizor'!$A:$A,ROW()-3)="","?",INDEX('PI Furnizor'!$A:$A,ROW()-3)))</f>
        <v/>
      </c>
      <c r="B401" s="29" t="str">
        <f>IF(ISNUMBER($X401),INDEX(Comenzi!$B:$B,$X401),"")</f>
        <v/>
      </c>
      <c r="C401" s="28" t="str">
        <f>IF($A401="","",INDEX('PI Furnizor'!$B:$B,ROW()-3)&amp;"")</f>
        <v/>
      </c>
      <c r="D401" s="28" t="str">
        <f>IF($A401="","",INDEX('PI Furnizor'!$C:$C,ROW()-3)&amp;"")</f>
        <v/>
      </c>
      <c r="E401" s="30" t="str">
        <f>IF($A401="","",N(INDEX('PI Furnizor'!$D:$D,ROW()-3)))</f>
        <v/>
      </c>
      <c r="F401" s="31" t="str">
        <f>IF(ISNUMBER($X401),INDEX(Comenzi!$G:$G,$X401),"")</f>
        <v/>
      </c>
      <c r="G401" s="32" t="str">
        <f>IF($A401="","",N(INDEX('PI Furnizor'!$E:$E,ROW()-3)))</f>
        <v/>
      </c>
      <c r="H401" s="33" t="str">
        <f t="shared" si="78"/>
        <v/>
      </c>
      <c r="I401" s="34" t="str">
        <f>IF($Y401&lt;&gt;1,"",IFERROR($AE401/INDEX(Comenzi!$AN:$AN,$X401),0))</f>
        <v/>
      </c>
      <c r="J401" s="33" t="str">
        <f>IF($Y401&lt;&gt;1,"",INDEX(Comenzi!$AG:$AG,$X401)*$I401/$E401)</f>
        <v/>
      </c>
      <c r="K401" s="33" t="str">
        <f t="shared" si="79"/>
        <v/>
      </c>
      <c r="L401" s="33" t="str">
        <f>IF($Y401&lt;&gt;1,"",$K401*$AD401+INDEX(Comenzi!$AJ:$AJ,$X401)*$I401/$E401)</f>
        <v/>
      </c>
      <c r="M401" s="33" t="str">
        <f t="shared" si="80"/>
        <v/>
      </c>
      <c r="N401" s="33" t="str">
        <f t="shared" si="81"/>
        <v/>
      </c>
      <c r="O401" s="33" t="str">
        <f>IF($Y401&lt;&gt;1,"",(INDEX(Comenzi!$AK:$AK,$X401)+N(INDEX(Comenzi!$T:$T,$X401)))*$I401/$E401)</f>
        <v/>
      </c>
      <c r="P401" s="35" t="str">
        <f t="shared" si="82"/>
        <v/>
      </c>
      <c r="Q401" s="36" t="str">
        <f t="shared" si="83"/>
        <v/>
      </c>
      <c r="R401" s="37" t="str">
        <f t="shared" si="84"/>
        <v/>
      </c>
      <c r="S401" s="38" t="str">
        <f t="shared" si="85"/>
        <v/>
      </c>
      <c r="T401" s="39" t="str">
        <f t="shared" si="86"/>
        <v/>
      </c>
      <c r="U401" s="40" t="str">
        <f t="shared" si="87"/>
        <v/>
      </c>
      <c r="V401" s="33" t="str">
        <f t="shared" si="88"/>
        <v/>
      </c>
      <c r="W401" s="33" t="str">
        <f t="shared" si="89"/>
        <v/>
      </c>
      <c r="X401" s="41" t="str">
        <f>IF($A401="","",IFERROR(MATCH($A401,Comenzi!$A$9:$A$108,0)+8,""))</f>
        <v/>
      </c>
      <c r="Y401" s="41" t="str">
        <f t="shared" si="90"/>
        <v/>
      </c>
      <c r="Z401" s="42" t="str">
        <f>IF($A401="","",IF($A401="?","Lipseste ID-ul comenzii (col. A din PI Furnizor)",IF(NOT(ISNUMBER($X401)),"ID comanda negasit in foaia Comenzi",IF(N($E401)&lt;=0,"Lipseste cantitatea",IF(N($G401)=0,"Pret unitar lipsa",IF($Y401&lt;&gt;1,"Curs sau moneda marfa lipsa (foaia Comenzi)",IF(INDEX(Comenzi!$AT:$AT,$X401)&lt;&gt;"OK","Avertisment comanda: "&amp;INDEX(Comenzi!$AT:$AT,$X401),"OK")))))))</f>
        <v/>
      </c>
      <c r="AA401" s="43" t="str">
        <f>IF(ISNUMBER($X401),INDEX(Comenzi!$H:$H,$X401),"")</f>
        <v/>
      </c>
      <c r="AB401" s="43" t="str">
        <f>IF(ISNUMBER($X401),INDEX(Comenzi!$I:$I,$X401),"")</f>
        <v/>
      </c>
      <c r="AC401" s="44" t="str">
        <f>IF(ISNUMBER($X401),IF(INDEX(Comenzi!$V:$V,$X401)="",Comenzi!$D$3,INDEX(Comenzi!$V:$V,$X401)),"")</f>
        <v/>
      </c>
      <c r="AD401" s="44" t="str">
        <f>IF(ISNUMBER($X401),IF(INDEX(Comenzi!$U:$U,$X401)="",Comenzi!$D$4,INDEX(Comenzi!$U:$U,$X401)),"")</f>
        <v/>
      </c>
      <c r="AE401" s="45" t="str">
        <f>IF($Y401&lt;&gt;1,"",IF(INDEX(Comenzi!$AM:$AM,$X401)="Greutate",INDEX('PI Furnizor'!$O:$O,ROW()-3),IF(INDEX(Comenzi!$AM:$AM,$X401)="Volum (CBM)",INDEX('PI Furnizor'!$Q:$Q,ROW()-3),IF(INDEX(Comenzi!$AM:$AM,$X401)="Valoare marfa",INDEX('PI Furnizor'!$N:$N,ROW()-3),$E401))))</f>
        <v/>
      </c>
    </row>
    <row r="402" spans="1:31" x14ac:dyDescent="0.3">
      <c r="A402" s="28" t="str">
        <f>IF(COUNTA(INDEX('PI Furnizor'!$A:$E,ROW()-3,0))=0,"",IF(INDEX('PI Furnizor'!$A:$A,ROW()-3)="","?",INDEX('PI Furnizor'!$A:$A,ROW()-3)))</f>
        <v/>
      </c>
      <c r="B402" s="29" t="str">
        <f>IF(ISNUMBER($X402),INDEX(Comenzi!$B:$B,$X402),"")</f>
        <v/>
      </c>
      <c r="C402" s="28" t="str">
        <f>IF($A402="","",INDEX('PI Furnizor'!$B:$B,ROW()-3)&amp;"")</f>
        <v/>
      </c>
      <c r="D402" s="28" t="str">
        <f>IF($A402="","",INDEX('PI Furnizor'!$C:$C,ROW()-3)&amp;"")</f>
        <v/>
      </c>
      <c r="E402" s="30" t="str">
        <f>IF($A402="","",N(INDEX('PI Furnizor'!$D:$D,ROW()-3)))</f>
        <v/>
      </c>
      <c r="F402" s="31" t="str">
        <f>IF(ISNUMBER($X402),INDEX(Comenzi!$G:$G,$X402),"")</f>
        <v/>
      </c>
      <c r="G402" s="32" t="str">
        <f>IF($A402="","",N(INDEX('PI Furnizor'!$E:$E,ROW()-3)))</f>
        <v/>
      </c>
      <c r="H402" s="33" t="str">
        <f t="shared" si="78"/>
        <v/>
      </c>
      <c r="I402" s="34" t="str">
        <f>IF($Y402&lt;&gt;1,"",IFERROR($AE402/INDEX(Comenzi!$AN:$AN,$X402),0))</f>
        <v/>
      </c>
      <c r="J402" s="33" t="str">
        <f>IF($Y402&lt;&gt;1,"",INDEX(Comenzi!$AG:$AG,$X402)*$I402/$E402)</f>
        <v/>
      </c>
      <c r="K402" s="33" t="str">
        <f t="shared" si="79"/>
        <v/>
      </c>
      <c r="L402" s="33" t="str">
        <f>IF($Y402&lt;&gt;1,"",$K402*$AD402+INDEX(Comenzi!$AJ:$AJ,$X402)*$I402/$E402)</f>
        <v/>
      </c>
      <c r="M402" s="33" t="str">
        <f t="shared" si="80"/>
        <v/>
      </c>
      <c r="N402" s="33" t="str">
        <f t="shared" si="81"/>
        <v/>
      </c>
      <c r="O402" s="33" t="str">
        <f>IF($Y402&lt;&gt;1,"",(INDEX(Comenzi!$AK:$AK,$X402)+N(INDEX(Comenzi!$T:$T,$X402)))*$I402/$E402)</f>
        <v/>
      </c>
      <c r="P402" s="35" t="str">
        <f t="shared" si="82"/>
        <v/>
      </c>
      <c r="Q402" s="36" t="str">
        <f t="shared" si="83"/>
        <v/>
      </c>
      <c r="R402" s="37" t="str">
        <f t="shared" si="84"/>
        <v/>
      </c>
      <c r="S402" s="38" t="str">
        <f t="shared" si="85"/>
        <v/>
      </c>
      <c r="T402" s="39" t="str">
        <f t="shared" si="86"/>
        <v/>
      </c>
      <c r="U402" s="40" t="str">
        <f t="shared" si="87"/>
        <v/>
      </c>
      <c r="V402" s="33" t="str">
        <f t="shared" si="88"/>
        <v/>
      </c>
      <c r="W402" s="33" t="str">
        <f t="shared" si="89"/>
        <v/>
      </c>
      <c r="X402" s="41" t="str">
        <f>IF($A402="","",IFERROR(MATCH($A402,Comenzi!$A$9:$A$108,0)+8,""))</f>
        <v/>
      </c>
      <c r="Y402" s="41" t="str">
        <f t="shared" si="90"/>
        <v/>
      </c>
      <c r="Z402" s="42" t="str">
        <f>IF($A402="","",IF($A402="?","Lipseste ID-ul comenzii (col. A din PI Furnizor)",IF(NOT(ISNUMBER($X402)),"ID comanda negasit in foaia Comenzi",IF(N($E402)&lt;=0,"Lipseste cantitatea",IF(N($G402)=0,"Pret unitar lipsa",IF($Y402&lt;&gt;1,"Curs sau moneda marfa lipsa (foaia Comenzi)",IF(INDEX(Comenzi!$AT:$AT,$X402)&lt;&gt;"OK","Avertisment comanda: "&amp;INDEX(Comenzi!$AT:$AT,$X402),"OK")))))))</f>
        <v/>
      </c>
      <c r="AA402" s="43" t="str">
        <f>IF(ISNUMBER($X402),INDEX(Comenzi!$H:$H,$X402),"")</f>
        <v/>
      </c>
      <c r="AB402" s="43" t="str">
        <f>IF(ISNUMBER($X402),INDEX(Comenzi!$I:$I,$X402),"")</f>
        <v/>
      </c>
      <c r="AC402" s="44" t="str">
        <f>IF(ISNUMBER($X402),IF(INDEX(Comenzi!$V:$V,$X402)="",Comenzi!$D$3,INDEX(Comenzi!$V:$V,$X402)),"")</f>
        <v/>
      </c>
      <c r="AD402" s="44" t="str">
        <f>IF(ISNUMBER($X402),IF(INDEX(Comenzi!$U:$U,$X402)="",Comenzi!$D$4,INDEX(Comenzi!$U:$U,$X402)),"")</f>
        <v/>
      </c>
      <c r="AE402" s="45" t="str">
        <f>IF($Y402&lt;&gt;1,"",IF(INDEX(Comenzi!$AM:$AM,$X402)="Greutate",INDEX('PI Furnizor'!$O:$O,ROW()-3),IF(INDEX(Comenzi!$AM:$AM,$X402)="Volum (CBM)",INDEX('PI Furnizor'!$Q:$Q,ROW()-3),IF(INDEX(Comenzi!$AM:$AM,$X402)="Valoare marfa",INDEX('PI Furnizor'!$N:$N,ROW()-3),$E402))))</f>
        <v/>
      </c>
    </row>
    <row r="403" spans="1:31" x14ac:dyDescent="0.3">
      <c r="A403" s="28" t="str">
        <f>IF(COUNTA(INDEX('PI Furnizor'!$A:$E,ROW()-3,0))=0,"",IF(INDEX('PI Furnizor'!$A:$A,ROW()-3)="","?",INDEX('PI Furnizor'!$A:$A,ROW()-3)))</f>
        <v/>
      </c>
      <c r="B403" s="29" t="str">
        <f>IF(ISNUMBER($X403),INDEX(Comenzi!$B:$B,$X403),"")</f>
        <v/>
      </c>
      <c r="C403" s="28" t="str">
        <f>IF($A403="","",INDEX('PI Furnizor'!$B:$B,ROW()-3)&amp;"")</f>
        <v/>
      </c>
      <c r="D403" s="28" t="str">
        <f>IF($A403="","",INDEX('PI Furnizor'!$C:$C,ROW()-3)&amp;"")</f>
        <v/>
      </c>
      <c r="E403" s="30" t="str">
        <f>IF($A403="","",N(INDEX('PI Furnizor'!$D:$D,ROW()-3)))</f>
        <v/>
      </c>
      <c r="F403" s="31" t="str">
        <f>IF(ISNUMBER($X403),INDEX(Comenzi!$G:$G,$X403),"")</f>
        <v/>
      </c>
      <c r="G403" s="32" t="str">
        <f>IF($A403="","",N(INDEX('PI Furnizor'!$E:$E,ROW()-3)))</f>
        <v/>
      </c>
      <c r="H403" s="33" t="str">
        <f t="shared" si="78"/>
        <v/>
      </c>
      <c r="I403" s="34" t="str">
        <f>IF($Y403&lt;&gt;1,"",IFERROR($AE403/INDEX(Comenzi!$AN:$AN,$X403),0))</f>
        <v/>
      </c>
      <c r="J403" s="33" t="str">
        <f>IF($Y403&lt;&gt;1,"",INDEX(Comenzi!$AG:$AG,$X403)*$I403/$E403)</f>
        <v/>
      </c>
      <c r="K403" s="33" t="str">
        <f t="shared" si="79"/>
        <v/>
      </c>
      <c r="L403" s="33" t="str">
        <f>IF($Y403&lt;&gt;1,"",$K403*$AD403+INDEX(Comenzi!$AJ:$AJ,$X403)*$I403/$E403)</f>
        <v/>
      </c>
      <c r="M403" s="33" t="str">
        <f t="shared" si="80"/>
        <v/>
      </c>
      <c r="N403" s="33" t="str">
        <f t="shared" si="81"/>
        <v/>
      </c>
      <c r="O403" s="33" t="str">
        <f>IF($Y403&lt;&gt;1,"",(INDEX(Comenzi!$AK:$AK,$X403)+N(INDEX(Comenzi!$T:$T,$X403)))*$I403/$E403)</f>
        <v/>
      </c>
      <c r="P403" s="35" t="str">
        <f t="shared" si="82"/>
        <v/>
      </c>
      <c r="Q403" s="36" t="str">
        <f t="shared" si="83"/>
        <v/>
      </c>
      <c r="R403" s="37" t="str">
        <f t="shared" si="84"/>
        <v/>
      </c>
      <c r="S403" s="38" t="str">
        <f t="shared" si="85"/>
        <v/>
      </c>
      <c r="T403" s="39" t="str">
        <f t="shared" si="86"/>
        <v/>
      </c>
      <c r="U403" s="40" t="str">
        <f t="shared" si="87"/>
        <v/>
      </c>
      <c r="V403" s="33" t="str">
        <f t="shared" si="88"/>
        <v/>
      </c>
      <c r="W403" s="33" t="str">
        <f t="shared" si="89"/>
        <v/>
      </c>
      <c r="X403" s="41" t="str">
        <f>IF($A403="","",IFERROR(MATCH($A403,Comenzi!$A$9:$A$108,0)+8,""))</f>
        <v/>
      </c>
      <c r="Y403" s="41" t="str">
        <f t="shared" si="90"/>
        <v/>
      </c>
      <c r="Z403" s="42" t="str">
        <f>IF($A403="","",IF($A403="?","Lipseste ID-ul comenzii (col. A din PI Furnizor)",IF(NOT(ISNUMBER($X403)),"ID comanda negasit in foaia Comenzi",IF(N($E403)&lt;=0,"Lipseste cantitatea",IF(N($G403)=0,"Pret unitar lipsa",IF($Y403&lt;&gt;1,"Curs sau moneda marfa lipsa (foaia Comenzi)",IF(INDEX(Comenzi!$AT:$AT,$X403)&lt;&gt;"OK","Avertisment comanda: "&amp;INDEX(Comenzi!$AT:$AT,$X403),"OK")))))))</f>
        <v/>
      </c>
      <c r="AA403" s="43" t="str">
        <f>IF(ISNUMBER($X403),INDEX(Comenzi!$H:$H,$X403),"")</f>
        <v/>
      </c>
      <c r="AB403" s="43" t="str">
        <f>IF(ISNUMBER($X403),INDEX(Comenzi!$I:$I,$X403),"")</f>
        <v/>
      </c>
      <c r="AC403" s="44" t="str">
        <f>IF(ISNUMBER($X403),IF(INDEX(Comenzi!$V:$V,$X403)="",Comenzi!$D$3,INDEX(Comenzi!$V:$V,$X403)),"")</f>
        <v/>
      </c>
      <c r="AD403" s="44" t="str">
        <f>IF(ISNUMBER($X403),IF(INDEX(Comenzi!$U:$U,$X403)="",Comenzi!$D$4,INDEX(Comenzi!$U:$U,$X403)),"")</f>
        <v/>
      </c>
      <c r="AE403" s="45" t="str">
        <f>IF($Y403&lt;&gt;1,"",IF(INDEX(Comenzi!$AM:$AM,$X403)="Greutate",INDEX('PI Furnizor'!$O:$O,ROW()-3),IF(INDEX(Comenzi!$AM:$AM,$X403)="Volum (CBM)",INDEX('PI Furnizor'!$Q:$Q,ROW()-3),IF(INDEX(Comenzi!$AM:$AM,$X403)="Valoare marfa",INDEX('PI Furnizor'!$N:$N,ROW()-3),$E403))))</f>
        <v/>
      </c>
    </row>
    <row r="404" spans="1:31" x14ac:dyDescent="0.3">
      <c r="A404" s="28" t="str">
        <f>IF(COUNTA(INDEX('PI Furnizor'!$A:$E,ROW()-3,0))=0,"",IF(INDEX('PI Furnizor'!$A:$A,ROW()-3)="","?",INDEX('PI Furnizor'!$A:$A,ROW()-3)))</f>
        <v/>
      </c>
      <c r="B404" s="29" t="str">
        <f>IF(ISNUMBER($X404),INDEX(Comenzi!$B:$B,$X404),"")</f>
        <v/>
      </c>
      <c r="C404" s="28" t="str">
        <f>IF($A404="","",INDEX('PI Furnizor'!$B:$B,ROW()-3)&amp;"")</f>
        <v/>
      </c>
      <c r="D404" s="28" t="str">
        <f>IF($A404="","",INDEX('PI Furnizor'!$C:$C,ROW()-3)&amp;"")</f>
        <v/>
      </c>
      <c r="E404" s="30" t="str">
        <f>IF($A404="","",N(INDEX('PI Furnizor'!$D:$D,ROW()-3)))</f>
        <v/>
      </c>
      <c r="F404" s="31" t="str">
        <f>IF(ISNUMBER($X404),INDEX(Comenzi!$G:$G,$X404),"")</f>
        <v/>
      </c>
      <c r="G404" s="32" t="str">
        <f>IF($A404="","",N(INDEX('PI Furnizor'!$E:$E,ROW()-3)))</f>
        <v/>
      </c>
      <c r="H404" s="33" t="str">
        <f t="shared" si="78"/>
        <v/>
      </c>
      <c r="I404" s="34" t="str">
        <f>IF($Y404&lt;&gt;1,"",IFERROR($AE404/INDEX(Comenzi!$AN:$AN,$X404),0))</f>
        <v/>
      </c>
      <c r="J404" s="33" t="str">
        <f>IF($Y404&lt;&gt;1,"",INDEX(Comenzi!$AG:$AG,$X404)*$I404/$E404)</f>
        <v/>
      </c>
      <c r="K404" s="33" t="str">
        <f t="shared" si="79"/>
        <v/>
      </c>
      <c r="L404" s="33" t="str">
        <f>IF($Y404&lt;&gt;1,"",$K404*$AD404+INDEX(Comenzi!$AJ:$AJ,$X404)*$I404/$E404)</f>
        <v/>
      </c>
      <c r="M404" s="33" t="str">
        <f t="shared" si="80"/>
        <v/>
      </c>
      <c r="N404" s="33" t="str">
        <f t="shared" si="81"/>
        <v/>
      </c>
      <c r="O404" s="33" t="str">
        <f>IF($Y404&lt;&gt;1,"",(INDEX(Comenzi!$AK:$AK,$X404)+N(INDEX(Comenzi!$T:$T,$X404)))*$I404/$E404)</f>
        <v/>
      </c>
      <c r="P404" s="35" t="str">
        <f t="shared" si="82"/>
        <v/>
      </c>
      <c r="Q404" s="36" t="str">
        <f t="shared" si="83"/>
        <v/>
      </c>
      <c r="R404" s="37" t="str">
        <f t="shared" si="84"/>
        <v/>
      </c>
      <c r="S404" s="38" t="str">
        <f t="shared" si="85"/>
        <v/>
      </c>
      <c r="T404" s="39" t="str">
        <f t="shared" si="86"/>
        <v/>
      </c>
      <c r="U404" s="40" t="str">
        <f t="shared" si="87"/>
        <v/>
      </c>
      <c r="V404" s="33" t="str">
        <f t="shared" si="88"/>
        <v/>
      </c>
      <c r="W404" s="33" t="str">
        <f t="shared" si="89"/>
        <v/>
      </c>
      <c r="X404" s="41" t="str">
        <f>IF($A404="","",IFERROR(MATCH($A404,Comenzi!$A$9:$A$108,0)+8,""))</f>
        <v/>
      </c>
      <c r="Y404" s="41" t="str">
        <f t="shared" si="90"/>
        <v/>
      </c>
      <c r="Z404" s="42" t="str">
        <f>IF($A404="","",IF($A404="?","Lipseste ID-ul comenzii (col. A din PI Furnizor)",IF(NOT(ISNUMBER($X404)),"ID comanda negasit in foaia Comenzi",IF(N($E404)&lt;=0,"Lipseste cantitatea",IF(N($G404)=0,"Pret unitar lipsa",IF($Y404&lt;&gt;1,"Curs sau moneda marfa lipsa (foaia Comenzi)",IF(INDEX(Comenzi!$AT:$AT,$X404)&lt;&gt;"OK","Avertisment comanda: "&amp;INDEX(Comenzi!$AT:$AT,$X404),"OK")))))))</f>
        <v/>
      </c>
      <c r="AA404" s="43" t="str">
        <f>IF(ISNUMBER($X404),INDEX(Comenzi!$H:$H,$X404),"")</f>
        <v/>
      </c>
      <c r="AB404" s="43" t="str">
        <f>IF(ISNUMBER($X404),INDEX(Comenzi!$I:$I,$X404),"")</f>
        <v/>
      </c>
      <c r="AC404" s="44" t="str">
        <f>IF(ISNUMBER($X404),IF(INDEX(Comenzi!$V:$V,$X404)="",Comenzi!$D$3,INDEX(Comenzi!$V:$V,$X404)),"")</f>
        <v/>
      </c>
      <c r="AD404" s="44" t="str">
        <f>IF(ISNUMBER($X404),IF(INDEX(Comenzi!$U:$U,$X404)="",Comenzi!$D$4,INDEX(Comenzi!$U:$U,$X404)),"")</f>
        <v/>
      </c>
      <c r="AE404" s="45" t="str">
        <f>IF($Y404&lt;&gt;1,"",IF(INDEX(Comenzi!$AM:$AM,$X404)="Greutate",INDEX('PI Furnizor'!$O:$O,ROW()-3),IF(INDEX(Comenzi!$AM:$AM,$X404)="Volum (CBM)",INDEX('PI Furnizor'!$Q:$Q,ROW()-3),IF(INDEX(Comenzi!$AM:$AM,$X404)="Valoare marfa",INDEX('PI Furnizor'!$N:$N,ROW()-3),$E404))))</f>
        <v/>
      </c>
    </row>
    <row r="405" spans="1:31" x14ac:dyDescent="0.3">
      <c r="A405" s="28" t="str">
        <f>IF(COUNTA(INDEX('PI Furnizor'!$A:$E,ROW()-3,0))=0,"",IF(INDEX('PI Furnizor'!$A:$A,ROW()-3)="","?",INDEX('PI Furnizor'!$A:$A,ROW()-3)))</f>
        <v/>
      </c>
      <c r="B405" s="29" t="str">
        <f>IF(ISNUMBER($X405),INDEX(Comenzi!$B:$B,$X405),"")</f>
        <v/>
      </c>
      <c r="C405" s="28" t="str">
        <f>IF($A405="","",INDEX('PI Furnizor'!$B:$B,ROW()-3)&amp;"")</f>
        <v/>
      </c>
      <c r="D405" s="28" t="str">
        <f>IF($A405="","",INDEX('PI Furnizor'!$C:$C,ROW()-3)&amp;"")</f>
        <v/>
      </c>
      <c r="E405" s="30" t="str">
        <f>IF($A405="","",N(INDEX('PI Furnizor'!$D:$D,ROW()-3)))</f>
        <v/>
      </c>
      <c r="F405" s="31" t="str">
        <f>IF(ISNUMBER($X405),INDEX(Comenzi!$G:$G,$X405),"")</f>
        <v/>
      </c>
      <c r="G405" s="32" t="str">
        <f>IF($A405="","",N(INDEX('PI Furnizor'!$E:$E,ROW()-3)))</f>
        <v/>
      </c>
      <c r="H405" s="33" t="str">
        <f t="shared" si="78"/>
        <v/>
      </c>
      <c r="I405" s="34" t="str">
        <f>IF($Y405&lt;&gt;1,"",IFERROR($AE405/INDEX(Comenzi!$AN:$AN,$X405),0))</f>
        <v/>
      </c>
      <c r="J405" s="33" t="str">
        <f>IF($Y405&lt;&gt;1,"",INDEX(Comenzi!$AG:$AG,$X405)*$I405/$E405)</f>
        <v/>
      </c>
      <c r="K405" s="33" t="str">
        <f t="shared" si="79"/>
        <v/>
      </c>
      <c r="L405" s="33" t="str">
        <f>IF($Y405&lt;&gt;1,"",$K405*$AD405+INDEX(Comenzi!$AJ:$AJ,$X405)*$I405/$E405)</f>
        <v/>
      </c>
      <c r="M405" s="33" t="str">
        <f t="shared" si="80"/>
        <v/>
      </c>
      <c r="N405" s="33" t="str">
        <f t="shared" si="81"/>
        <v/>
      </c>
      <c r="O405" s="33" t="str">
        <f>IF($Y405&lt;&gt;1,"",(INDEX(Comenzi!$AK:$AK,$X405)+N(INDEX(Comenzi!$T:$T,$X405)))*$I405/$E405)</f>
        <v/>
      </c>
      <c r="P405" s="35" t="str">
        <f t="shared" si="82"/>
        <v/>
      </c>
      <c r="Q405" s="36" t="str">
        <f t="shared" si="83"/>
        <v/>
      </c>
      <c r="R405" s="37" t="str">
        <f t="shared" si="84"/>
        <v/>
      </c>
      <c r="S405" s="38" t="str">
        <f t="shared" si="85"/>
        <v/>
      </c>
      <c r="T405" s="39" t="str">
        <f t="shared" si="86"/>
        <v/>
      </c>
      <c r="U405" s="40" t="str">
        <f t="shared" si="87"/>
        <v/>
      </c>
      <c r="V405" s="33" t="str">
        <f t="shared" si="88"/>
        <v/>
      </c>
      <c r="W405" s="33" t="str">
        <f t="shared" si="89"/>
        <v/>
      </c>
      <c r="X405" s="41" t="str">
        <f>IF($A405="","",IFERROR(MATCH($A405,Comenzi!$A$9:$A$108,0)+8,""))</f>
        <v/>
      </c>
      <c r="Y405" s="41" t="str">
        <f t="shared" si="90"/>
        <v/>
      </c>
      <c r="Z405" s="42" t="str">
        <f>IF($A405="","",IF($A405="?","Lipseste ID-ul comenzii (col. A din PI Furnizor)",IF(NOT(ISNUMBER($X405)),"ID comanda negasit in foaia Comenzi",IF(N($E405)&lt;=0,"Lipseste cantitatea",IF(N($G405)=0,"Pret unitar lipsa",IF($Y405&lt;&gt;1,"Curs sau moneda marfa lipsa (foaia Comenzi)",IF(INDEX(Comenzi!$AT:$AT,$X405)&lt;&gt;"OK","Avertisment comanda: "&amp;INDEX(Comenzi!$AT:$AT,$X405),"OK")))))))</f>
        <v/>
      </c>
      <c r="AA405" s="43" t="str">
        <f>IF(ISNUMBER($X405),INDEX(Comenzi!$H:$H,$X405),"")</f>
        <v/>
      </c>
      <c r="AB405" s="43" t="str">
        <f>IF(ISNUMBER($X405),INDEX(Comenzi!$I:$I,$X405),"")</f>
        <v/>
      </c>
      <c r="AC405" s="44" t="str">
        <f>IF(ISNUMBER($X405),IF(INDEX(Comenzi!$V:$V,$X405)="",Comenzi!$D$3,INDEX(Comenzi!$V:$V,$X405)),"")</f>
        <v/>
      </c>
      <c r="AD405" s="44" t="str">
        <f>IF(ISNUMBER($X405),IF(INDEX(Comenzi!$U:$U,$X405)="",Comenzi!$D$4,INDEX(Comenzi!$U:$U,$X405)),"")</f>
        <v/>
      </c>
      <c r="AE405" s="45" t="str">
        <f>IF($Y405&lt;&gt;1,"",IF(INDEX(Comenzi!$AM:$AM,$X405)="Greutate",INDEX('PI Furnizor'!$O:$O,ROW()-3),IF(INDEX(Comenzi!$AM:$AM,$X405)="Volum (CBM)",INDEX('PI Furnizor'!$Q:$Q,ROW()-3),IF(INDEX(Comenzi!$AM:$AM,$X405)="Valoare marfa",INDEX('PI Furnizor'!$N:$N,ROW()-3),$E405))))</f>
        <v/>
      </c>
    </row>
    <row r="406" spans="1:31" x14ac:dyDescent="0.3">
      <c r="A406" s="28" t="str">
        <f>IF(COUNTA(INDEX('PI Furnizor'!$A:$E,ROW()-3,0))=0,"",IF(INDEX('PI Furnizor'!$A:$A,ROW()-3)="","?",INDEX('PI Furnizor'!$A:$A,ROW()-3)))</f>
        <v/>
      </c>
      <c r="B406" s="29" t="str">
        <f>IF(ISNUMBER($X406),INDEX(Comenzi!$B:$B,$X406),"")</f>
        <v/>
      </c>
      <c r="C406" s="28" t="str">
        <f>IF($A406="","",INDEX('PI Furnizor'!$B:$B,ROW()-3)&amp;"")</f>
        <v/>
      </c>
      <c r="D406" s="28" t="str">
        <f>IF($A406="","",INDEX('PI Furnizor'!$C:$C,ROW()-3)&amp;"")</f>
        <v/>
      </c>
      <c r="E406" s="30" t="str">
        <f>IF($A406="","",N(INDEX('PI Furnizor'!$D:$D,ROW()-3)))</f>
        <v/>
      </c>
      <c r="F406" s="31" t="str">
        <f>IF(ISNUMBER($X406),INDEX(Comenzi!$G:$G,$X406),"")</f>
        <v/>
      </c>
      <c r="G406" s="32" t="str">
        <f>IF($A406="","",N(INDEX('PI Furnizor'!$E:$E,ROW()-3)))</f>
        <v/>
      </c>
      <c r="H406" s="33" t="str">
        <f t="shared" si="78"/>
        <v/>
      </c>
      <c r="I406" s="34" t="str">
        <f>IF($Y406&lt;&gt;1,"",IFERROR($AE406/INDEX(Comenzi!$AN:$AN,$X406),0))</f>
        <v/>
      </c>
      <c r="J406" s="33" t="str">
        <f>IF($Y406&lt;&gt;1,"",INDEX(Comenzi!$AG:$AG,$X406)*$I406/$E406)</f>
        <v/>
      </c>
      <c r="K406" s="33" t="str">
        <f t="shared" si="79"/>
        <v/>
      </c>
      <c r="L406" s="33" t="str">
        <f>IF($Y406&lt;&gt;1,"",$K406*$AD406+INDEX(Comenzi!$AJ:$AJ,$X406)*$I406/$E406)</f>
        <v/>
      </c>
      <c r="M406" s="33" t="str">
        <f t="shared" si="80"/>
        <v/>
      </c>
      <c r="N406" s="33" t="str">
        <f t="shared" si="81"/>
        <v/>
      </c>
      <c r="O406" s="33" t="str">
        <f>IF($Y406&lt;&gt;1,"",(INDEX(Comenzi!$AK:$AK,$X406)+N(INDEX(Comenzi!$T:$T,$X406)))*$I406/$E406)</f>
        <v/>
      </c>
      <c r="P406" s="35" t="str">
        <f t="shared" si="82"/>
        <v/>
      </c>
      <c r="Q406" s="36" t="str">
        <f t="shared" si="83"/>
        <v/>
      </c>
      <c r="R406" s="37" t="str">
        <f t="shared" si="84"/>
        <v/>
      </c>
      <c r="S406" s="38" t="str">
        <f t="shared" si="85"/>
        <v/>
      </c>
      <c r="T406" s="39" t="str">
        <f t="shared" si="86"/>
        <v/>
      </c>
      <c r="U406" s="40" t="str">
        <f t="shared" si="87"/>
        <v/>
      </c>
      <c r="V406" s="33" t="str">
        <f t="shared" si="88"/>
        <v/>
      </c>
      <c r="W406" s="33" t="str">
        <f t="shared" si="89"/>
        <v/>
      </c>
      <c r="X406" s="41" t="str">
        <f>IF($A406="","",IFERROR(MATCH($A406,Comenzi!$A$9:$A$108,0)+8,""))</f>
        <v/>
      </c>
      <c r="Y406" s="41" t="str">
        <f t="shared" si="90"/>
        <v/>
      </c>
      <c r="Z406" s="42" t="str">
        <f>IF($A406="","",IF($A406="?","Lipseste ID-ul comenzii (col. A din PI Furnizor)",IF(NOT(ISNUMBER($X406)),"ID comanda negasit in foaia Comenzi",IF(N($E406)&lt;=0,"Lipseste cantitatea",IF(N($G406)=0,"Pret unitar lipsa",IF($Y406&lt;&gt;1,"Curs sau moneda marfa lipsa (foaia Comenzi)",IF(INDEX(Comenzi!$AT:$AT,$X406)&lt;&gt;"OK","Avertisment comanda: "&amp;INDEX(Comenzi!$AT:$AT,$X406),"OK")))))))</f>
        <v/>
      </c>
      <c r="AA406" s="43" t="str">
        <f>IF(ISNUMBER($X406),INDEX(Comenzi!$H:$H,$X406),"")</f>
        <v/>
      </c>
      <c r="AB406" s="43" t="str">
        <f>IF(ISNUMBER($X406),INDEX(Comenzi!$I:$I,$X406),"")</f>
        <v/>
      </c>
      <c r="AC406" s="44" t="str">
        <f>IF(ISNUMBER($X406),IF(INDEX(Comenzi!$V:$V,$X406)="",Comenzi!$D$3,INDEX(Comenzi!$V:$V,$X406)),"")</f>
        <v/>
      </c>
      <c r="AD406" s="44" t="str">
        <f>IF(ISNUMBER($X406),IF(INDEX(Comenzi!$U:$U,$X406)="",Comenzi!$D$4,INDEX(Comenzi!$U:$U,$X406)),"")</f>
        <v/>
      </c>
      <c r="AE406" s="45" t="str">
        <f>IF($Y406&lt;&gt;1,"",IF(INDEX(Comenzi!$AM:$AM,$X406)="Greutate",INDEX('PI Furnizor'!$O:$O,ROW()-3),IF(INDEX(Comenzi!$AM:$AM,$X406)="Volum (CBM)",INDEX('PI Furnizor'!$Q:$Q,ROW()-3),IF(INDEX(Comenzi!$AM:$AM,$X406)="Valoare marfa",INDEX('PI Furnizor'!$N:$N,ROW()-3),$E406))))</f>
        <v/>
      </c>
    </row>
    <row r="407" spans="1:31" x14ac:dyDescent="0.3">
      <c r="A407" s="28" t="str">
        <f>IF(COUNTA(INDEX('PI Furnizor'!$A:$E,ROW()-3,0))=0,"",IF(INDEX('PI Furnizor'!$A:$A,ROW()-3)="","?",INDEX('PI Furnizor'!$A:$A,ROW()-3)))</f>
        <v/>
      </c>
      <c r="B407" s="29" t="str">
        <f>IF(ISNUMBER($X407),INDEX(Comenzi!$B:$B,$X407),"")</f>
        <v/>
      </c>
      <c r="C407" s="28" t="str">
        <f>IF($A407="","",INDEX('PI Furnizor'!$B:$B,ROW()-3)&amp;"")</f>
        <v/>
      </c>
      <c r="D407" s="28" t="str">
        <f>IF($A407="","",INDEX('PI Furnizor'!$C:$C,ROW()-3)&amp;"")</f>
        <v/>
      </c>
      <c r="E407" s="30" t="str">
        <f>IF($A407="","",N(INDEX('PI Furnizor'!$D:$D,ROW()-3)))</f>
        <v/>
      </c>
      <c r="F407" s="31" t="str">
        <f>IF(ISNUMBER($X407),INDEX(Comenzi!$G:$G,$X407),"")</f>
        <v/>
      </c>
      <c r="G407" s="32" t="str">
        <f>IF($A407="","",N(INDEX('PI Furnizor'!$E:$E,ROW()-3)))</f>
        <v/>
      </c>
      <c r="H407" s="33" t="str">
        <f t="shared" si="78"/>
        <v/>
      </c>
      <c r="I407" s="34" t="str">
        <f>IF($Y407&lt;&gt;1,"",IFERROR($AE407/INDEX(Comenzi!$AN:$AN,$X407),0))</f>
        <v/>
      </c>
      <c r="J407" s="33" t="str">
        <f>IF($Y407&lt;&gt;1,"",INDEX(Comenzi!$AG:$AG,$X407)*$I407/$E407)</f>
        <v/>
      </c>
      <c r="K407" s="33" t="str">
        <f t="shared" si="79"/>
        <v/>
      </c>
      <c r="L407" s="33" t="str">
        <f>IF($Y407&lt;&gt;1,"",$K407*$AD407+INDEX(Comenzi!$AJ:$AJ,$X407)*$I407/$E407)</f>
        <v/>
      </c>
      <c r="M407" s="33" t="str">
        <f t="shared" si="80"/>
        <v/>
      </c>
      <c r="N407" s="33" t="str">
        <f t="shared" si="81"/>
        <v/>
      </c>
      <c r="O407" s="33" t="str">
        <f>IF($Y407&lt;&gt;1,"",(INDEX(Comenzi!$AK:$AK,$X407)+N(INDEX(Comenzi!$T:$T,$X407)))*$I407/$E407)</f>
        <v/>
      </c>
      <c r="P407" s="35" t="str">
        <f t="shared" si="82"/>
        <v/>
      </c>
      <c r="Q407" s="36" t="str">
        <f t="shared" si="83"/>
        <v/>
      </c>
      <c r="R407" s="37" t="str">
        <f t="shared" si="84"/>
        <v/>
      </c>
      <c r="S407" s="38" t="str">
        <f t="shared" si="85"/>
        <v/>
      </c>
      <c r="T407" s="39" t="str">
        <f t="shared" si="86"/>
        <v/>
      </c>
      <c r="U407" s="40" t="str">
        <f t="shared" si="87"/>
        <v/>
      </c>
      <c r="V407" s="33" t="str">
        <f t="shared" si="88"/>
        <v/>
      </c>
      <c r="W407" s="33" t="str">
        <f t="shared" si="89"/>
        <v/>
      </c>
      <c r="X407" s="41" t="str">
        <f>IF($A407="","",IFERROR(MATCH($A407,Comenzi!$A$9:$A$108,0)+8,""))</f>
        <v/>
      </c>
      <c r="Y407" s="41" t="str">
        <f t="shared" si="90"/>
        <v/>
      </c>
      <c r="Z407" s="42" t="str">
        <f>IF($A407="","",IF($A407="?","Lipseste ID-ul comenzii (col. A din PI Furnizor)",IF(NOT(ISNUMBER($X407)),"ID comanda negasit in foaia Comenzi",IF(N($E407)&lt;=0,"Lipseste cantitatea",IF(N($G407)=0,"Pret unitar lipsa",IF($Y407&lt;&gt;1,"Curs sau moneda marfa lipsa (foaia Comenzi)",IF(INDEX(Comenzi!$AT:$AT,$X407)&lt;&gt;"OK","Avertisment comanda: "&amp;INDEX(Comenzi!$AT:$AT,$X407),"OK")))))))</f>
        <v/>
      </c>
      <c r="AA407" s="43" t="str">
        <f>IF(ISNUMBER($X407),INDEX(Comenzi!$H:$H,$X407),"")</f>
        <v/>
      </c>
      <c r="AB407" s="43" t="str">
        <f>IF(ISNUMBER($X407),INDEX(Comenzi!$I:$I,$X407),"")</f>
        <v/>
      </c>
      <c r="AC407" s="44" t="str">
        <f>IF(ISNUMBER($X407),IF(INDEX(Comenzi!$V:$V,$X407)="",Comenzi!$D$3,INDEX(Comenzi!$V:$V,$X407)),"")</f>
        <v/>
      </c>
      <c r="AD407" s="44" t="str">
        <f>IF(ISNUMBER($X407),IF(INDEX(Comenzi!$U:$U,$X407)="",Comenzi!$D$4,INDEX(Comenzi!$U:$U,$X407)),"")</f>
        <v/>
      </c>
      <c r="AE407" s="45" t="str">
        <f>IF($Y407&lt;&gt;1,"",IF(INDEX(Comenzi!$AM:$AM,$X407)="Greutate",INDEX('PI Furnizor'!$O:$O,ROW()-3),IF(INDEX(Comenzi!$AM:$AM,$X407)="Volum (CBM)",INDEX('PI Furnizor'!$Q:$Q,ROW()-3),IF(INDEX(Comenzi!$AM:$AM,$X407)="Valoare marfa",INDEX('PI Furnizor'!$N:$N,ROW()-3),$E407))))</f>
        <v/>
      </c>
    </row>
    <row r="408" spans="1:31" x14ac:dyDescent="0.3">
      <c r="A408" s="28" t="str">
        <f>IF(COUNTA(INDEX('PI Furnizor'!$A:$E,ROW()-3,0))=0,"",IF(INDEX('PI Furnizor'!$A:$A,ROW()-3)="","?",INDEX('PI Furnizor'!$A:$A,ROW()-3)))</f>
        <v/>
      </c>
      <c r="B408" s="29" t="str">
        <f>IF(ISNUMBER($X408),INDEX(Comenzi!$B:$B,$X408),"")</f>
        <v/>
      </c>
      <c r="C408" s="28" t="str">
        <f>IF($A408="","",INDEX('PI Furnizor'!$B:$B,ROW()-3)&amp;"")</f>
        <v/>
      </c>
      <c r="D408" s="28" t="str">
        <f>IF($A408="","",INDEX('PI Furnizor'!$C:$C,ROW()-3)&amp;"")</f>
        <v/>
      </c>
      <c r="E408" s="30" t="str">
        <f>IF($A408="","",N(INDEX('PI Furnizor'!$D:$D,ROW()-3)))</f>
        <v/>
      </c>
      <c r="F408" s="31" t="str">
        <f>IF(ISNUMBER($X408),INDEX(Comenzi!$G:$G,$X408),"")</f>
        <v/>
      </c>
      <c r="G408" s="32" t="str">
        <f>IF($A408="","",N(INDEX('PI Furnizor'!$E:$E,ROW()-3)))</f>
        <v/>
      </c>
      <c r="H408" s="33" t="str">
        <f t="shared" si="78"/>
        <v/>
      </c>
      <c r="I408" s="34" t="str">
        <f>IF($Y408&lt;&gt;1,"",IFERROR($AE408/INDEX(Comenzi!$AN:$AN,$X408),0))</f>
        <v/>
      </c>
      <c r="J408" s="33" t="str">
        <f>IF($Y408&lt;&gt;1,"",INDEX(Comenzi!$AG:$AG,$X408)*$I408/$E408)</f>
        <v/>
      </c>
      <c r="K408" s="33" t="str">
        <f t="shared" si="79"/>
        <v/>
      </c>
      <c r="L408" s="33" t="str">
        <f>IF($Y408&lt;&gt;1,"",$K408*$AD408+INDEX(Comenzi!$AJ:$AJ,$X408)*$I408/$E408)</f>
        <v/>
      </c>
      <c r="M408" s="33" t="str">
        <f t="shared" si="80"/>
        <v/>
      </c>
      <c r="N408" s="33" t="str">
        <f t="shared" si="81"/>
        <v/>
      </c>
      <c r="O408" s="33" t="str">
        <f>IF($Y408&lt;&gt;1,"",(INDEX(Comenzi!$AK:$AK,$X408)+N(INDEX(Comenzi!$T:$T,$X408)))*$I408/$E408)</f>
        <v/>
      </c>
      <c r="P408" s="35" t="str">
        <f t="shared" si="82"/>
        <v/>
      </c>
      <c r="Q408" s="36" t="str">
        <f t="shared" si="83"/>
        <v/>
      </c>
      <c r="R408" s="37" t="str">
        <f t="shared" si="84"/>
        <v/>
      </c>
      <c r="S408" s="38" t="str">
        <f t="shared" si="85"/>
        <v/>
      </c>
      <c r="T408" s="39" t="str">
        <f t="shared" si="86"/>
        <v/>
      </c>
      <c r="U408" s="40" t="str">
        <f t="shared" si="87"/>
        <v/>
      </c>
      <c r="V408" s="33" t="str">
        <f t="shared" si="88"/>
        <v/>
      </c>
      <c r="W408" s="33" t="str">
        <f t="shared" si="89"/>
        <v/>
      </c>
      <c r="X408" s="41" t="str">
        <f>IF($A408="","",IFERROR(MATCH($A408,Comenzi!$A$9:$A$108,0)+8,""))</f>
        <v/>
      </c>
      <c r="Y408" s="41" t="str">
        <f t="shared" si="90"/>
        <v/>
      </c>
      <c r="Z408" s="42" t="str">
        <f>IF($A408="","",IF($A408="?","Lipseste ID-ul comenzii (col. A din PI Furnizor)",IF(NOT(ISNUMBER($X408)),"ID comanda negasit in foaia Comenzi",IF(N($E408)&lt;=0,"Lipseste cantitatea",IF(N($G408)=0,"Pret unitar lipsa",IF($Y408&lt;&gt;1,"Curs sau moneda marfa lipsa (foaia Comenzi)",IF(INDEX(Comenzi!$AT:$AT,$X408)&lt;&gt;"OK","Avertisment comanda: "&amp;INDEX(Comenzi!$AT:$AT,$X408),"OK")))))))</f>
        <v/>
      </c>
      <c r="AA408" s="43" t="str">
        <f>IF(ISNUMBER($X408),INDEX(Comenzi!$H:$H,$X408),"")</f>
        <v/>
      </c>
      <c r="AB408" s="43" t="str">
        <f>IF(ISNUMBER($X408),INDEX(Comenzi!$I:$I,$X408),"")</f>
        <v/>
      </c>
      <c r="AC408" s="44" t="str">
        <f>IF(ISNUMBER($X408),IF(INDEX(Comenzi!$V:$V,$X408)="",Comenzi!$D$3,INDEX(Comenzi!$V:$V,$X408)),"")</f>
        <v/>
      </c>
      <c r="AD408" s="44" t="str">
        <f>IF(ISNUMBER($X408),IF(INDEX(Comenzi!$U:$U,$X408)="",Comenzi!$D$4,INDEX(Comenzi!$U:$U,$X408)),"")</f>
        <v/>
      </c>
      <c r="AE408" s="45" t="str">
        <f>IF($Y408&lt;&gt;1,"",IF(INDEX(Comenzi!$AM:$AM,$X408)="Greutate",INDEX('PI Furnizor'!$O:$O,ROW()-3),IF(INDEX(Comenzi!$AM:$AM,$X408)="Volum (CBM)",INDEX('PI Furnizor'!$Q:$Q,ROW()-3),IF(INDEX(Comenzi!$AM:$AM,$X408)="Valoare marfa",INDEX('PI Furnizor'!$N:$N,ROW()-3),$E408))))</f>
        <v/>
      </c>
    </row>
    <row r="409" spans="1:31" x14ac:dyDescent="0.3">
      <c r="A409" s="28" t="str">
        <f>IF(COUNTA(INDEX('PI Furnizor'!$A:$E,ROW()-3,0))=0,"",IF(INDEX('PI Furnizor'!$A:$A,ROW()-3)="","?",INDEX('PI Furnizor'!$A:$A,ROW()-3)))</f>
        <v/>
      </c>
      <c r="B409" s="29" t="str">
        <f>IF(ISNUMBER($X409),INDEX(Comenzi!$B:$B,$X409),"")</f>
        <v/>
      </c>
      <c r="C409" s="28" t="str">
        <f>IF($A409="","",INDEX('PI Furnizor'!$B:$B,ROW()-3)&amp;"")</f>
        <v/>
      </c>
      <c r="D409" s="28" t="str">
        <f>IF($A409="","",INDEX('PI Furnizor'!$C:$C,ROW()-3)&amp;"")</f>
        <v/>
      </c>
      <c r="E409" s="30" t="str">
        <f>IF($A409="","",N(INDEX('PI Furnizor'!$D:$D,ROW()-3)))</f>
        <v/>
      </c>
      <c r="F409" s="31" t="str">
        <f>IF(ISNUMBER($X409),INDEX(Comenzi!$G:$G,$X409),"")</f>
        <v/>
      </c>
      <c r="G409" s="32" t="str">
        <f>IF($A409="","",N(INDEX('PI Furnizor'!$E:$E,ROW()-3)))</f>
        <v/>
      </c>
      <c r="H409" s="33" t="str">
        <f t="shared" si="78"/>
        <v/>
      </c>
      <c r="I409" s="34" t="str">
        <f>IF($Y409&lt;&gt;1,"",IFERROR($AE409/INDEX(Comenzi!$AN:$AN,$X409),0))</f>
        <v/>
      </c>
      <c r="J409" s="33" t="str">
        <f>IF($Y409&lt;&gt;1,"",INDEX(Comenzi!$AG:$AG,$X409)*$I409/$E409)</f>
        <v/>
      </c>
      <c r="K409" s="33" t="str">
        <f t="shared" si="79"/>
        <v/>
      </c>
      <c r="L409" s="33" t="str">
        <f>IF($Y409&lt;&gt;1,"",$K409*$AD409+INDEX(Comenzi!$AJ:$AJ,$X409)*$I409/$E409)</f>
        <v/>
      </c>
      <c r="M409" s="33" t="str">
        <f t="shared" si="80"/>
        <v/>
      </c>
      <c r="N409" s="33" t="str">
        <f t="shared" si="81"/>
        <v/>
      </c>
      <c r="O409" s="33" t="str">
        <f>IF($Y409&lt;&gt;1,"",(INDEX(Comenzi!$AK:$AK,$X409)+N(INDEX(Comenzi!$T:$T,$X409)))*$I409/$E409)</f>
        <v/>
      </c>
      <c r="P409" s="35" t="str">
        <f t="shared" si="82"/>
        <v/>
      </c>
      <c r="Q409" s="36" t="str">
        <f t="shared" si="83"/>
        <v/>
      </c>
      <c r="R409" s="37" t="str">
        <f t="shared" si="84"/>
        <v/>
      </c>
      <c r="S409" s="38" t="str">
        <f t="shared" si="85"/>
        <v/>
      </c>
      <c r="T409" s="39" t="str">
        <f t="shared" si="86"/>
        <v/>
      </c>
      <c r="U409" s="40" t="str">
        <f t="shared" si="87"/>
        <v/>
      </c>
      <c r="V409" s="33" t="str">
        <f t="shared" si="88"/>
        <v/>
      </c>
      <c r="W409" s="33" t="str">
        <f t="shared" si="89"/>
        <v/>
      </c>
      <c r="X409" s="41" t="str">
        <f>IF($A409="","",IFERROR(MATCH($A409,Comenzi!$A$9:$A$108,0)+8,""))</f>
        <v/>
      </c>
      <c r="Y409" s="41" t="str">
        <f t="shared" si="90"/>
        <v/>
      </c>
      <c r="Z409" s="42" t="str">
        <f>IF($A409="","",IF($A409="?","Lipseste ID-ul comenzii (col. A din PI Furnizor)",IF(NOT(ISNUMBER($X409)),"ID comanda negasit in foaia Comenzi",IF(N($E409)&lt;=0,"Lipseste cantitatea",IF(N($G409)=0,"Pret unitar lipsa",IF($Y409&lt;&gt;1,"Curs sau moneda marfa lipsa (foaia Comenzi)",IF(INDEX(Comenzi!$AT:$AT,$X409)&lt;&gt;"OK","Avertisment comanda: "&amp;INDEX(Comenzi!$AT:$AT,$X409),"OK")))))))</f>
        <v/>
      </c>
      <c r="AA409" s="43" t="str">
        <f>IF(ISNUMBER($X409),INDEX(Comenzi!$H:$H,$X409),"")</f>
        <v/>
      </c>
      <c r="AB409" s="43" t="str">
        <f>IF(ISNUMBER($X409),INDEX(Comenzi!$I:$I,$X409),"")</f>
        <v/>
      </c>
      <c r="AC409" s="44" t="str">
        <f>IF(ISNUMBER($X409),IF(INDEX(Comenzi!$V:$V,$X409)="",Comenzi!$D$3,INDEX(Comenzi!$V:$V,$X409)),"")</f>
        <v/>
      </c>
      <c r="AD409" s="44" t="str">
        <f>IF(ISNUMBER($X409),IF(INDEX(Comenzi!$U:$U,$X409)="",Comenzi!$D$4,INDEX(Comenzi!$U:$U,$X409)),"")</f>
        <v/>
      </c>
      <c r="AE409" s="45" t="str">
        <f>IF($Y409&lt;&gt;1,"",IF(INDEX(Comenzi!$AM:$AM,$X409)="Greutate",INDEX('PI Furnizor'!$O:$O,ROW()-3),IF(INDEX(Comenzi!$AM:$AM,$X409)="Volum (CBM)",INDEX('PI Furnizor'!$Q:$Q,ROW()-3),IF(INDEX(Comenzi!$AM:$AM,$X409)="Valoare marfa",INDEX('PI Furnizor'!$N:$N,ROW()-3),$E409))))</f>
        <v/>
      </c>
    </row>
    <row r="410" spans="1:31" x14ac:dyDescent="0.3">
      <c r="A410" s="28" t="str">
        <f>IF(COUNTA(INDEX('PI Furnizor'!$A:$E,ROW()-3,0))=0,"",IF(INDEX('PI Furnizor'!$A:$A,ROW()-3)="","?",INDEX('PI Furnizor'!$A:$A,ROW()-3)))</f>
        <v/>
      </c>
      <c r="B410" s="29" t="str">
        <f>IF(ISNUMBER($X410),INDEX(Comenzi!$B:$B,$X410),"")</f>
        <v/>
      </c>
      <c r="C410" s="28" t="str">
        <f>IF($A410="","",INDEX('PI Furnizor'!$B:$B,ROW()-3)&amp;"")</f>
        <v/>
      </c>
      <c r="D410" s="28" t="str">
        <f>IF($A410="","",INDEX('PI Furnizor'!$C:$C,ROW()-3)&amp;"")</f>
        <v/>
      </c>
      <c r="E410" s="30" t="str">
        <f>IF($A410="","",N(INDEX('PI Furnizor'!$D:$D,ROW()-3)))</f>
        <v/>
      </c>
      <c r="F410" s="31" t="str">
        <f>IF(ISNUMBER($X410),INDEX(Comenzi!$G:$G,$X410),"")</f>
        <v/>
      </c>
      <c r="G410" s="32" t="str">
        <f>IF($A410="","",N(INDEX('PI Furnizor'!$E:$E,ROW()-3)))</f>
        <v/>
      </c>
      <c r="H410" s="33" t="str">
        <f t="shared" si="78"/>
        <v/>
      </c>
      <c r="I410" s="34" t="str">
        <f>IF($Y410&lt;&gt;1,"",IFERROR($AE410/INDEX(Comenzi!$AN:$AN,$X410),0))</f>
        <v/>
      </c>
      <c r="J410" s="33" t="str">
        <f>IF($Y410&lt;&gt;1,"",INDEX(Comenzi!$AG:$AG,$X410)*$I410/$E410)</f>
        <v/>
      </c>
      <c r="K410" s="33" t="str">
        <f t="shared" si="79"/>
        <v/>
      </c>
      <c r="L410" s="33" t="str">
        <f>IF($Y410&lt;&gt;1,"",$K410*$AD410+INDEX(Comenzi!$AJ:$AJ,$X410)*$I410/$E410)</f>
        <v/>
      </c>
      <c r="M410" s="33" t="str">
        <f t="shared" si="80"/>
        <v/>
      </c>
      <c r="N410" s="33" t="str">
        <f t="shared" si="81"/>
        <v/>
      </c>
      <c r="O410" s="33" t="str">
        <f>IF($Y410&lt;&gt;1,"",(INDEX(Comenzi!$AK:$AK,$X410)+N(INDEX(Comenzi!$T:$T,$X410)))*$I410/$E410)</f>
        <v/>
      </c>
      <c r="P410" s="35" t="str">
        <f t="shared" si="82"/>
        <v/>
      </c>
      <c r="Q410" s="36" t="str">
        <f t="shared" si="83"/>
        <v/>
      </c>
      <c r="R410" s="37" t="str">
        <f t="shared" si="84"/>
        <v/>
      </c>
      <c r="S410" s="38" t="str">
        <f t="shared" si="85"/>
        <v/>
      </c>
      <c r="T410" s="39" t="str">
        <f t="shared" si="86"/>
        <v/>
      </c>
      <c r="U410" s="40" t="str">
        <f t="shared" si="87"/>
        <v/>
      </c>
      <c r="V410" s="33" t="str">
        <f t="shared" si="88"/>
        <v/>
      </c>
      <c r="W410" s="33" t="str">
        <f t="shared" si="89"/>
        <v/>
      </c>
      <c r="X410" s="41" t="str">
        <f>IF($A410="","",IFERROR(MATCH($A410,Comenzi!$A$9:$A$108,0)+8,""))</f>
        <v/>
      </c>
      <c r="Y410" s="41" t="str">
        <f t="shared" si="90"/>
        <v/>
      </c>
      <c r="Z410" s="42" t="str">
        <f>IF($A410="","",IF($A410="?","Lipseste ID-ul comenzii (col. A din PI Furnizor)",IF(NOT(ISNUMBER($X410)),"ID comanda negasit in foaia Comenzi",IF(N($E410)&lt;=0,"Lipseste cantitatea",IF(N($G410)=0,"Pret unitar lipsa",IF($Y410&lt;&gt;1,"Curs sau moneda marfa lipsa (foaia Comenzi)",IF(INDEX(Comenzi!$AT:$AT,$X410)&lt;&gt;"OK","Avertisment comanda: "&amp;INDEX(Comenzi!$AT:$AT,$X410),"OK")))))))</f>
        <v/>
      </c>
      <c r="AA410" s="43" t="str">
        <f>IF(ISNUMBER($X410),INDEX(Comenzi!$H:$H,$X410),"")</f>
        <v/>
      </c>
      <c r="AB410" s="43" t="str">
        <f>IF(ISNUMBER($X410),INDEX(Comenzi!$I:$I,$X410),"")</f>
        <v/>
      </c>
      <c r="AC410" s="44" t="str">
        <f>IF(ISNUMBER($X410),IF(INDEX(Comenzi!$V:$V,$X410)="",Comenzi!$D$3,INDEX(Comenzi!$V:$V,$X410)),"")</f>
        <v/>
      </c>
      <c r="AD410" s="44" t="str">
        <f>IF(ISNUMBER($X410),IF(INDEX(Comenzi!$U:$U,$X410)="",Comenzi!$D$4,INDEX(Comenzi!$U:$U,$X410)),"")</f>
        <v/>
      </c>
      <c r="AE410" s="45" t="str">
        <f>IF($Y410&lt;&gt;1,"",IF(INDEX(Comenzi!$AM:$AM,$X410)="Greutate",INDEX('PI Furnizor'!$O:$O,ROW()-3),IF(INDEX(Comenzi!$AM:$AM,$X410)="Volum (CBM)",INDEX('PI Furnizor'!$Q:$Q,ROW()-3),IF(INDEX(Comenzi!$AM:$AM,$X410)="Valoare marfa",INDEX('PI Furnizor'!$N:$N,ROW()-3),$E410))))</f>
        <v/>
      </c>
    </row>
    <row r="411" spans="1:31" x14ac:dyDescent="0.3">
      <c r="A411" s="28" t="str">
        <f>IF(COUNTA(INDEX('PI Furnizor'!$A:$E,ROW()-3,0))=0,"",IF(INDEX('PI Furnizor'!$A:$A,ROW()-3)="","?",INDEX('PI Furnizor'!$A:$A,ROW()-3)))</f>
        <v/>
      </c>
      <c r="B411" s="29" t="str">
        <f>IF(ISNUMBER($X411),INDEX(Comenzi!$B:$B,$X411),"")</f>
        <v/>
      </c>
      <c r="C411" s="28" t="str">
        <f>IF($A411="","",INDEX('PI Furnizor'!$B:$B,ROW()-3)&amp;"")</f>
        <v/>
      </c>
      <c r="D411" s="28" t="str">
        <f>IF($A411="","",INDEX('PI Furnizor'!$C:$C,ROW()-3)&amp;"")</f>
        <v/>
      </c>
      <c r="E411" s="30" t="str">
        <f>IF($A411="","",N(INDEX('PI Furnizor'!$D:$D,ROW()-3)))</f>
        <v/>
      </c>
      <c r="F411" s="31" t="str">
        <f>IF(ISNUMBER($X411),INDEX(Comenzi!$G:$G,$X411),"")</f>
        <v/>
      </c>
      <c r="G411" s="32" t="str">
        <f>IF($A411="","",N(INDEX('PI Furnizor'!$E:$E,ROW()-3)))</f>
        <v/>
      </c>
      <c r="H411" s="33" t="str">
        <f t="shared" si="78"/>
        <v/>
      </c>
      <c r="I411" s="34" t="str">
        <f>IF($Y411&lt;&gt;1,"",IFERROR($AE411/INDEX(Comenzi!$AN:$AN,$X411),0))</f>
        <v/>
      </c>
      <c r="J411" s="33" t="str">
        <f>IF($Y411&lt;&gt;1,"",INDEX(Comenzi!$AG:$AG,$X411)*$I411/$E411)</f>
        <v/>
      </c>
      <c r="K411" s="33" t="str">
        <f t="shared" si="79"/>
        <v/>
      </c>
      <c r="L411" s="33" t="str">
        <f>IF($Y411&lt;&gt;1,"",$K411*$AD411+INDEX(Comenzi!$AJ:$AJ,$X411)*$I411/$E411)</f>
        <v/>
      </c>
      <c r="M411" s="33" t="str">
        <f t="shared" si="80"/>
        <v/>
      </c>
      <c r="N411" s="33" t="str">
        <f t="shared" si="81"/>
        <v/>
      </c>
      <c r="O411" s="33" t="str">
        <f>IF($Y411&lt;&gt;1,"",(INDEX(Comenzi!$AK:$AK,$X411)+N(INDEX(Comenzi!$T:$T,$X411)))*$I411/$E411)</f>
        <v/>
      </c>
      <c r="P411" s="35" t="str">
        <f t="shared" si="82"/>
        <v/>
      </c>
      <c r="Q411" s="36" t="str">
        <f t="shared" si="83"/>
        <v/>
      </c>
      <c r="R411" s="37" t="str">
        <f t="shared" si="84"/>
        <v/>
      </c>
      <c r="S411" s="38" t="str">
        <f t="shared" si="85"/>
        <v/>
      </c>
      <c r="T411" s="39" t="str">
        <f t="shared" si="86"/>
        <v/>
      </c>
      <c r="U411" s="40" t="str">
        <f t="shared" si="87"/>
        <v/>
      </c>
      <c r="V411" s="33" t="str">
        <f t="shared" si="88"/>
        <v/>
      </c>
      <c r="W411" s="33" t="str">
        <f t="shared" si="89"/>
        <v/>
      </c>
      <c r="X411" s="41" t="str">
        <f>IF($A411="","",IFERROR(MATCH($A411,Comenzi!$A$9:$A$108,0)+8,""))</f>
        <v/>
      </c>
      <c r="Y411" s="41" t="str">
        <f t="shared" si="90"/>
        <v/>
      </c>
      <c r="Z411" s="42" t="str">
        <f>IF($A411="","",IF($A411="?","Lipseste ID-ul comenzii (col. A din PI Furnizor)",IF(NOT(ISNUMBER($X411)),"ID comanda negasit in foaia Comenzi",IF(N($E411)&lt;=0,"Lipseste cantitatea",IF(N($G411)=0,"Pret unitar lipsa",IF($Y411&lt;&gt;1,"Curs sau moneda marfa lipsa (foaia Comenzi)",IF(INDEX(Comenzi!$AT:$AT,$X411)&lt;&gt;"OK","Avertisment comanda: "&amp;INDEX(Comenzi!$AT:$AT,$X411),"OK")))))))</f>
        <v/>
      </c>
      <c r="AA411" s="43" t="str">
        <f>IF(ISNUMBER($X411),INDEX(Comenzi!$H:$H,$X411),"")</f>
        <v/>
      </c>
      <c r="AB411" s="43" t="str">
        <f>IF(ISNUMBER($X411),INDEX(Comenzi!$I:$I,$X411),"")</f>
        <v/>
      </c>
      <c r="AC411" s="44" t="str">
        <f>IF(ISNUMBER($X411),IF(INDEX(Comenzi!$V:$V,$X411)="",Comenzi!$D$3,INDEX(Comenzi!$V:$V,$X411)),"")</f>
        <v/>
      </c>
      <c r="AD411" s="44" t="str">
        <f>IF(ISNUMBER($X411),IF(INDEX(Comenzi!$U:$U,$X411)="",Comenzi!$D$4,INDEX(Comenzi!$U:$U,$X411)),"")</f>
        <v/>
      </c>
      <c r="AE411" s="45" t="str">
        <f>IF($Y411&lt;&gt;1,"",IF(INDEX(Comenzi!$AM:$AM,$X411)="Greutate",INDEX('PI Furnizor'!$O:$O,ROW()-3),IF(INDEX(Comenzi!$AM:$AM,$X411)="Volum (CBM)",INDEX('PI Furnizor'!$Q:$Q,ROW()-3),IF(INDEX(Comenzi!$AM:$AM,$X411)="Valoare marfa",INDEX('PI Furnizor'!$N:$N,ROW()-3),$E411))))</f>
        <v/>
      </c>
    </row>
    <row r="412" spans="1:31" x14ac:dyDescent="0.3">
      <c r="A412" s="28" t="str">
        <f>IF(COUNTA(INDEX('PI Furnizor'!$A:$E,ROW()-3,0))=0,"",IF(INDEX('PI Furnizor'!$A:$A,ROW()-3)="","?",INDEX('PI Furnizor'!$A:$A,ROW()-3)))</f>
        <v/>
      </c>
      <c r="B412" s="29" t="str">
        <f>IF(ISNUMBER($X412),INDEX(Comenzi!$B:$B,$X412),"")</f>
        <v/>
      </c>
      <c r="C412" s="28" t="str">
        <f>IF($A412="","",INDEX('PI Furnizor'!$B:$B,ROW()-3)&amp;"")</f>
        <v/>
      </c>
      <c r="D412" s="28" t="str">
        <f>IF($A412="","",INDEX('PI Furnizor'!$C:$C,ROW()-3)&amp;"")</f>
        <v/>
      </c>
      <c r="E412" s="30" t="str">
        <f>IF($A412="","",N(INDEX('PI Furnizor'!$D:$D,ROW()-3)))</f>
        <v/>
      </c>
      <c r="F412" s="31" t="str">
        <f>IF(ISNUMBER($X412),INDEX(Comenzi!$G:$G,$X412),"")</f>
        <v/>
      </c>
      <c r="G412" s="32" t="str">
        <f>IF($A412="","",N(INDEX('PI Furnizor'!$E:$E,ROW()-3)))</f>
        <v/>
      </c>
      <c r="H412" s="33" t="str">
        <f t="shared" si="78"/>
        <v/>
      </c>
      <c r="I412" s="34" t="str">
        <f>IF($Y412&lt;&gt;1,"",IFERROR($AE412/INDEX(Comenzi!$AN:$AN,$X412),0))</f>
        <v/>
      </c>
      <c r="J412" s="33" t="str">
        <f>IF($Y412&lt;&gt;1,"",INDEX(Comenzi!$AG:$AG,$X412)*$I412/$E412)</f>
        <v/>
      </c>
      <c r="K412" s="33" t="str">
        <f t="shared" si="79"/>
        <v/>
      </c>
      <c r="L412" s="33" t="str">
        <f>IF($Y412&lt;&gt;1,"",$K412*$AD412+INDEX(Comenzi!$AJ:$AJ,$X412)*$I412/$E412)</f>
        <v/>
      </c>
      <c r="M412" s="33" t="str">
        <f t="shared" si="80"/>
        <v/>
      </c>
      <c r="N412" s="33" t="str">
        <f t="shared" si="81"/>
        <v/>
      </c>
      <c r="O412" s="33" t="str">
        <f>IF($Y412&lt;&gt;1,"",(INDEX(Comenzi!$AK:$AK,$X412)+N(INDEX(Comenzi!$T:$T,$X412)))*$I412/$E412)</f>
        <v/>
      </c>
      <c r="P412" s="35" t="str">
        <f t="shared" si="82"/>
        <v/>
      </c>
      <c r="Q412" s="36" t="str">
        <f t="shared" si="83"/>
        <v/>
      </c>
      <c r="R412" s="37" t="str">
        <f t="shared" si="84"/>
        <v/>
      </c>
      <c r="S412" s="38" t="str">
        <f t="shared" si="85"/>
        <v/>
      </c>
      <c r="T412" s="39" t="str">
        <f t="shared" si="86"/>
        <v/>
      </c>
      <c r="U412" s="40" t="str">
        <f t="shared" si="87"/>
        <v/>
      </c>
      <c r="V412" s="33" t="str">
        <f t="shared" si="88"/>
        <v/>
      </c>
      <c r="W412" s="33" t="str">
        <f t="shared" si="89"/>
        <v/>
      </c>
      <c r="X412" s="41" t="str">
        <f>IF($A412="","",IFERROR(MATCH($A412,Comenzi!$A$9:$A$108,0)+8,""))</f>
        <v/>
      </c>
      <c r="Y412" s="41" t="str">
        <f t="shared" si="90"/>
        <v/>
      </c>
      <c r="Z412" s="42" t="str">
        <f>IF($A412="","",IF($A412="?","Lipseste ID-ul comenzii (col. A din PI Furnizor)",IF(NOT(ISNUMBER($X412)),"ID comanda negasit in foaia Comenzi",IF(N($E412)&lt;=0,"Lipseste cantitatea",IF(N($G412)=0,"Pret unitar lipsa",IF($Y412&lt;&gt;1,"Curs sau moneda marfa lipsa (foaia Comenzi)",IF(INDEX(Comenzi!$AT:$AT,$X412)&lt;&gt;"OK","Avertisment comanda: "&amp;INDEX(Comenzi!$AT:$AT,$X412),"OK")))))))</f>
        <v/>
      </c>
      <c r="AA412" s="43" t="str">
        <f>IF(ISNUMBER($X412),INDEX(Comenzi!$H:$H,$X412),"")</f>
        <v/>
      </c>
      <c r="AB412" s="43" t="str">
        <f>IF(ISNUMBER($X412),INDEX(Comenzi!$I:$I,$X412),"")</f>
        <v/>
      </c>
      <c r="AC412" s="44" t="str">
        <f>IF(ISNUMBER($X412),IF(INDEX(Comenzi!$V:$V,$X412)="",Comenzi!$D$3,INDEX(Comenzi!$V:$V,$X412)),"")</f>
        <v/>
      </c>
      <c r="AD412" s="44" t="str">
        <f>IF(ISNUMBER($X412),IF(INDEX(Comenzi!$U:$U,$X412)="",Comenzi!$D$4,INDEX(Comenzi!$U:$U,$X412)),"")</f>
        <v/>
      </c>
      <c r="AE412" s="45" t="str">
        <f>IF($Y412&lt;&gt;1,"",IF(INDEX(Comenzi!$AM:$AM,$X412)="Greutate",INDEX('PI Furnizor'!$O:$O,ROW()-3),IF(INDEX(Comenzi!$AM:$AM,$X412)="Volum (CBM)",INDEX('PI Furnizor'!$Q:$Q,ROW()-3),IF(INDEX(Comenzi!$AM:$AM,$X412)="Valoare marfa",INDEX('PI Furnizor'!$N:$N,ROW()-3),$E412))))</f>
        <v/>
      </c>
    </row>
    <row r="413" spans="1:31" x14ac:dyDescent="0.3">
      <c r="A413" s="28" t="str">
        <f>IF(COUNTA(INDEX('PI Furnizor'!$A:$E,ROW()-3,0))=0,"",IF(INDEX('PI Furnizor'!$A:$A,ROW()-3)="","?",INDEX('PI Furnizor'!$A:$A,ROW()-3)))</f>
        <v/>
      </c>
      <c r="B413" s="29" t="str">
        <f>IF(ISNUMBER($X413),INDEX(Comenzi!$B:$B,$X413),"")</f>
        <v/>
      </c>
      <c r="C413" s="28" t="str">
        <f>IF($A413="","",INDEX('PI Furnizor'!$B:$B,ROW()-3)&amp;"")</f>
        <v/>
      </c>
      <c r="D413" s="28" t="str">
        <f>IF($A413="","",INDEX('PI Furnizor'!$C:$C,ROW()-3)&amp;"")</f>
        <v/>
      </c>
      <c r="E413" s="30" t="str">
        <f>IF($A413="","",N(INDEX('PI Furnizor'!$D:$D,ROW()-3)))</f>
        <v/>
      </c>
      <c r="F413" s="31" t="str">
        <f>IF(ISNUMBER($X413),INDEX(Comenzi!$G:$G,$X413),"")</f>
        <v/>
      </c>
      <c r="G413" s="32" t="str">
        <f>IF($A413="","",N(INDEX('PI Furnizor'!$E:$E,ROW()-3)))</f>
        <v/>
      </c>
      <c r="H413" s="33" t="str">
        <f t="shared" si="78"/>
        <v/>
      </c>
      <c r="I413" s="34" t="str">
        <f>IF($Y413&lt;&gt;1,"",IFERROR($AE413/INDEX(Comenzi!$AN:$AN,$X413),0))</f>
        <v/>
      </c>
      <c r="J413" s="33" t="str">
        <f>IF($Y413&lt;&gt;1,"",INDEX(Comenzi!$AG:$AG,$X413)*$I413/$E413)</f>
        <v/>
      </c>
      <c r="K413" s="33" t="str">
        <f t="shared" si="79"/>
        <v/>
      </c>
      <c r="L413" s="33" t="str">
        <f>IF($Y413&lt;&gt;1,"",$K413*$AD413+INDEX(Comenzi!$AJ:$AJ,$X413)*$I413/$E413)</f>
        <v/>
      </c>
      <c r="M413" s="33" t="str">
        <f t="shared" si="80"/>
        <v/>
      </c>
      <c r="N413" s="33" t="str">
        <f t="shared" si="81"/>
        <v/>
      </c>
      <c r="O413" s="33" t="str">
        <f>IF($Y413&lt;&gt;1,"",(INDEX(Comenzi!$AK:$AK,$X413)+N(INDEX(Comenzi!$T:$T,$X413)))*$I413/$E413)</f>
        <v/>
      </c>
      <c r="P413" s="35" t="str">
        <f t="shared" si="82"/>
        <v/>
      </c>
      <c r="Q413" s="36" t="str">
        <f t="shared" si="83"/>
        <v/>
      </c>
      <c r="R413" s="37" t="str">
        <f t="shared" si="84"/>
        <v/>
      </c>
      <c r="S413" s="38" t="str">
        <f t="shared" si="85"/>
        <v/>
      </c>
      <c r="T413" s="39" t="str">
        <f t="shared" si="86"/>
        <v/>
      </c>
      <c r="U413" s="40" t="str">
        <f t="shared" si="87"/>
        <v/>
      </c>
      <c r="V413" s="33" t="str">
        <f t="shared" si="88"/>
        <v/>
      </c>
      <c r="W413" s="33" t="str">
        <f t="shared" si="89"/>
        <v/>
      </c>
      <c r="X413" s="41" t="str">
        <f>IF($A413="","",IFERROR(MATCH($A413,Comenzi!$A$9:$A$108,0)+8,""))</f>
        <v/>
      </c>
      <c r="Y413" s="41" t="str">
        <f t="shared" si="90"/>
        <v/>
      </c>
      <c r="Z413" s="42" t="str">
        <f>IF($A413="","",IF($A413="?","Lipseste ID-ul comenzii (col. A din PI Furnizor)",IF(NOT(ISNUMBER($X413)),"ID comanda negasit in foaia Comenzi",IF(N($E413)&lt;=0,"Lipseste cantitatea",IF(N($G413)=0,"Pret unitar lipsa",IF($Y413&lt;&gt;1,"Curs sau moneda marfa lipsa (foaia Comenzi)",IF(INDEX(Comenzi!$AT:$AT,$X413)&lt;&gt;"OK","Avertisment comanda: "&amp;INDEX(Comenzi!$AT:$AT,$X413),"OK")))))))</f>
        <v/>
      </c>
      <c r="AA413" s="43" t="str">
        <f>IF(ISNUMBER($X413),INDEX(Comenzi!$H:$H,$X413),"")</f>
        <v/>
      </c>
      <c r="AB413" s="43" t="str">
        <f>IF(ISNUMBER($X413),INDEX(Comenzi!$I:$I,$X413),"")</f>
        <v/>
      </c>
      <c r="AC413" s="44" t="str">
        <f>IF(ISNUMBER($X413),IF(INDEX(Comenzi!$V:$V,$X413)="",Comenzi!$D$3,INDEX(Comenzi!$V:$V,$X413)),"")</f>
        <v/>
      </c>
      <c r="AD413" s="44" t="str">
        <f>IF(ISNUMBER($X413),IF(INDEX(Comenzi!$U:$U,$X413)="",Comenzi!$D$4,INDEX(Comenzi!$U:$U,$X413)),"")</f>
        <v/>
      </c>
      <c r="AE413" s="45" t="str">
        <f>IF($Y413&lt;&gt;1,"",IF(INDEX(Comenzi!$AM:$AM,$X413)="Greutate",INDEX('PI Furnizor'!$O:$O,ROW()-3),IF(INDEX(Comenzi!$AM:$AM,$X413)="Volum (CBM)",INDEX('PI Furnizor'!$Q:$Q,ROW()-3),IF(INDEX(Comenzi!$AM:$AM,$X413)="Valoare marfa",INDEX('PI Furnizor'!$N:$N,ROW()-3),$E413))))</f>
        <v/>
      </c>
    </row>
    <row r="414" spans="1:31" x14ac:dyDescent="0.3">
      <c r="A414" s="28" t="str">
        <f>IF(COUNTA(INDEX('PI Furnizor'!$A:$E,ROW()-3,0))=0,"",IF(INDEX('PI Furnizor'!$A:$A,ROW()-3)="","?",INDEX('PI Furnizor'!$A:$A,ROW()-3)))</f>
        <v/>
      </c>
      <c r="B414" s="29" t="str">
        <f>IF(ISNUMBER($X414),INDEX(Comenzi!$B:$B,$X414),"")</f>
        <v/>
      </c>
      <c r="C414" s="28" t="str">
        <f>IF($A414="","",INDEX('PI Furnizor'!$B:$B,ROW()-3)&amp;"")</f>
        <v/>
      </c>
      <c r="D414" s="28" t="str">
        <f>IF($A414="","",INDEX('PI Furnizor'!$C:$C,ROW()-3)&amp;"")</f>
        <v/>
      </c>
      <c r="E414" s="30" t="str">
        <f>IF($A414="","",N(INDEX('PI Furnizor'!$D:$D,ROW()-3)))</f>
        <v/>
      </c>
      <c r="F414" s="31" t="str">
        <f>IF(ISNUMBER($X414),INDEX(Comenzi!$G:$G,$X414),"")</f>
        <v/>
      </c>
      <c r="G414" s="32" t="str">
        <f>IF($A414="","",N(INDEX('PI Furnizor'!$E:$E,ROW()-3)))</f>
        <v/>
      </c>
      <c r="H414" s="33" t="str">
        <f t="shared" si="78"/>
        <v/>
      </c>
      <c r="I414" s="34" t="str">
        <f>IF($Y414&lt;&gt;1,"",IFERROR($AE414/INDEX(Comenzi!$AN:$AN,$X414),0))</f>
        <v/>
      </c>
      <c r="J414" s="33" t="str">
        <f>IF($Y414&lt;&gt;1,"",INDEX(Comenzi!$AG:$AG,$X414)*$I414/$E414)</f>
        <v/>
      </c>
      <c r="K414" s="33" t="str">
        <f t="shared" si="79"/>
        <v/>
      </c>
      <c r="L414" s="33" t="str">
        <f>IF($Y414&lt;&gt;1,"",$K414*$AD414+INDEX(Comenzi!$AJ:$AJ,$X414)*$I414/$E414)</f>
        <v/>
      </c>
      <c r="M414" s="33" t="str">
        <f t="shared" si="80"/>
        <v/>
      </c>
      <c r="N414" s="33" t="str">
        <f t="shared" si="81"/>
        <v/>
      </c>
      <c r="O414" s="33" t="str">
        <f>IF($Y414&lt;&gt;1,"",(INDEX(Comenzi!$AK:$AK,$X414)+N(INDEX(Comenzi!$T:$T,$X414)))*$I414/$E414)</f>
        <v/>
      </c>
      <c r="P414" s="35" t="str">
        <f t="shared" si="82"/>
        <v/>
      </c>
      <c r="Q414" s="36" t="str">
        <f t="shared" si="83"/>
        <v/>
      </c>
      <c r="R414" s="37" t="str">
        <f t="shared" si="84"/>
        <v/>
      </c>
      <c r="S414" s="38" t="str">
        <f t="shared" si="85"/>
        <v/>
      </c>
      <c r="T414" s="39" t="str">
        <f t="shared" si="86"/>
        <v/>
      </c>
      <c r="U414" s="40" t="str">
        <f t="shared" si="87"/>
        <v/>
      </c>
      <c r="V414" s="33" t="str">
        <f t="shared" si="88"/>
        <v/>
      </c>
      <c r="W414" s="33" t="str">
        <f t="shared" si="89"/>
        <v/>
      </c>
      <c r="X414" s="41" t="str">
        <f>IF($A414="","",IFERROR(MATCH($A414,Comenzi!$A$9:$A$108,0)+8,""))</f>
        <v/>
      </c>
      <c r="Y414" s="41" t="str">
        <f t="shared" si="90"/>
        <v/>
      </c>
      <c r="Z414" s="42" t="str">
        <f>IF($A414="","",IF($A414="?","Lipseste ID-ul comenzii (col. A din PI Furnizor)",IF(NOT(ISNUMBER($X414)),"ID comanda negasit in foaia Comenzi",IF(N($E414)&lt;=0,"Lipseste cantitatea",IF(N($G414)=0,"Pret unitar lipsa",IF($Y414&lt;&gt;1,"Curs sau moneda marfa lipsa (foaia Comenzi)",IF(INDEX(Comenzi!$AT:$AT,$X414)&lt;&gt;"OK","Avertisment comanda: "&amp;INDEX(Comenzi!$AT:$AT,$X414),"OK")))))))</f>
        <v/>
      </c>
      <c r="AA414" s="43" t="str">
        <f>IF(ISNUMBER($X414),INDEX(Comenzi!$H:$H,$X414),"")</f>
        <v/>
      </c>
      <c r="AB414" s="43" t="str">
        <f>IF(ISNUMBER($X414),INDEX(Comenzi!$I:$I,$X414),"")</f>
        <v/>
      </c>
      <c r="AC414" s="44" t="str">
        <f>IF(ISNUMBER($X414),IF(INDEX(Comenzi!$V:$V,$X414)="",Comenzi!$D$3,INDEX(Comenzi!$V:$V,$X414)),"")</f>
        <v/>
      </c>
      <c r="AD414" s="44" t="str">
        <f>IF(ISNUMBER($X414),IF(INDEX(Comenzi!$U:$U,$X414)="",Comenzi!$D$4,INDEX(Comenzi!$U:$U,$X414)),"")</f>
        <v/>
      </c>
      <c r="AE414" s="45" t="str">
        <f>IF($Y414&lt;&gt;1,"",IF(INDEX(Comenzi!$AM:$AM,$X414)="Greutate",INDEX('PI Furnizor'!$O:$O,ROW()-3),IF(INDEX(Comenzi!$AM:$AM,$X414)="Volum (CBM)",INDEX('PI Furnizor'!$Q:$Q,ROW()-3),IF(INDEX(Comenzi!$AM:$AM,$X414)="Valoare marfa",INDEX('PI Furnizor'!$N:$N,ROW()-3),$E414))))</f>
        <v/>
      </c>
    </row>
    <row r="415" spans="1:31" x14ac:dyDescent="0.3">
      <c r="A415" s="28" t="str">
        <f>IF(COUNTA(INDEX('PI Furnizor'!$A:$E,ROW()-3,0))=0,"",IF(INDEX('PI Furnizor'!$A:$A,ROW()-3)="","?",INDEX('PI Furnizor'!$A:$A,ROW()-3)))</f>
        <v/>
      </c>
      <c r="B415" s="29" t="str">
        <f>IF(ISNUMBER($X415),INDEX(Comenzi!$B:$B,$X415),"")</f>
        <v/>
      </c>
      <c r="C415" s="28" t="str">
        <f>IF($A415="","",INDEX('PI Furnizor'!$B:$B,ROW()-3)&amp;"")</f>
        <v/>
      </c>
      <c r="D415" s="28" t="str">
        <f>IF($A415="","",INDEX('PI Furnizor'!$C:$C,ROW()-3)&amp;"")</f>
        <v/>
      </c>
      <c r="E415" s="30" t="str">
        <f>IF($A415="","",N(INDEX('PI Furnizor'!$D:$D,ROW()-3)))</f>
        <v/>
      </c>
      <c r="F415" s="31" t="str">
        <f>IF(ISNUMBER($X415),INDEX(Comenzi!$G:$G,$X415),"")</f>
        <v/>
      </c>
      <c r="G415" s="32" t="str">
        <f>IF($A415="","",N(INDEX('PI Furnizor'!$E:$E,ROW()-3)))</f>
        <v/>
      </c>
      <c r="H415" s="33" t="str">
        <f t="shared" si="78"/>
        <v/>
      </c>
      <c r="I415" s="34" t="str">
        <f>IF($Y415&lt;&gt;1,"",IFERROR($AE415/INDEX(Comenzi!$AN:$AN,$X415),0))</f>
        <v/>
      </c>
      <c r="J415" s="33" t="str">
        <f>IF($Y415&lt;&gt;1,"",INDEX(Comenzi!$AG:$AG,$X415)*$I415/$E415)</f>
        <v/>
      </c>
      <c r="K415" s="33" t="str">
        <f t="shared" si="79"/>
        <v/>
      </c>
      <c r="L415" s="33" t="str">
        <f>IF($Y415&lt;&gt;1,"",$K415*$AD415+INDEX(Comenzi!$AJ:$AJ,$X415)*$I415/$E415)</f>
        <v/>
      </c>
      <c r="M415" s="33" t="str">
        <f t="shared" si="80"/>
        <v/>
      </c>
      <c r="N415" s="33" t="str">
        <f t="shared" si="81"/>
        <v/>
      </c>
      <c r="O415" s="33" t="str">
        <f>IF($Y415&lt;&gt;1,"",(INDEX(Comenzi!$AK:$AK,$X415)+N(INDEX(Comenzi!$T:$T,$X415)))*$I415/$E415)</f>
        <v/>
      </c>
      <c r="P415" s="35" t="str">
        <f t="shared" si="82"/>
        <v/>
      </c>
      <c r="Q415" s="36" t="str">
        <f t="shared" si="83"/>
        <v/>
      </c>
      <c r="R415" s="37" t="str">
        <f t="shared" si="84"/>
        <v/>
      </c>
      <c r="S415" s="38" t="str">
        <f t="shared" si="85"/>
        <v/>
      </c>
      <c r="T415" s="39" t="str">
        <f t="shared" si="86"/>
        <v/>
      </c>
      <c r="U415" s="40" t="str">
        <f t="shared" si="87"/>
        <v/>
      </c>
      <c r="V415" s="33" t="str">
        <f t="shared" si="88"/>
        <v/>
      </c>
      <c r="W415" s="33" t="str">
        <f t="shared" si="89"/>
        <v/>
      </c>
      <c r="X415" s="41" t="str">
        <f>IF($A415="","",IFERROR(MATCH($A415,Comenzi!$A$9:$A$108,0)+8,""))</f>
        <v/>
      </c>
      <c r="Y415" s="41" t="str">
        <f t="shared" si="90"/>
        <v/>
      </c>
      <c r="Z415" s="42" t="str">
        <f>IF($A415="","",IF($A415="?","Lipseste ID-ul comenzii (col. A din PI Furnizor)",IF(NOT(ISNUMBER($X415)),"ID comanda negasit in foaia Comenzi",IF(N($E415)&lt;=0,"Lipseste cantitatea",IF(N($G415)=0,"Pret unitar lipsa",IF($Y415&lt;&gt;1,"Curs sau moneda marfa lipsa (foaia Comenzi)",IF(INDEX(Comenzi!$AT:$AT,$X415)&lt;&gt;"OK","Avertisment comanda: "&amp;INDEX(Comenzi!$AT:$AT,$X415),"OK")))))))</f>
        <v/>
      </c>
      <c r="AA415" s="43" t="str">
        <f>IF(ISNUMBER($X415),INDEX(Comenzi!$H:$H,$X415),"")</f>
        <v/>
      </c>
      <c r="AB415" s="43" t="str">
        <f>IF(ISNUMBER($X415),INDEX(Comenzi!$I:$I,$X415),"")</f>
        <v/>
      </c>
      <c r="AC415" s="44" t="str">
        <f>IF(ISNUMBER($X415),IF(INDEX(Comenzi!$V:$V,$X415)="",Comenzi!$D$3,INDEX(Comenzi!$V:$V,$X415)),"")</f>
        <v/>
      </c>
      <c r="AD415" s="44" t="str">
        <f>IF(ISNUMBER($X415),IF(INDEX(Comenzi!$U:$U,$X415)="",Comenzi!$D$4,INDEX(Comenzi!$U:$U,$X415)),"")</f>
        <v/>
      </c>
      <c r="AE415" s="45" t="str">
        <f>IF($Y415&lt;&gt;1,"",IF(INDEX(Comenzi!$AM:$AM,$X415)="Greutate",INDEX('PI Furnizor'!$O:$O,ROW()-3),IF(INDEX(Comenzi!$AM:$AM,$X415)="Volum (CBM)",INDEX('PI Furnizor'!$Q:$Q,ROW()-3),IF(INDEX(Comenzi!$AM:$AM,$X415)="Valoare marfa",INDEX('PI Furnizor'!$N:$N,ROW()-3),$E415))))</f>
        <v/>
      </c>
    </row>
    <row r="416" spans="1:31" x14ac:dyDescent="0.3">
      <c r="A416" s="28" t="str">
        <f>IF(COUNTA(INDEX('PI Furnizor'!$A:$E,ROW()-3,0))=0,"",IF(INDEX('PI Furnizor'!$A:$A,ROW()-3)="","?",INDEX('PI Furnizor'!$A:$A,ROW()-3)))</f>
        <v/>
      </c>
      <c r="B416" s="29" t="str">
        <f>IF(ISNUMBER($X416),INDEX(Comenzi!$B:$B,$X416),"")</f>
        <v/>
      </c>
      <c r="C416" s="28" t="str">
        <f>IF($A416="","",INDEX('PI Furnizor'!$B:$B,ROW()-3)&amp;"")</f>
        <v/>
      </c>
      <c r="D416" s="28" t="str">
        <f>IF($A416="","",INDEX('PI Furnizor'!$C:$C,ROW()-3)&amp;"")</f>
        <v/>
      </c>
      <c r="E416" s="30" t="str">
        <f>IF($A416="","",N(INDEX('PI Furnizor'!$D:$D,ROW()-3)))</f>
        <v/>
      </c>
      <c r="F416" s="31" t="str">
        <f>IF(ISNUMBER($X416),INDEX(Comenzi!$G:$G,$X416),"")</f>
        <v/>
      </c>
      <c r="G416" s="32" t="str">
        <f>IF($A416="","",N(INDEX('PI Furnizor'!$E:$E,ROW()-3)))</f>
        <v/>
      </c>
      <c r="H416" s="33" t="str">
        <f t="shared" si="78"/>
        <v/>
      </c>
      <c r="I416" s="34" t="str">
        <f>IF($Y416&lt;&gt;1,"",IFERROR($AE416/INDEX(Comenzi!$AN:$AN,$X416),0))</f>
        <v/>
      </c>
      <c r="J416" s="33" t="str">
        <f>IF($Y416&lt;&gt;1,"",INDEX(Comenzi!$AG:$AG,$X416)*$I416/$E416)</f>
        <v/>
      </c>
      <c r="K416" s="33" t="str">
        <f t="shared" si="79"/>
        <v/>
      </c>
      <c r="L416" s="33" t="str">
        <f>IF($Y416&lt;&gt;1,"",$K416*$AD416+INDEX(Comenzi!$AJ:$AJ,$X416)*$I416/$E416)</f>
        <v/>
      </c>
      <c r="M416" s="33" t="str">
        <f t="shared" si="80"/>
        <v/>
      </c>
      <c r="N416" s="33" t="str">
        <f t="shared" si="81"/>
        <v/>
      </c>
      <c r="O416" s="33" t="str">
        <f>IF($Y416&lt;&gt;1,"",(INDEX(Comenzi!$AK:$AK,$X416)+N(INDEX(Comenzi!$T:$T,$X416)))*$I416/$E416)</f>
        <v/>
      </c>
      <c r="P416" s="35" t="str">
        <f t="shared" si="82"/>
        <v/>
      </c>
      <c r="Q416" s="36" t="str">
        <f t="shared" si="83"/>
        <v/>
      </c>
      <c r="R416" s="37" t="str">
        <f t="shared" si="84"/>
        <v/>
      </c>
      <c r="S416" s="38" t="str">
        <f t="shared" si="85"/>
        <v/>
      </c>
      <c r="T416" s="39" t="str">
        <f t="shared" si="86"/>
        <v/>
      </c>
      <c r="U416" s="40" t="str">
        <f t="shared" si="87"/>
        <v/>
      </c>
      <c r="V416" s="33" t="str">
        <f t="shared" si="88"/>
        <v/>
      </c>
      <c r="W416" s="33" t="str">
        <f t="shared" si="89"/>
        <v/>
      </c>
      <c r="X416" s="41" t="str">
        <f>IF($A416="","",IFERROR(MATCH($A416,Comenzi!$A$9:$A$108,0)+8,""))</f>
        <v/>
      </c>
      <c r="Y416" s="41" t="str">
        <f t="shared" si="90"/>
        <v/>
      </c>
      <c r="Z416" s="42" t="str">
        <f>IF($A416="","",IF($A416="?","Lipseste ID-ul comenzii (col. A din PI Furnizor)",IF(NOT(ISNUMBER($X416)),"ID comanda negasit in foaia Comenzi",IF(N($E416)&lt;=0,"Lipseste cantitatea",IF(N($G416)=0,"Pret unitar lipsa",IF($Y416&lt;&gt;1,"Curs sau moneda marfa lipsa (foaia Comenzi)",IF(INDEX(Comenzi!$AT:$AT,$X416)&lt;&gt;"OK","Avertisment comanda: "&amp;INDEX(Comenzi!$AT:$AT,$X416),"OK")))))))</f>
        <v/>
      </c>
      <c r="AA416" s="43" t="str">
        <f>IF(ISNUMBER($X416),INDEX(Comenzi!$H:$H,$X416),"")</f>
        <v/>
      </c>
      <c r="AB416" s="43" t="str">
        <f>IF(ISNUMBER($X416),INDEX(Comenzi!$I:$I,$X416),"")</f>
        <v/>
      </c>
      <c r="AC416" s="44" t="str">
        <f>IF(ISNUMBER($X416),IF(INDEX(Comenzi!$V:$V,$X416)="",Comenzi!$D$3,INDEX(Comenzi!$V:$V,$X416)),"")</f>
        <v/>
      </c>
      <c r="AD416" s="44" t="str">
        <f>IF(ISNUMBER($X416),IF(INDEX(Comenzi!$U:$U,$X416)="",Comenzi!$D$4,INDEX(Comenzi!$U:$U,$X416)),"")</f>
        <v/>
      </c>
      <c r="AE416" s="45" t="str">
        <f>IF($Y416&lt;&gt;1,"",IF(INDEX(Comenzi!$AM:$AM,$X416)="Greutate",INDEX('PI Furnizor'!$O:$O,ROW()-3),IF(INDEX(Comenzi!$AM:$AM,$X416)="Volum (CBM)",INDEX('PI Furnizor'!$Q:$Q,ROW()-3),IF(INDEX(Comenzi!$AM:$AM,$X416)="Valoare marfa",INDEX('PI Furnizor'!$N:$N,ROW()-3),$E416))))</f>
        <v/>
      </c>
    </row>
    <row r="417" spans="1:31" x14ac:dyDescent="0.3">
      <c r="A417" s="28" t="str">
        <f>IF(COUNTA(INDEX('PI Furnizor'!$A:$E,ROW()-3,0))=0,"",IF(INDEX('PI Furnizor'!$A:$A,ROW()-3)="","?",INDEX('PI Furnizor'!$A:$A,ROW()-3)))</f>
        <v/>
      </c>
      <c r="B417" s="29" t="str">
        <f>IF(ISNUMBER($X417),INDEX(Comenzi!$B:$B,$X417),"")</f>
        <v/>
      </c>
      <c r="C417" s="28" t="str">
        <f>IF($A417="","",INDEX('PI Furnizor'!$B:$B,ROW()-3)&amp;"")</f>
        <v/>
      </c>
      <c r="D417" s="28" t="str">
        <f>IF($A417="","",INDEX('PI Furnizor'!$C:$C,ROW()-3)&amp;"")</f>
        <v/>
      </c>
      <c r="E417" s="30" t="str">
        <f>IF($A417="","",N(INDEX('PI Furnizor'!$D:$D,ROW()-3)))</f>
        <v/>
      </c>
      <c r="F417" s="31" t="str">
        <f>IF(ISNUMBER($X417),INDEX(Comenzi!$G:$G,$X417),"")</f>
        <v/>
      </c>
      <c r="G417" s="32" t="str">
        <f>IF($A417="","",N(INDEX('PI Furnizor'!$E:$E,ROW()-3)))</f>
        <v/>
      </c>
      <c r="H417" s="33" t="str">
        <f t="shared" si="78"/>
        <v/>
      </c>
      <c r="I417" s="34" t="str">
        <f>IF($Y417&lt;&gt;1,"",IFERROR($AE417/INDEX(Comenzi!$AN:$AN,$X417),0))</f>
        <v/>
      </c>
      <c r="J417" s="33" t="str">
        <f>IF($Y417&lt;&gt;1,"",INDEX(Comenzi!$AG:$AG,$X417)*$I417/$E417)</f>
        <v/>
      </c>
      <c r="K417" s="33" t="str">
        <f t="shared" si="79"/>
        <v/>
      </c>
      <c r="L417" s="33" t="str">
        <f>IF($Y417&lt;&gt;1,"",$K417*$AD417+INDEX(Comenzi!$AJ:$AJ,$X417)*$I417/$E417)</f>
        <v/>
      </c>
      <c r="M417" s="33" t="str">
        <f t="shared" si="80"/>
        <v/>
      </c>
      <c r="N417" s="33" t="str">
        <f t="shared" si="81"/>
        <v/>
      </c>
      <c r="O417" s="33" t="str">
        <f>IF($Y417&lt;&gt;1,"",(INDEX(Comenzi!$AK:$AK,$X417)+N(INDEX(Comenzi!$T:$T,$X417)))*$I417/$E417)</f>
        <v/>
      </c>
      <c r="P417" s="35" t="str">
        <f t="shared" si="82"/>
        <v/>
      </c>
      <c r="Q417" s="36" t="str">
        <f t="shared" si="83"/>
        <v/>
      </c>
      <c r="R417" s="37" t="str">
        <f t="shared" si="84"/>
        <v/>
      </c>
      <c r="S417" s="38" t="str">
        <f t="shared" si="85"/>
        <v/>
      </c>
      <c r="T417" s="39" t="str">
        <f t="shared" si="86"/>
        <v/>
      </c>
      <c r="U417" s="40" t="str">
        <f t="shared" si="87"/>
        <v/>
      </c>
      <c r="V417" s="33" t="str">
        <f t="shared" si="88"/>
        <v/>
      </c>
      <c r="W417" s="33" t="str">
        <f t="shared" si="89"/>
        <v/>
      </c>
      <c r="X417" s="41" t="str">
        <f>IF($A417="","",IFERROR(MATCH($A417,Comenzi!$A$9:$A$108,0)+8,""))</f>
        <v/>
      </c>
      <c r="Y417" s="41" t="str">
        <f t="shared" si="90"/>
        <v/>
      </c>
      <c r="Z417" s="42" t="str">
        <f>IF($A417="","",IF($A417="?","Lipseste ID-ul comenzii (col. A din PI Furnizor)",IF(NOT(ISNUMBER($X417)),"ID comanda negasit in foaia Comenzi",IF(N($E417)&lt;=0,"Lipseste cantitatea",IF(N($G417)=0,"Pret unitar lipsa",IF($Y417&lt;&gt;1,"Curs sau moneda marfa lipsa (foaia Comenzi)",IF(INDEX(Comenzi!$AT:$AT,$X417)&lt;&gt;"OK","Avertisment comanda: "&amp;INDEX(Comenzi!$AT:$AT,$X417),"OK")))))))</f>
        <v/>
      </c>
      <c r="AA417" s="43" t="str">
        <f>IF(ISNUMBER($X417),INDEX(Comenzi!$H:$H,$X417),"")</f>
        <v/>
      </c>
      <c r="AB417" s="43" t="str">
        <f>IF(ISNUMBER($X417),INDEX(Comenzi!$I:$I,$X417),"")</f>
        <v/>
      </c>
      <c r="AC417" s="44" t="str">
        <f>IF(ISNUMBER($X417),IF(INDEX(Comenzi!$V:$V,$X417)="",Comenzi!$D$3,INDEX(Comenzi!$V:$V,$X417)),"")</f>
        <v/>
      </c>
      <c r="AD417" s="44" t="str">
        <f>IF(ISNUMBER($X417),IF(INDEX(Comenzi!$U:$U,$X417)="",Comenzi!$D$4,INDEX(Comenzi!$U:$U,$X417)),"")</f>
        <v/>
      </c>
      <c r="AE417" s="45" t="str">
        <f>IF($Y417&lt;&gt;1,"",IF(INDEX(Comenzi!$AM:$AM,$X417)="Greutate",INDEX('PI Furnizor'!$O:$O,ROW()-3),IF(INDEX(Comenzi!$AM:$AM,$X417)="Volum (CBM)",INDEX('PI Furnizor'!$Q:$Q,ROW()-3),IF(INDEX(Comenzi!$AM:$AM,$X417)="Valoare marfa",INDEX('PI Furnizor'!$N:$N,ROW()-3),$E417))))</f>
        <v/>
      </c>
    </row>
    <row r="418" spans="1:31" x14ac:dyDescent="0.3">
      <c r="A418" s="28" t="str">
        <f>IF(COUNTA(INDEX('PI Furnizor'!$A:$E,ROW()-3,0))=0,"",IF(INDEX('PI Furnizor'!$A:$A,ROW()-3)="","?",INDEX('PI Furnizor'!$A:$A,ROW()-3)))</f>
        <v/>
      </c>
      <c r="B418" s="29" t="str">
        <f>IF(ISNUMBER($X418),INDEX(Comenzi!$B:$B,$X418),"")</f>
        <v/>
      </c>
      <c r="C418" s="28" t="str">
        <f>IF($A418="","",INDEX('PI Furnizor'!$B:$B,ROW()-3)&amp;"")</f>
        <v/>
      </c>
      <c r="D418" s="28" t="str">
        <f>IF($A418="","",INDEX('PI Furnizor'!$C:$C,ROW()-3)&amp;"")</f>
        <v/>
      </c>
      <c r="E418" s="30" t="str">
        <f>IF($A418="","",N(INDEX('PI Furnizor'!$D:$D,ROW()-3)))</f>
        <v/>
      </c>
      <c r="F418" s="31" t="str">
        <f>IF(ISNUMBER($X418),INDEX(Comenzi!$G:$G,$X418),"")</f>
        <v/>
      </c>
      <c r="G418" s="32" t="str">
        <f>IF($A418="","",N(INDEX('PI Furnizor'!$E:$E,ROW()-3)))</f>
        <v/>
      </c>
      <c r="H418" s="33" t="str">
        <f t="shared" si="78"/>
        <v/>
      </c>
      <c r="I418" s="34" t="str">
        <f>IF($Y418&lt;&gt;1,"",IFERROR($AE418/INDEX(Comenzi!$AN:$AN,$X418),0))</f>
        <v/>
      </c>
      <c r="J418" s="33" t="str">
        <f>IF($Y418&lt;&gt;1,"",INDEX(Comenzi!$AG:$AG,$X418)*$I418/$E418)</f>
        <v/>
      </c>
      <c r="K418" s="33" t="str">
        <f t="shared" si="79"/>
        <v/>
      </c>
      <c r="L418" s="33" t="str">
        <f>IF($Y418&lt;&gt;1,"",$K418*$AD418+INDEX(Comenzi!$AJ:$AJ,$X418)*$I418/$E418)</f>
        <v/>
      </c>
      <c r="M418" s="33" t="str">
        <f t="shared" si="80"/>
        <v/>
      </c>
      <c r="N418" s="33" t="str">
        <f t="shared" si="81"/>
        <v/>
      </c>
      <c r="O418" s="33" t="str">
        <f>IF($Y418&lt;&gt;1,"",(INDEX(Comenzi!$AK:$AK,$X418)+N(INDEX(Comenzi!$T:$T,$X418)))*$I418/$E418)</f>
        <v/>
      </c>
      <c r="P418" s="35" t="str">
        <f t="shared" si="82"/>
        <v/>
      </c>
      <c r="Q418" s="36" t="str">
        <f t="shared" si="83"/>
        <v/>
      </c>
      <c r="R418" s="37" t="str">
        <f t="shared" si="84"/>
        <v/>
      </c>
      <c r="S418" s="38" t="str">
        <f t="shared" si="85"/>
        <v/>
      </c>
      <c r="T418" s="39" t="str">
        <f t="shared" si="86"/>
        <v/>
      </c>
      <c r="U418" s="40" t="str">
        <f t="shared" si="87"/>
        <v/>
      </c>
      <c r="V418" s="33" t="str">
        <f t="shared" si="88"/>
        <v/>
      </c>
      <c r="W418" s="33" t="str">
        <f t="shared" si="89"/>
        <v/>
      </c>
      <c r="X418" s="41" t="str">
        <f>IF($A418="","",IFERROR(MATCH($A418,Comenzi!$A$9:$A$108,0)+8,""))</f>
        <v/>
      </c>
      <c r="Y418" s="41" t="str">
        <f t="shared" si="90"/>
        <v/>
      </c>
      <c r="Z418" s="42" t="str">
        <f>IF($A418="","",IF($A418="?","Lipseste ID-ul comenzii (col. A din PI Furnizor)",IF(NOT(ISNUMBER($X418)),"ID comanda negasit in foaia Comenzi",IF(N($E418)&lt;=0,"Lipseste cantitatea",IF(N($G418)=0,"Pret unitar lipsa",IF($Y418&lt;&gt;1,"Curs sau moneda marfa lipsa (foaia Comenzi)",IF(INDEX(Comenzi!$AT:$AT,$X418)&lt;&gt;"OK","Avertisment comanda: "&amp;INDEX(Comenzi!$AT:$AT,$X418),"OK")))))))</f>
        <v/>
      </c>
      <c r="AA418" s="43" t="str">
        <f>IF(ISNUMBER($X418),INDEX(Comenzi!$H:$H,$X418),"")</f>
        <v/>
      </c>
      <c r="AB418" s="43" t="str">
        <f>IF(ISNUMBER($X418),INDEX(Comenzi!$I:$I,$X418),"")</f>
        <v/>
      </c>
      <c r="AC418" s="44" t="str">
        <f>IF(ISNUMBER($X418),IF(INDEX(Comenzi!$V:$V,$X418)="",Comenzi!$D$3,INDEX(Comenzi!$V:$V,$X418)),"")</f>
        <v/>
      </c>
      <c r="AD418" s="44" t="str">
        <f>IF(ISNUMBER($X418),IF(INDEX(Comenzi!$U:$U,$X418)="",Comenzi!$D$4,INDEX(Comenzi!$U:$U,$X418)),"")</f>
        <v/>
      </c>
      <c r="AE418" s="45" t="str">
        <f>IF($Y418&lt;&gt;1,"",IF(INDEX(Comenzi!$AM:$AM,$X418)="Greutate",INDEX('PI Furnizor'!$O:$O,ROW()-3),IF(INDEX(Comenzi!$AM:$AM,$X418)="Volum (CBM)",INDEX('PI Furnizor'!$Q:$Q,ROW()-3),IF(INDEX(Comenzi!$AM:$AM,$X418)="Valoare marfa",INDEX('PI Furnizor'!$N:$N,ROW()-3),$E418))))</f>
        <v/>
      </c>
    </row>
    <row r="419" spans="1:31" x14ac:dyDescent="0.3">
      <c r="A419" s="28" t="str">
        <f>IF(COUNTA(INDEX('PI Furnizor'!$A:$E,ROW()-3,0))=0,"",IF(INDEX('PI Furnizor'!$A:$A,ROW()-3)="","?",INDEX('PI Furnizor'!$A:$A,ROW()-3)))</f>
        <v/>
      </c>
      <c r="B419" s="29" t="str">
        <f>IF(ISNUMBER($X419),INDEX(Comenzi!$B:$B,$X419),"")</f>
        <v/>
      </c>
      <c r="C419" s="28" t="str">
        <f>IF($A419="","",INDEX('PI Furnizor'!$B:$B,ROW()-3)&amp;"")</f>
        <v/>
      </c>
      <c r="D419" s="28" t="str">
        <f>IF($A419="","",INDEX('PI Furnizor'!$C:$C,ROW()-3)&amp;"")</f>
        <v/>
      </c>
      <c r="E419" s="30" t="str">
        <f>IF($A419="","",N(INDEX('PI Furnizor'!$D:$D,ROW()-3)))</f>
        <v/>
      </c>
      <c r="F419" s="31" t="str">
        <f>IF(ISNUMBER($X419),INDEX(Comenzi!$G:$G,$X419),"")</f>
        <v/>
      </c>
      <c r="G419" s="32" t="str">
        <f>IF($A419="","",N(INDEX('PI Furnizor'!$E:$E,ROW()-3)))</f>
        <v/>
      </c>
      <c r="H419" s="33" t="str">
        <f t="shared" si="78"/>
        <v/>
      </c>
      <c r="I419" s="34" t="str">
        <f>IF($Y419&lt;&gt;1,"",IFERROR($AE419/INDEX(Comenzi!$AN:$AN,$X419),0))</f>
        <v/>
      </c>
      <c r="J419" s="33" t="str">
        <f>IF($Y419&lt;&gt;1,"",INDEX(Comenzi!$AG:$AG,$X419)*$I419/$E419)</f>
        <v/>
      </c>
      <c r="K419" s="33" t="str">
        <f t="shared" si="79"/>
        <v/>
      </c>
      <c r="L419" s="33" t="str">
        <f>IF($Y419&lt;&gt;1,"",$K419*$AD419+INDEX(Comenzi!$AJ:$AJ,$X419)*$I419/$E419)</f>
        <v/>
      </c>
      <c r="M419" s="33" t="str">
        <f t="shared" si="80"/>
        <v/>
      </c>
      <c r="N419" s="33" t="str">
        <f t="shared" si="81"/>
        <v/>
      </c>
      <c r="O419" s="33" t="str">
        <f>IF($Y419&lt;&gt;1,"",(INDEX(Comenzi!$AK:$AK,$X419)+N(INDEX(Comenzi!$T:$T,$X419)))*$I419/$E419)</f>
        <v/>
      </c>
      <c r="P419" s="35" t="str">
        <f t="shared" si="82"/>
        <v/>
      </c>
      <c r="Q419" s="36" t="str">
        <f t="shared" si="83"/>
        <v/>
      </c>
      <c r="R419" s="37" t="str">
        <f t="shared" si="84"/>
        <v/>
      </c>
      <c r="S419" s="38" t="str">
        <f t="shared" si="85"/>
        <v/>
      </c>
      <c r="T419" s="39" t="str">
        <f t="shared" si="86"/>
        <v/>
      </c>
      <c r="U419" s="40" t="str">
        <f t="shared" si="87"/>
        <v/>
      </c>
      <c r="V419" s="33" t="str">
        <f t="shared" si="88"/>
        <v/>
      </c>
      <c r="W419" s="33" t="str">
        <f t="shared" si="89"/>
        <v/>
      </c>
      <c r="X419" s="41" t="str">
        <f>IF($A419="","",IFERROR(MATCH($A419,Comenzi!$A$9:$A$108,0)+8,""))</f>
        <v/>
      </c>
      <c r="Y419" s="41" t="str">
        <f t="shared" si="90"/>
        <v/>
      </c>
      <c r="Z419" s="42" t="str">
        <f>IF($A419="","",IF($A419="?","Lipseste ID-ul comenzii (col. A din PI Furnizor)",IF(NOT(ISNUMBER($X419)),"ID comanda negasit in foaia Comenzi",IF(N($E419)&lt;=0,"Lipseste cantitatea",IF(N($G419)=0,"Pret unitar lipsa",IF($Y419&lt;&gt;1,"Curs sau moneda marfa lipsa (foaia Comenzi)",IF(INDEX(Comenzi!$AT:$AT,$X419)&lt;&gt;"OK","Avertisment comanda: "&amp;INDEX(Comenzi!$AT:$AT,$X419),"OK")))))))</f>
        <v/>
      </c>
      <c r="AA419" s="43" t="str">
        <f>IF(ISNUMBER($X419),INDEX(Comenzi!$H:$H,$X419),"")</f>
        <v/>
      </c>
      <c r="AB419" s="43" t="str">
        <f>IF(ISNUMBER($X419),INDEX(Comenzi!$I:$I,$X419),"")</f>
        <v/>
      </c>
      <c r="AC419" s="44" t="str">
        <f>IF(ISNUMBER($X419),IF(INDEX(Comenzi!$V:$V,$X419)="",Comenzi!$D$3,INDEX(Comenzi!$V:$V,$X419)),"")</f>
        <v/>
      </c>
      <c r="AD419" s="44" t="str">
        <f>IF(ISNUMBER($X419),IF(INDEX(Comenzi!$U:$U,$X419)="",Comenzi!$D$4,INDEX(Comenzi!$U:$U,$X419)),"")</f>
        <v/>
      </c>
      <c r="AE419" s="45" t="str">
        <f>IF($Y419&lt;&gt;1,"",IF(INDEX(Comenzi!$AM:$AM,$X419)="Greutate",INDEX('PI Furnizor'!$O:$O,ROW()-3),IF(INDEX(Comenzi!$AM:$AM,$X419)="Volum (CBM)",INDEX('PI Furnizor'!$Q:$Q,ROW()-3),IF(INDEX(Comenzi!$AM:$AM,$X419)="Valoare marfa",INDEX('PI Furnizor'!$N:$N,ROW()-3),$E419))))</f>
        <v/>
      </c>
    </row>
    <row r="420" spans="1:31" x14ac:dyDescent="0.3">
      <c r="A420" s="28" t="str">
        <f>IF(COUNTA(INDEX('PI Furnizor'!$A:$E,ROW()-3,0))=0,"",IF(INDEX('PI Furnizor'!$A:$A,ROW()-3)="","?",INDEX('PI Furnizor'!$A:$A,ROW()-3)))</f>
        <v/>
      </c>
      <c r="B420" s="29" t="str">
        <f>IF(ISNUMBER($X420),INDEX(Comenzi!$B:$B,$X420),"")</f>
        <v/>
      </c>
      <c r="C420" s="28" t="str">
        <f>IF($A420="","",INDEX('PI Furnizor'!$B:$B,ROW()-3)&amp;"")</f>
        <v/>
      </c>
      <c r="D420" s="28" t="str">
        <f>IF($A420="","",INDEX('PI Furnizor'!$C:$C,ROW()-3)&amp;"")</f>
        <v/>
      </c>
      <c r="E420" s="30" t="str">
        <f>IF($A420="","",N(INDEX('PI Furnizor'!$D:$D,ROW()-3)))</f>
        <v/>
      </c>
      <c r="F420" s="31" t="str">
        <f>IF(ISNUMBER($X420),INDEX(Comenzi!$G:$G,$X420),"")</f>
        <v/>
      </c>
      <c r="G420" s="32" t="str">
        <f>IF($A420="","",N(INDEX('PI Furnizor'!$E:$E,ROW()-3)))</f>
        <v/>
      </c>
      <c r="H420" s="33" t="str">
        <f t="shared" si="78"/>
        <v/>
      </c>
      <c r="I420" s="34" t="str">
        <f>IF($Y420&lt;&gt;1,"",IFERROR($AE420/INDEX(Comenzi!$AN:$AN,$X420),0))</f>
        <v/>
      </c>
      <c r="J420" s="33" t="str">
        <f>IF($Y420&lt;&gt;1,"",INDEX(Comenzi!$AG:$AG,$X420)*$I420/$E420)</f>
        <v/>
      </c>
      <c r="K420" s="33" t="str">
        <f t="shared" si="79"/>
        <v/>
      </c>
      <c r="L420" s="33" t="str">
        <f>IF($Y420&lt;&gt;1,"",$K420*$AD420+INDEX(Comenzi!$AJ:$AJ,$X420)*$I420/$E420)</f>
        <v/>
      </c>
      <c r="M420" s="33" t="str">
        <f t="shared" si="80"/>
        <v/>
      </c>
      <c r="N420" s="33" t="str">
        <f t="shared" si="81"/>
        <v/>
      </c>
      <c r="O420" s="33" t="str">
        <f>IF($Y420&lt;&gt;1,"",(INDEX(Comenzi!$AK:$AK,$X420)+N(INDEX(Comenzi!$T:$T,$X420)))*$I420/$E420)</f>
        <v/>
      </c>
      <c r="P420" s="35" t="str">
        <f t="shared" si="82"/>
        <v/>
      </c>
      <c r="Q420" s="36" t="str">
        <f t="shared" si="83"/>
        <v/>
      </c>
      <c r="R420" s="37" t="str">
        <f t="shared" si="84"/>
        <v/>
      </c>
      <c r="S420" s="38" t="str">
        <f t="shared" si="85"/>
        <v/>
      </c>
      <c r="T420" s="39" t="str">
        <f t="shared" si="86"/>
        <v/>
      </c>
      <c r="U420" s="40" t="str">
        <f t="shared" si="87"/>
        <v/>
      </c>
      <c r="V420" s="33" t="str">
        <f t="shared" si="88"/>
        <v/>
      </c>
      <c r="W420" s="33" t="str">
        <f t="shared" si="89"/>
        <v/>
      </c>
      <c r="X420" s="41" t="str">
        <f>IF($A420="","",IFERROR(MATCH($A420,Comenzi!$A$9:$A$108,0)+8,""))</f>
        <v/>
      </c>
      <c r="Y420" s="41" t="str">
        <f t="shared" si="90"/>
        <v/>
      </c>
      <c r="Z420" s="42" t="str">
        <f>IF($A420="","",IF($A420="?","Lipseste ID-ul comenzii (col. A din PI Furnizor)",IF(NOT(ISNUMBER($X420)),"ID comanda negasit in foaia Comenzi",IF(N($E420)&lt;=0,"Lipseste cantitatea",IF(N($G420)=0,"Pret unitar lipsa",IF($Y420&lt;&gt;1,"Curs sau moneda marfa lipsa (foaia Comenzi)",IF(INDEX(Comenzi!$AT:$AT,$X420)&lt;&gt;"OK","Avertisment comanda: "&amp;INDEX(Comenzi!$AT:$AT,$X420),"OK")))))))</f>
        <v/>
      </c>
      <c r="AA420" s="43" t="str">
        <f>IF(ISNUMBER($X420),INDEX(Comenzi!$H:$H,$X420),"")</f>
        <v/>
      </c>
      <c r="AB420" s="43" t="str">
        <f>IF(ISNUMBER($X420),INDEX(Comenzi!$I:$I,$X420),"")</f>
        <v/>
      </c>
      <c r="AC420" s="44" t="str">
        <f>IF(ISNUMBER($X420),IF(INDEX(Comenzi!$V:$V,$X420)="",Comenzi!$D$3,INDEX(Comenzi!$V:$V,$X420)),"")</f>
        <v/>
      </c>
      <c r="AD420" s="44" t="str">
        <f>IF(ISNUMBER($X420),IF(INDEX(Comenzi!$U:$U,$X420)="",Comenzi!$D$4,INDEX(Comenzi!$U:$U,$X420)),"")</f>
        <v/>
      </c>
      <c r="AE420" s="45" t="str">
        <f>IF($Y420&lt;&gt;1,"",IF(INDEX(Comenzi!$AM:$AM,$X420)="Greutate",INDEX('PI Furnizor'!$O:$O,ROW()-3),IF(INDEX(Comenzi!$AM:$AM,$X420)="Volum (CBM)",INDEX('PI Furnizor'!$Q:$Q,ROW()-3),IF(INDEX(Comenzi!$AM:$AM,$X420)="Valoare marfa",INDEX('PI Furnizor'!$N:$N,ROW()-3),$E420))))</f>
        <v/>
      </c>
    </row>
    <row r="421" spans="1:31" x14ac:dyDescent="0.3">
      <c r="A421" s="28" t="str">
        <f>IF(COUNTA(INDEX('PI Furnizor'!$A:$E,ROW()-3,0))=0,"",IF(INDEX('PI Furnizor'!$A:$A,ROW()-3)="","?",INDEX('PI Furnizor'!$A:$A,ROW()-3)))</f>
        <v/>
      </c>
      <c r="B421" s="29" t="str">
        <f>IF(ISNUMBER($X421),INDEX(Comenzi!$B:$B,$X421),"")</f>
        <v/>
      </c>
      <c r="C421" s="28" t="str">
        <f>IF($A421="","",INDEX('PI Furnizor'!$B:$B,ROW()-3)&amp;"")</f>
        <v/>
      </c>
      <c r="D421" s="28" t="str">
        <f>IF($A421="","",INDEX('PI Furnizor'!$C:$C,ROW()-3)&amp;"")</f>
        <v/>
      </c>
      <c r="E421" s="30" t="str">
        <f>IF($A421="","",N(INDEX('PI Furnizor'!$D:$D,ROW()-3)))</f>
        <v/>
      </c>
      <c r="F421" s="31" t="str">
        <f>IF(ISNUMBER($X421),INDEX(Comenzi!$G:$G,$X421),"")</f>
        <v/>
      </c>
      <c r="G421" s="32" t="str">
        <f>IF($A421="","",N(INDEX('PI Furnizor'!$E:$E,ROW()-3)))</f>
        <v/>
      </c>
      <c r="H421" s="33" t="str">
        <f t="shared" si="78"/>
        <v/>
      </c>
      <c r="I421" s="34" t="str">
        <f>IF($Y421&lt;&gt;1,"",IFERROR($AE421/INDEX(Comenzi!$AN:$AN,$X421),0))</f>
        <v/>
      </c>
      <c r="J421" s="33" t="str">
        <f>IF($Y421&lt;&gt;1,"",INDEX(Comenzi!$AG:$AG,$X421)*$I421/$E421)</f>
        <v/>
      </c>
      <c r="K421" s="33" t="str">
        <f t="shared" si="79"/>
        <v/>
      </c>
      <c r="L421" s="33" t="str">
        <f>IF($Y421&lt;&gt;1,"",$K421*$AD421+INDEX(Comenzi!$AJ:$AJ,$X421)*$I421/$E421)</f>
        <v/>
      </c>
      <c r="M421" s="33" t="str">
        <f t="shared" si="80"/>
        <v/>
      </c>
      <c r="N421" s="33" t="str">
        <f t="shared" si="81"/>
        <v/>
      </c>
      <c r="O421" s="33" t="str">
        <f>IF($Y421&lt;&gt;1,"",(INDEX(Comenzi!$AK:$AK,$X421)+N(INDEX(Comenzi!$T:$T,$X421)))*$I421/$E421)</f>
        <v/>
      </c>
      <c r="P421" s="35" t="str">
        <f t="shared" si="82"/>
        <v/>
      </c>
      <c r="Q421" s="36" t="str">
        <f t="shared" si="83"/>
        <v/>
      </c>
      <c r="R421" s="37" t="str">
        <f t="shared" si="84"/>
        <v/>
      </c>
      <c r="S421" s="38" t="str">
        <f t="shared" si="85"/>
        <v/>
      </c>
      <c r="T421" s="39" t="str">
        <f t="shared" si="86"/>
        <v/>
      </c>
      <c r="U421" s="40" t="str">
        <f t="shared" si="87"/>
        <v/>
      </c>
      <c r="V421" s="33" t="str">
        <f t="shared" si="88"/>
        <v/>
      </c>
      <c r="W421" s="33" t="str">
        <f t="shared" si="89"/>
        <v/>
      </c>
      <c r="X421" s="41" t="str">
        <f>IF($A421="","",IFERROR(MATCH($A421,Comenzi!$A$9:$A$108,0)+8,""))</f>
        <v/>
      </c>
      <c r="Y421" s="41" t="str">
        <f t="shared" si="90"/>
        <v/>
      </c>
      <c r="Z421" s="42" t="str">
        <f>IF($A421="","",IF($A421="?","Lipseste ID-ul comenzii (col. A din PI Furnizor)",IF(NOT(ISNUMBER($X421)),"ID comanda negasit in foaia Comenzi",IF(N($E421)&lt;=0,"Lipseste cantitatea",IF(N($G421)=0,"Pret unitar lipsa",IF($Y421&lt;&gt;1,"Curs sau moneda marfa lipsa (foaia Comenzi)",IF(INDEX(Comenzi!$AT:$AT,$X421)&lt;&gt;"OK","Avertisment comanda: "&amp;INDEX(Comenzi!$AT:$AT,$X421),"OK")))))))</f>
        <v/>
      </c>
      <c r="AA421" s="43" t="str">
        <f>IF(ISNUMBER($X421),INDEX(Comenzi!$H:$H,$X421),"")</f>
        <v/>
      </c>
      <c r="AB421" s="43" t="str">
        <f>IF(ISNUMBER($X421),INDEX(Comenzi!$I:$I,$X421),"")</f>
        <v/>
      </c>
      <c r="AC421" s="44" t="str">
        <f>IF(ISNUMBER($X421),IF(INDEX(Comenzi!$V:$V,$X421)="",Comenzi!$D$3,INDEX(Comenzi!$V:$V,$X421)),"")</f>
        <v/>
      </c>
      <c r="AD421" s="44" t="str">
        <f>IF(ISNUMBER($X421),IF(INDEX(Comenzi!$U:$U,$X421)="",Comenzi!$D$4,INDEX(Comenzi!$U:$U,$X421)),"")</f>
        <v/>
      </c>
      <c r="AE421" s="45" t="str">
        <f>IF($Y421&lt;&gt;1,"",IF(INDEX(Comenzi!$AM:$AM,$X421)="Greutate",INDEX('PI Furnizor'!$O:$O,ROW()-3),IF(INDEX(Comenzi!$AM:$AM,$X421)="Volum (CBM)",INDEX('PI Furnizor'!$Q:$Q,ROW()-3),IF(INDEX(Comenzi!$AM:$AM,$X421)="Valoare marfa",INDEX('PI Furnizor'!$N:$N,ROW()-3),$E421))))</f>
        <v/>
      </c>
    </row>
    <row r="422" spans="1:31" x14ac:dyDescent="0.3">
      <c r="A422" s="28" t="str">
        <f>IF(COUNTA(INDEX('PI Furnizor'!$A:$E,ROW()-3,0))=0,"",IF(INDEX('PI Furnizor'!$A:$A,ROW()-3)="","?",INDEX('PI Furnizor'!$A:$A,ROW()-3)))</f>
        <v/>
      </c>
      <c r="B422" s="29" t="str">
        <f>IF(ISNUMBER($X422),INDEX(Comenzi!$B:$B,$X422),"")</f>
        <v/>
      </c>
      <c r="C422" s="28" t="str">
        <f>IF($A422="","",INDEX('PI Furnizor'!$B:$B,ROW()-3)&amp;"")</f>
        <v/>
      </c>
      <c r="D422" s="28" t="str">
        <f>IF($A422="","",INDEX('PI Furnizor'!$C:$C,ROW()-3)&amp;"")</f>
        <v/>
      </c>
      <c r="E422" s="30" t="str">
        <f>IF($A422="","",N(INDEX('PI Furnizor'!$D:$D,ROW()-3)))</f>
        <v/>
      </c>
      <c r="F422" s="31" t="str">
        <f>IF(ISNUMBER($X422),INDEX(Comenzi!$G:$G,$X422),"")</f>
        <v/>
      </c>
      <c r="G422" s="32" t="str">
        <f>IF($A422="","",N(INDEX('PI Furnizor'!$E:$E,ROW()-3)))</f>
        <v/>
      </c>
      <c r="H422" s="33" t="str">
        <f t="shared" si="78"/>
        <v/>
      </c>
      <c r="I422" s="34" t="str">
        <f>IF($Y422&lt;&gt;1,"",IFERROR($AE422/INDEX(Comenzi!$AN:$AN,$X422),0))</f>
        <v/>
      </c>
      <c r="J422" s="33" t="str">
        <f>IF($Y422&lt;&gt;1,"",INDEX(Comenzi!$AG:$AG,$X422)*$I422/$E422)</f>
        <v/>
      </c>
      <c r="K422" s="33" t="str">
        <f t="shared" si="79"/>
        <v/>
      </c>
      <c r="L422" s="33" t="str">
        <f>IF($Y422&lt;&gt;1,"",$K422*$AD422+INDEX(Comenzi!$AJ:$AJ,$X422)*$I422/$E422)</f>
        <v/>
      </c>
      <c r="M422" s="33" t="str">
        <f t="shared" si="80"/>
        <v/>
      </c>
      <c r="N422" s="33" t="str">
        <f t="shared" si="81"/>
        <v/>
      </c>
      <c r="O422" s="33" t="str">
        <f>IF($Y422&lt;&gt;1,"",(INDEX(Comenzi!$AK:$AK,$X422)+N(INDEX(Comenzi!$T:$T,$X422)))*$I422/$E422)</f>
        <v/>
      </c>
      <c r="P422" s="35" t="str">
        <f t="shared" si="82"/>
        <v/>
      </c>
      <c r="Q422" s="36" t="str">
        <f t="shared" si="83"/>
        <v/>
      </c>
      <c r="R422" s="37" t="str">
        <f t="shared" si="84"/>
        <v/>
      </c>
      <c r="S422" s="38" t="str">
        <f t="shared" si="85"/>
        <v/>
      </c>
      <c r="T422" s="39" t="str">
        <f t="shared" si="86"/>
        <v/>
      </c>
      <c r="U422" s="40" t="str">
        <f t="shared" si="87"/>
        <v/>
      </c>
      <c r="V422" s="33" t="str">
        <f t="shared" si="88"/>
        <v/>
      </c>
      <c r="W422" s="33" t="str">
        <f t="shared" si="89"/>
        <v/>
      </c>
      <c r="X422" s="41" t="str">
        <f>IF($A422="","",IFERROR(MATCH($A422,Comenzi!$A$9:$A$108,0)+8,""))</f>
        <v/>
      </c>
      <c r="Y422" s="41" t="str">
        <f t="shared" si="90"/>
        <v/>
      </c>
      <c r="Z422" s="42" t="str">
        <f>IF($A422="","",IF($A422="?","Lipseste ID-ul comenzii (col. A din PI Furnizor)",IF(NOT(ISNUMBER($X422)),"ID comanda negasit in foaia Comenzi",IF(N($E422)&lt;=0,"Lipseste cantitatea",IF(N($G422)=0,"Pret unitar lipsa",IF($Y422&lt;&gt;1,"Curs sau moneda marfa lipsa (foaia Comenzi)",IF(INDEX(Comenzi!$AT:$AT,$X422)&lt;&gt;"OK","Avertisment comanda: "&amp;INDEX(Comenzi!$AT:$AT,$X422),"OK")))))))</f>
        <v/>
      </c>
      <c r="AA422" s="43" t="str">
        <f>IF(ISNUMBER($X422),INDEX(Comenzi!$H:$H,$X422),"")</f>
        <v/>
      </c>
      <c r="AB422" s="43" t="str">
        <f>IF(ISNUMBER($X422),INDEX(Comenzi!$I:$I,$X422),"")</f>
        <v/>
      </c>
      <c r="AC422" s="44" t="str">
        <f>IF(ISNUMBER($X422),IF(INDEX(Comenzi!$V:$V,$X422)="",Comenzi!$D$3,INDEX(Comenzi!$V:$V,$X422)),"")</f>
        <v/>
      </c>
      <c r="AD422" s="44" t="str">
        <f>IF(ISNUMBER($X422),IF(INDEX(Comenzi!$U:$U,$X422)="",Comenzi!$D$4,INDEX(Comenzi!$U:$U,$X422)),"")</f>
        <v/>
      </c>
      <c r="AE422" s="45" t="str">
        <f>IF($Y422&lt;&gt;1,"",IF(INDEX(Comenzi!$AM:$AM,$X422)="Greutate",INDEX('PI Furnizor'!$O:$O,ROW()-3),IF(INDEX(Comenzi!$AM:$AM,$X422)="Volum (CBM)",INDEX('PI Furnizor'!$Q:$Q,ROW()-3),IF(INDEX(Comenzi!$AM:$AM,$X422)="Valoare marfa",INDEX('PI Furnizor'!$N:$N,ROW()-3),$E422))))</f>
        <v/>
      </c>
    </row>
    <row r="423" spans="1:31" x14ac:dyDescent="0.3">
      <c r="A423" s="28" t="str">
        <f>IF(COUNTA(INDEX('PI Furnizor'!$A:$E,ROW()-3,0))=0,"",IF(INDEX('PI Furnizor'!$A:$A,ROW()-3)="","?",INDEX('PI Furnizor'!$A:$A,ROW()-3)))</f>
        <v/>
      </c>
      <c r="B423" s="29" t="str">
        <f>IF(ISNUMBER($X423),INDEX(Comenzi!$B:$B,$X423),"")</f>
        <v/>
      </c>
      <c r="C423" s="28" t="str">
        <f>IF($A423="","",INDEX('PI Furnizor'!$B:$B,ROW()-3)&amp;"")</f>
        <v/>
      </c>
      <c r="D423" s="28" t="str">
        <f>IF($A423="","",INDEX('PI Furnizor'!$C:$C,ROW()-3)&amp;"")</f>
        <v/>
      </c>
      <c r="E423" s="30" t="str">
        <f>IF($A423="","",N(INDEX('PI Furnizor'!$D:$D,ROW()-3)))</f>
        <v/>
      </c>
      <c r="F423" s="31" t="str">
        <f>IF(ISNUMBER($X423),INDEX(Comenzi!$G:$G,$X423),"")</f>
        <v/>
      </c>
      <c r="G423" s="32" t="str">
        <f>IF($A423="","",N(INDEX('PI Furnizor'!$E:$E,ROW()-3)))</f>
        <v/>
      </c>
      <c r="H423" s="33" t="str">
        <f t="shared" si="78"/>
        <v/>
      </c>
      <c r="I423" s="34" t="str">
        <f>IF($Y423&lt;&gt;1,"",IFERROR($AE423/INDEX(Comenzi!$AN:$AN,$X423),0))</f>
        <v/>
      </c>
      <c r="J423" s="33" t="str">
        <f>IF($Y423&lt;&gt;1,"",INDEX(Comenzi!$AG:$AG,$X423)*$I423/$E423)</f>
        <v/>
      </c>
      <c r="K423" s="33" t="str">
        <f t="shared" si="79"/>
        <v/>
      </c>
      <c r="L423" s="33" t="str">
        <f>IF($Y423&lt;&gt;1,"",$K423*$AD423+INDEX(Comenzi!$AJ:$AJ,$X423)*$I423/$E423)</f>
        <v/>
      </c>
      <c r="M423" s="33" t="str">
        <f t="shared" si="80"/>
        <v/>
      </c>
      <c r="N423" s="33" t="str">
        <f t="shared" si="81"/>
        <v/>
      </c>
      <c r="O423" s="33" t="str">
        <f>IF($Y423&lt;&gt;1,"",(INDEX(Comenzi!$AK:$AK,$X423)+N(INDEX(Comenzi!$T:$T,$X423)))*$I423/$E423)</f>
        <v/>
      </c>
      <c r="P423" s="35" t="str">
        <f t="shared" si="82"/>
        <v/>
      </c>
      <c r="Q423" s="36" t="str">
        <f t="shared" si="83"/>
        <v/>
      </c>
      <c r="R423" s="37" t="str">
        <f t="shared" si="84"/>
        <v/>
      </c>
      <c r="S423" s="38" t="str">
        <f t="shared" si="85"/>
        <v/>
      </c>
      <c r="T423" s="39" t="str">
        <f t="shared" si="86"/>
        <v/>
      </c>
      <c r="U423" s="40" t="str">
        <f t="shared" si="87"/>
        <v/>
      </c>
      <c r="V423" s="33" t="str">
        <f t="shared" si="88"/>
        <v/>
      </c>
      <c r="W423" s="33" t="str">
        <f t="shared" si="89"/>
        <v/>
      </c>
      <c r="X423" s="41" t="str">
        <f>IF($A423="","",IFERROR(MATCH($A423,Comenzi!$A$9:$A$108,0)+8,""))</f>
        <v/>
      </c>
      <c r="Y423" s="41" t="str">
        <f t="shared" si="90"/>
        <v/>
      </c>
      <c r="Z423" s="42" t="str">
        <f>IF($A423="","",IF($A423="?","Lipseste ID-ul comenzii (col. A din PI Furnizor)",IF(NOT(ISNUMBER($X423)),"ID comanda negasit in foaia Comenzi",IF(N($E423)&lt;=0,"Lipseste cantitatea",IF(N($G423)=0,"Pret unitar lipsa",IF($Y423&lt;&gt;1,"Curs sau moneda marfa lipsa (foaia Comenzi)",IF(INDEX(Comenzi!$AT:$AT,$X423)&lt;&gt;"OK","Avertisment comanda: "&amp;INDEX(Comenzi!$AT:$AT,$X423),"OK")))))))</f>
        <v/>
      </c>
      <c r="AA423" s="43" t="str">
        <f>IF(ISNUMBER($X423),INDEX(Comenzi!$H:$H,$X423),"")</f>
        <v/>
      </c>
      <c r="AB423" s="43" t="str">
        <f>IF(ISNUMBER($X423),INDEX(Comenzi!$I:$I,$X423),"")</f>
        <v/>
      </c>
      <c r="AC423" s="44" t="str">
        <f>IF(ISNUMBER($X423),IF(INDEX(Comenzi!$V:$V,$X423)="",Comenzi!$D$3,INDEX(Comenzi!$V:$V,$X423)),"")</f>
        <v/>
      </c>
      <c r="AD423" s="44" t="str">
        <f>IF(ISNUMBER($X423),IF(INDEX(Comenzi!$U:$U,$X423)="",Comenzi!$D$4,INDEX(Comenzi!$U:$U,$X423)),"")</f>
        <v/>
      </c>
      <c r="AE423" s="45" t="str">
        <f>IF($Y423&lt;&gt;1,"",IF(INDEX(Comenzi!$AM:$AM,$X423)="Greutate",INDEX('PI Furnizor'!$O:$O,ROW()-3),IF(INDEX(Comenzi!$AM:$AM,$X423)="Volum (CBM)",INDEX('PI Furnizor'!$Q:$Q,ROW()-3),IF(INDEX(Comenzi!$AM:$AM,$X423)="Valoare marfa",INDEX('PI Furnizor'!$N:$N,ROW()-3),$E423))))</f>
        <v/>
      </c>
    </row>
    <row r="424" spans="1:31" x14ac:dyDescent="0.3">
      <c r="A424" s="28" t="str">
        <f>IF(COUNTA(INDEX('PI Furnizor'!$A:$E,ROW()-3,0))=0,"",IF(INDEX('PI Furnizor'!$A:$A,ROW()-3)="","?",INDEX('PI Furnizor'!$A:$A,ROW()-3)))</f>
        <v/>
      </c>
      <c r="B424" s="29" t="str">
        <f>IF(ISNUMBER($X424),INDEX(Comenzi!$B:$B,$X424),"")</f>
        <v/>
      </c>
      <c r="C424" s="28" t="str">
        <f>IF($A424="","",INDEX('PI Furnizor'!$B:$B,ROW()-3)&amp;"")</f>
        <v/>
      </c>
      <c r="D424" s="28" t="str">
        <f>IF($A424="","",INDEX('PI Furnizor'!$C:$C,ROW()-3)&amp;"")</f>
        <v/>
      </c>
      <c r="E424" s="30" t="str">
        <f>IF($A424="","",N(INDEX('PI Furnizor'!$D:$D,ROW()-3)))</f>
        <v/>
      </c>
      <c r="F424" s="31" t="str">
        <f>IF(ISNUMBER($X424),INDEX(Comenzi!$G:$G,$X424),"")</f>
        <v/>
      </c>
      <c r="G424" s="32" t="str">
        <f>IF($A424="","",N(INDEX('PI Furnizor'!$E:$E,ROW()-3)))</f>
        <v/>
      </c>
      <c r="H424" s="33" t="str">
        <f t="shared" si="78"/>
        <v/>
      </c>
      <c r="I424" s="34" t="str">
        <f>IF($Y424&lt;&gt;1,"",IFERROR($AE424/INDEX(Comenzi!$AN:$AN,$X424),0))</f>
        <v/>
      </c>
      <c r="J424" s="33" t="str">
        <f>IF($Y424&lt;&gt;1,"",INDEX(Comenzi!$AG:$AG,$X424)*$I424/$E424)</f>
        <v/>
      </c>
      <c r="K424" s="33" t="str">
        <f t="shared" si="79"/>
        <v/>
      </c>
      <c r="L424" s="33" t="str">
        <f>IF($Y424&lt;&gt;1,"",$K424*$AD424+INDEX(Comenzi!$AJ:$AJ,$X424)*$I424/$E424)</f>
        <v/>
      </c>
      <c r="M424" s="33" t="str">
        <f t="shared" si="80"/>
        <v/>
      </c>
      <c r="N424" s="33" t="str">
        <f t="shared" si="81"/>
        <v/>
      </c>
      <c r="O424" s="33" t="str">
        <f>IF($Y424&lt;&gt;1,"",(INDEX(Comenzi!$AK:$AK,$X424)+N(INDEX(Comenzi!$T:$T,$X424)))*$I424/$E424)</f>
        <v/>
      </c>
      <c r="P424" s="35" t="str">
        <f t="shared" si="82"/>
        <v/>
      </c>
      <c r="Q424" s="36" t="str">
        <f t="shared" si="83"/>
        <v/>
      </c>
      <c r="R424" s="37" t="str">
        <f t="shared" si="84"/>
        <v/>
      </c>
      <c r="S424" s="38" t="str">
        <f t="shared" si="85"/>
        <v/>
      </c>
      <c r="T424" s="39" t="str">
        <f t="shared" si="86"/>
        <v/>
      </c>
      <c r="U424" s="40" t="str">
        <f t="shared" si="87"/>
        <v/>
      </c>
      <c r="V424" s="33" t="str">
        <f t="shared" si="88"/>
        <v/>
      </c>
      <c r="W424" s="33" t="str">
        <f t="shared" si="89"/>
        <v/>
      </c>
      <c r="X424" s="41" t="str">
        <f>IF($A424="","",IFERROR(MATCH($A424,Comenzi!$A$9:$A$108,0)+8,""))</f>
        <v/>
      </c>
      <c r="Y424" s="41" t="str">
        <f t="shared" si="90"/>
        <v/>
      </c>
      <c r="Z424" s="42" t="str">
        <f>IF($A424="","",IF($A424="?","Lipseste ID-ul comenzii (col. A din PI Furnizor)",IF(NOT(ISNUMBER($X424)),"ID comanda negasit in foaia Comenzi",IF(N($E424)&lt;=0,"Lipseste cantitatea",IF(N($G424)=0,"Pret unitar lipsa",IF($Y424&lt;&gt;1,"Curs sau moneda marfa lipsa (foaia Comenzi)",IF(INDEX(Comenzi!$AT:$AT,$X424)&lt;&gt;"OK","Avertisment comanda: "&amp;INDEX(Comenzi!$AT:$AT,$X424),"OK")))))))</f>
        <v/>
      </c>
      <c r="AA424" s="43" t="str">
        <f>IF(ISNUMBER($X424),INDEX(Comenzi!$H:$H,$X424),"")</f>
        <v/>
      </c>
      <c r="AB424" s="43" t="str">
        <f>IF(ISNUMBER($X424),INDEX(Comenzi!$I:$I,$X424),"")</f>
        <v/>
      </c>
      <c r="AC424" s="44" t="str">
        <f>IF(ISNUMBER($X424),IF(INDEX(Comenzi!$V:$V,$X424)="",Comenzi!$D$3,INDEX(Comenzi!$V:$V,$X424)),"")</f>
        <v/>
      </c>
      <c r="AD424" s="44" t="str">
        <f>IF(ISNUMBER($X424),IF(INDEX(Comenzi!$U:$U,$X424)="",Comenzi!$D$4,INDEX(Comenzi!$U:$U,$X424)),"")</f>
        <v/>
      </c>
      <c r="AE424" s="45" t="str">
        <f>IF($Y424&lt;&gt;1,"",IF(INDEX(Comenzi!$AM:$AM,$X424)="Greutate",INDEX('PI Furnizor'!$O:$O,ROW()-3),IF(INDEX(Comenzi!$AM:$AM,$X424)="Volum (CBM)",INDEX('PI Furnizor'!$Q:$Q,ROW()-3),IF(INDEX(Comenzi!$AM:$AM,$X424)="Valoare marfa",INDEX('PI Furnizor'!$N:$N,ROW()-3),$E424))))</f>
        <v/>
      </c>
    </row>
    <row r="425" spans="1:31" x14ac:dyDescent="0.3">
      <c r="A425" s="28" t="str">
        <f>IF(COUNTA(INDEX('PI Furnizor'!$A:$E,ROW()-3,0))=0,"",IF(INDEX('PI Furnizor'!$A:$A,ROW()-3)="","?",INDEX('PI Furnizor'!$A:$A,ROW()-3)))</f>
        <v/>
      </c>
      <c r="B425" s="29" t="str">
        <f>IF(ISNUMBER($X425),INDEX(Comenzi!$B:$B,$X425),"")</f>
        <v/>
      </c>
      <c r="C425" s="28" t="str">
        <f>IF($A425="","",INDEX('PI Furnizor'!$B:$B,ROW()-3)&amp;"")</f>
        <v/>
      </c>
      <c r="D425" s="28" t="str">
        <f>IF($A425="","",INDEX('PI Furnizor'!$C:$C,ROW()-3)&amp;"")</f>
        <v/>
      </c>
      <c r="E425" s="30" t="str">
        <f>IF($A425="","",N(INDEX('PI Furnizor'!$D:$D,ROW()-3)))</f>
        <v/>
      </c>
      <c r="F425" s="31" t="str">
        <f>IF(ISNUMBER($X425),INDEX(Comenzi!$G:$G,$X425),"")</f>
        <v/>
      </c>
      <c r="G425" s="32" t="str">
        <f>IF($A425="","",N(INDEX('PI Furnizor'!$E:$E,ROW()-3)))</f>
        <v/>
      </c>
      <c r="H425" s="33" t="str">
        <f t="shared" si="78"/>
        <v/>
      </c>
      <c r="I425" s="34" t="str">
        <f>IF($Y425&lt;&gt;1,"",IFERROR($AE425/INDEX(Comenzi!$AN:$AN,$X425),0))</f>
        <v/>
      </c>
      <c r="J425" s="33" t="str">
        <f>IF($Y425&lt;&gt;1,"",INDEX(Comenzi!$AG:$AG,$X425)*$I425/$E425)</f>
        <v/>
      </c>
      <c r="K425" s="33" t="str">
        <f t="shared" si="79"/>
        <v/>
      </c>
      <c r="L425" s="33" t="str">
        <f>IF($Y425&lt;&gt;1,"",$K425*$AD425+INDEX(Comenzi!$AJ:$AJ,$X425)*$I425/$E425)</f>
        <v/>
      </c>
      <c r="M425" s="33" t="str">
        <f t="shared" si="80"/>
        <v/>
      </c>
      <c r="N425" s="33" t="str">
        <f t="shared" si="81"/>
        <v/>
      </c>
      <c r="O425" s="33" t="str">
        <f>IF($Y425&lt;&gt;1,"",(INDEX(Comenzi!$AK:$AK,$X425)+N(INDEX(Comenzi!$T:$T,$X425)))*$I425/$E425)</f>
        <v/>
      </c>
      <c r="P425" s="35" t="str">
        <f t="shared" si="82"/>
        <v/>
      </c>
      <c r="Q425" s="36" t="str">
        <f t="shared" si="83"/>
        <v/>
      </c>
      <c r="R425" s="37" t="str">
        <f t="shared" si="84"/>
        <v/>
      </c>
      <c r="S425" s="38" t="str">
        <f t="shared" si="85"/>
        <v/>
      </c>
      <c r="T425" s="39" t="str">
        <f t="shared" si="86"/>
        <v/>
      </c>
      <c r="U425" s="40" t="str">
        <f t="shared" si="87"/>
        <v/>
      </c>
      <c r="V425" s="33" t="str">
        <f t="shared" si="88"/>
        <v/>
      </c>
      <c r="W425" s="33" t="str">
        <f t="shared" si="89"/>
        <v/>
      </c>
      <c r="X425" s="41" t="str">
        <f>IF($A425="","",IFERROR(MATCH($A425,Comenzi!$A$9:$A$108,0)+8,""))</f>
        <v/>
      </c>
      <c r="Y425" s="41" t="str">
        <f t="shared" si="90"/>
        <v/>
      </c>
      <c r="Z425" s="42" t="str">
        <f>IF($A425="","",IF($A425="?","Lipseste ID-ul comenzii (col. A din PI Furnizor)",IF(NOT(ISNUMBER($X425)),"ID comanda negasit in foaia Comenzi",IF(N($E425)&lt;=0,"Lipseste cantitatea",IF(N($G425)=0,"Pret unitar lipsa",IF($Y425&lt;&gt;1,"Curs sau moneda marfa lipsa (foaia Comenzi)",IF(INDEX(Comenzi!$AT:$AT,$X425)&lt;&gt;"OK","Avertisment comanda: "&amp;INDEX(Comenzi!$AT:$AT,$X425),"OK")))))))</f>
        <v/>
      </c>
      <c r="AA425" s="43" t="str">
        <f>IF(ISNUMBER($X425),INDEX(Comenzi!$H:$H,$X425),"")</f>
        <v/>
      </c>
      <c r="AB425" s="43" t="str">
        <f>IF(ISNUMBER($X425),INDEX(Comenzi!$I:$I,$X425),"")</f>
        <v/>
      </c>
      <c r="AC425" s="44" t="str">
        <f>IF(ISNUMBER($X425),IF(INDEX(Comenzi!$V:$V,$X425)="",Comenzi!$D$3,INDEX(Comenzi!$V:$V,$X425)),"")</f>
        <v/>
      </c>
      <c r="AD425" s="44" t="str">
        <f>IF(ISNUMBER($X425),IF(INDEX(Comenzi!$U:$U,$X425)="",Comenzi!$D$4,INDEX(Comenzi!$U:$U,$X425)),"")</f>
        <v/>
      </c>
      <c r="AE425" s="45" t="str">
        <f>IF($Y425&lt;&gt;1,"",IF(INDEX(Comenzi!$AM:$AM,$X425)="Greutate",INDEX('PI Furnizor'!$O:$O,ROW()-3),IF(INDEX(Comenzi!$AM:$AM,$X425)="Volum (CBM)",INDEX('PI Furnizor'!$Q:$Q,ROW()-3),IF(INDEX(Comenzi!$AM:$AM,$X425)="Valoare marfa",INDEX('PI Furnizor'!$N:$N,ROW()-3),$E425))))</f>
        <v/>
      </c>
    </row>
    <row r="426" spans="1:31" x14ac:dyDescent="0.3">
      <c r="A426" s="28" t="str">
        <f>IF(COUNTA(INDEX('PI Furnizor'!$A:$E,ROW()-3,0))=0,"",IF(INDEX('PI Furnizor'!$A:$A,ROW()-3)="","?",INDEX('PI Furnizor'!$A:$A,ROW()-3)))</f>
        <v/>
      </c>
      <c r="B426" s="29" t="str">
        <f>IF(ISNUMBER($X426),INDEX(Comenzi!$B:$B,$X426),"")</f>
        <v/>
      </c>
      <c r="C426" s="28" t="str">
        <f>IF($A426="","",INDEX('PI Furnizor'!$B:$B,ROW()-3)&amp;"")</f>
        <v/>
      </c>
      <c r="D426" s="28" t="str">
        <f>IF($A426="","",INDEX('PI Furnizor'!$C:$C,ROW()-3)&amp;"")</f>
        <v/>
      </c>
      <c r="E426" s="30" t="str">
        <f>IF($A426="","",N(INDEX('PI Furnizor'!$D:$D,ROW()-3)))</f>
        <v/>
      </c>
      <c r="F426" s="31" t="str">
        <f>IF(ISNUMBER($X426),INDEX(Comenzi!$G:$G,$X426),"")</f>
        <v/>
      </c>
      <c r="G426" s="32" t="str">
        <f>IF($A426="","",N(INDEX('PI Furnizor'!$E:$E,ROW()-3)))</f>
        <v/>
      </c>
      <c r="H426" s="33" t="str">
        <f t="shared" si="78"/>
        <v/>
      </c>
      <c r="I426" s="34" t="str">
        <f>IF($Y426&lt;&gt;1,"",IFERROR($AE426/INDEX(Comenzi!$AN:$AN,$X426),0))</f>
        <v/>
      </c>
      <c r="J426" s="33" t="str">
        <f>IF($Y426&lt;&gt;1,"",INDEX(Comenzi!$AG:$AG,$X426)*$I426/$E426)</f>
        <v/>
      </c>
      <c r="K426" s="33" t="str">
        <f t="shared" si="79"/>
        <v/>
      </c>
      <c r="L426" s="33" t="str">
        <f>IF($Y426&lt;&gt;1,"",$K426*$AD426+INDEX(Comenzi!$AJ:$AJ,$X426)*$I426/$E426)</f>
        <v/>
      </c>
      <c r="M426" s="33" t="str">
        <f t="shared" si="80"/>
        <v/>
      </c>
      <c r="N426" s="33" t="str">
        <f t="shared" si="81"/>
        <v/>
      </c>
      <c r="O426" s="33" t="str">
        <f>IF($Y426&lt;&gt;1,"",(INDEX(Comenzi!$AK:$AK,$X426)+N(INDEX(Comenzi!$T:$T,$X426)))*$I426/$E426)</f>
        <v/>
      </c>
      <c r="P426" s="35" t="str">
        <f t="shared" si="82"/>
        <v/>
      </c>
      <c r="Q426" s="36" t="str">
        <f t="shared" si="83"/>
        <v/>
      </c>
      <c r="R426" s="37" t="str">
        <f t="shared" si="84"/>
        <v/>
      </c>
      <c r="S426" s="38" t="str">
        <f t="shared" si="85"/>
        <v/>
      </c>
      <c r="T426" s="39" t="str">
        <f t="shared" si="86"/>
        <v/>
      </c>
      <c r="U426" s="40" t="str">
        <f t="shared" si="87"/>
        <v/>
      </c>
      <c r="V426" s="33" t="str">
        <f t="shared" si="88"/>
        <v/>
      </c>
      <c r="W426" s="33" t="str">
        <f t="shared" si="89"/>
        <v/>
      </c>
      <c r="X426" s="41" t="str">
        <f>IF($A426="","",IFERROR(MATCH($A426,Comenzi!$A$9:$A$108,0)+8,""))</f>
        <v/>
      </c>
      <c r="Y426" s="41" t="str">
        <f t="shared" si="90"/>
        <v/>
      </c>
      <c r="Z426" s="42" t="str">
        <f>IF($A426="","",IF($A426="?","Lipseste ID-ul comenzii (col. A din PI Furnizor)",IF(NOT(ISNUMBER($X426)),"ID comanda negasit in foaia Comenzi",IF(N($E426)&lt;=0,"Lipseste cantitatea",IF(N($G426)=0,"Pret unitar lipsa",IF($Y426&lt;&gt;1,"Curs sau moneda marfa lipsa (foaia Comenzi)",IF(INDEX(Comenzi!$AT:$AT,$X426)&lt;&gt;"OK","Avertisment comanda: "&amp;INDEX(Comenzi!$AT:$AT,$X426),"OK")))))))</f>
        <v/>
      </c>
      <c r="AA426" s="43" t="str">
        <f>IF(ISNUMBER($X426),INDEX(Comenzi!$H:$H,$X426),"")</f>
        <v/>
      </c>
      <c r="AB426" s="43" t="str">
        <f>IF(ISNUMBER($X426),INDEX(Comenzi!$I:$I,$X426),"")</f>
        <v/>
      </c>
      <c r="AC426" s="44" t="str">
        <f>IF(ISNUMBER($X426),IF(INDEX(Comenzi!$V:$V,$X426)="",Comenzi!$D$3,INDEX(Comenzi!$V:$V,$X426)),"")</f>
        <v/>
      </c>
      <c r="AD426" s="44" t="str">
        <f>IF(ISNUMBER($X426),IF(INDEX(Comenzi!$U:$U,$X426)="",Comenzi!$D$4,INDEX(Comenzi!$U:$U,$X426)),"")</f>
        <v/>
      </c>
      <c r="AE426" s="45" t="str">
        <f>IF($Y426&lt;&gt;1,"",IF(INDEX(Comenzi!$AM:$AM,$X426)="Greutate",INDEX('PI Furnizor'!$O:$O,ROW()-3),IF(INDEX(Comenzi!$AM:$AM,$X426)="Volum (CBM)",INDEX('PI Furnizor'!$Q:$Q,ROW()-3),IF(INDEX(Comenzi!$AM:$AM,$X426)="Valoare marfa",INDEX('PI Furnizor'!$N:$N,ROW()-3),$E426))))</f>
        <v/>
      </c>
    </row>
    <row r="427" spans="1:31" x14ac:dyDescent="0.3">
      <c r="A427" s="28" t="str">
        <f>IF(COUNTA(INDEX('PI Furnizor'!$A:$E,ROW()-3,0))=0,"",IF(INDEX('PI Furnizor'!$A:$A,ROW()-3)="","?",INDEX('PI Furnizor'!$A:$A,ROW()-3)))</f>
        <v/>
      </c>
      <c r="B427" s="29" t="str">
        <f>IF(ISNUMBER($X427),INDEX(Comenzi!$B:$B,$X427),"")</f>
        <v/>
      </c>
      <c r="C427" s="28" t="str">
        <f>IF($A427="","",INDEX('PI Furnizor'!$B:$B,ROW()-3)&amp;"")</f>
        <v/>
      </c>
      <c r="D427" s="28" t="str">
        <f>IF($A427="","",INDEX('PI Furnizor'!$C:$C,ROW()-3)&amp;"")</f>
        <v/>
      </c>
      <c r="E427" s="30" t="str">
        <f>IF($A427="","",N(INDEX('PI Furnizor'!$D:$D,ROW()-3)))</f>
        <v/>
      </c>
      <c r="F427" s="31" t="str">
        <f>IF(ISNUMBER($X427),INDEX(Comenzi!$G:$G,$X427),"")</f>
        <v/>
      </c>
      <c r="G427" s="32" t="str">
        <f>IF($A427="","",N(INDEX('PI Furnizor'!$E:$E,ROW()-3)))</f>
        <v/>
      </c>
      <c r="H427" s="33" t="str">
        <f t="shared" si="78"/>
        <v/>
      </c>
      <c r="I427" s="34" t="str">
        <f>IF($Y427&lt;&gt;1,"",IFERROR($AE427/INDEX(Comenzi!$AN:$AN,$X427),0))</f>
        <v/>
      </c>
      <c r="J427" s="33" t="str">
        <f>IF($Y427&lt;&gt;1,"",INDEX(Comenzi!$AG:$AG,$X427)*$I427/$E427)</f>
        <v/>
      </c>
      <c r="K427" s="33" t="str">
        <f t="shared" si="79"/>
        <v/>
      </c>
      <c r="L427" s="33" t="str">
        <f>IF($Y427&lt;&gt;1,"",$K427*$AD427+INDEX(Comenzi!$AJ:$AJ,$X427)*$I427/$E427)</f>
        <v/>
      </c>
      <c r="M427" s="33" t="str">
        <f t="shared" si="80"/>
        <v/>
      </c>
      <c r="N427" s="33" t="str">
        <f t="shared" si="81"/>
        <v/>
      </c>
      <c r="O427" s="33" t="str">
        <f>IF($Y427&lt;&gt;1,"",(INDEX(Comenzi!$AK:$AK,$X427)+N(INDEX(Comenzi!$T:$T,$X427)))*$I427/$E427)</f>
        <v/>
      </c>
      <c r="P427" s="35" t="str">
        <f t="shared" si="82"/>
        <v/>
      </c>
      <c r="Q427" s="36" t="str">
        <f t="shared" si="83"/>
        <v/>
      </c>
      <c r="R427" s="37" t="str">
        <f t="shared" si="84"/>
        <v/>
      </c>
      <c r="S427" s="38" t="str">
        <f t="shared" si="85"/>
        <v/>
      </c>
      <c r="T427" s="39" t="str">
        <f t="shared" si="86"/>
        <v/>
      </c>
      <c r="U427" s="40" t="str">
        <f t="shared" si="87"/>
        <v/>
      </c>
      <c r="V427" s="33" t="str">
        <f t="shared" si="88"/>
        <v/>
      </c>
      <c r="W427" s="33" t="str">
        <f t="shared" si="89"/>
        <v/>
      </c>
      <c r="X427" s="41" t="str">
        <f>IF($A427="","",IFERROR(MATCH($A427,Comenzi!$A$9:$A$108,0)+8,""))</f>
        <v/>
      </c>
      <c r="Y427" s="41" t="str">
        <f t="shared" si="90"/>
        <v/>
      </c>
      <c r="Z427" s="42" t="str">
        <f>IF($A427="","",IF($A427="?","Lipseste ID-ul comenzii (col. A din PI Furnizor)",IF(NOT(ISNUMBER($X427)),"ID comanda negasit in foaia Comenzi",IF(N($E427)&lt;=0,"Lipseste cantitatea",IF(N($G427)=0,"Pret unitar lipsa",IF($Y427&lt;&gt;1,"Curs sau moneda marfa lipsa (foaia Comenzi)",IF(INDEX(Comenzi!$AT:$AT,$X427)&lt;&gt;"OK","Avertisment comanda: "&amp;INDEX(Comenzi!$AT:$AT,$X427),"OK")))))))</f>
        <v/>
      </c>
      <c r="AA427" s="43" t="str">
        <f>IF(ISNUMBER($X427),INDEX(Comenzi!$H:$H,$X427),"")</f>
        <v/>
      </c>
      <c r="AB427" s="43" t="str">
        <f>IF(ISNUMBER($X427),INDEX(Comenzi!$I:$I,$X427),"")</f>
        <v/>
      </c>
      <c r="AC427" s="44" t="str">
        <f>IF(ISNUMBER($X427),IF(INDEX(Comenzi!$V:$V,$X427)="",Comenzi!$D$3,INDEX(Comenzi!$V:$V,$X427)),"")</f>
        <v/>
      </c>
      <c r="AD427" s="44" t="str">
        <f>IF(ISNUMBER($X427),IF(INDEX(Comenzi!$U:$U,$X427)="",Comenzi!$D$4,INDEX(Comenzi!$U:$U,$X427)),"")</f>
        <v/>
      </c>
      <c r="AE427" s="45" t="str">
        <f>IF($Y427&lt;&gt;1,"",IF(INDEX(Comenzi!$AM:$AM,$X427)="Greutate",INDEX('PI Furnizor'!$O:$O,ROW()-3),IF(INDEX(Comenzi!$AM:$AM,$X427)="Volum (CBM)",INDEX('PI Furnizor'!$Q:$Q,ROW()-3),IF(INDEX(Comenzi!$AM:$AM,$X427)="Valoare marfa",INDEX('PI Furnizor'!$N:$N,ROW()-3),$E427))))</f>
        <v/>
      </c>
    </row>
    <row r="428" spans="1:31" x14ac:dyDescent="0.3">
      <c r="A428" s="28" t="str">
        <f>IF(COUNTA(INDEX('PI Furnizor'!$A:$E,ROW()-3,0))=0,"",IF(INDEX('PI Furnizor'!$A:$A,ROW()-3)="","?",INDEX('PI Furnizor'!$A:$A,ROW()-3)))</f>
        <v/>
      </c>
      <c r="B428" s="29" t="str">
        <f>IF(ISNUMBER($X428),INDEX(Comenzi!$B:$B,$X428),"")</f>
        <v/>
      </c>
      <c r="C428" s="28" t="str">
        <f>IF($A428="","",INDEX('PI Furnizor'!$B:$B,ROW()-3)&amp;"")</f>
        <v/>
      </c>
      <c r="D428" s="28" t="str">
        <f>IF($A428="","",INDEX('PI Furnizor'!$C:$C,ROW()-3)&amp;"")</f>
        <v/>
      </c>
      <c r="E428" s="30" t="str">
        <f>IF($A428="","",N(INDEX('PI Furnizor'!$D:$D,ROW()-3)))</f>
        <v/>
      </c>
      <c r="F428" s="31" t="str">
        <f>IF(ISNUMBER($X428),INDEX(Comenzi!$G:$G,$X428),"")</f>
        <v/>
      </c>
      <c r="G428" s="32" t="str">
        <f>IF($A428="","",N(INDEX('PI Furnizor'!$E:$E,ROW()-3)))</f>
        <v/>
      </c>
      <c r="H428" s="33" t="str">
        <f t="shared" si="78"/>
        <v/>
      </c>
      <c r="I428" s="34" t="str">
        <f>IF($Y428&lt;&gt;1,"",IFERROR($AE428/INDEX(Comenzi!$AN:$AN,$X428),0))</f>
        <v/>
      </c>
      <c r="J428" s="33" t="str">
        <f>IF($Y428&lt;&gt;1,"",INDEX(Comenzi!$AG:$AG,$X428)*$I428/$E428)</f>
        <v/>
      </c>
      <c r="K428" s="33" t="str">
        <f t="shared" si="79"/>
        <v/>
      </c>
      <c r="L428" s="33" t="str">
        <f>IF($Y428&lt;&gt;1,"",$K428*$AD428+INDEX(Comenzi!$AJ:$AJ,$X428)*$I428/$E428)</f>
        <v/>
      </c>
      <c r="M428" s="33" t="str">
        <f t="shared" si="80"/>
        <v/>
      </c>
      <c r="N428" s="33" t="str">
        <f t="shared" si="81"/>
        <v/>
      </c>
      <c r="O428" s="33" t="str">
        <f>IF($Y428&lt;&gt;1,"",(INDEX(Comenzi!$AK:$AK,$X428)+N(INDEX(Comenzi!$T:$T,$X428)))*$I428/$E428)</f>
        <v/>
      </c>
      <c r="P428" s="35" t="str">
        <f t="shared" si="82"/>
        <v/>
      </c>
      <c r="Q428" s="36" t="str">
        <f t="shared" si="83"/>
        <v/>
      </c>
      <c r="R428" s="37" t="str">
        <f t="shared" si="84"/>
        <v/>
      </c>
      <c r="S428" s="38" t="str">
        <f t="shared" si="85"/>
        <v/>
      </c>
      <c r="T428" s="39" t="str">
        <f t="shared" si="86"/>
        <v/>
      </c>
      <c r="U428" s="40" t="str">
        <f t="shared" si="87"/>
        <v/>
      </c>
      <c r="V428" s="33" t="str">
        <f t="shared" si="88"/>
        <v/>
      </c>
      <c r="W428" s="33" t="str">
        <f t="shared" si="89"/>
        <v/>
      </c>
      <c r="X428" s="41" t="str">
        <f>IF($A428="","",IFERROR(MATCH($A428,Comenzi!$A$9:$A$108,0)+8,""))</f>
        <v/>
      </c>
      <c r="Y428" s="41" t="str">
        <f t="shared" si="90"/>
        <v/>
      </c>
      <c r="Z428" s="42" t="str">
        <f>IF($A428="","",IF($A428="?","Lipseste ID-ul comenzii (col. A din PI Furnizor)",IF(NOT(ISNUMBER($X428)),"ID comanda negasit in foaia Comenzi",IF(N($E428)&lt;=0,"Lipseste cantitatea",IF(N($G428)=0,"Pret unitar lipsa",IF($Y428&lt;&gt;1,"Curs sau moneda marfa lipsa (foaia Comenzi)",IF(INDEX(Comenzi!$AT:$AT,$X428)&lt;&gt;"OK","Avertisment comanda: "&amp;INDEX(Comenzi!$AT:$AT,$X428),"OK")))))))</f>
        <v/>
      </c>
      <c r="AA428" s="43" t="str">
        <f>IF(ISNUMBER($X428),INDEX(Comenzi!$H:$H,$X428),"")</f>
        <v/>
      </c>
      <c r="AB428" s="43" t="str">
        <f>IF(ISNUMBER($X428),INDEX(Comenzi!$I:$I,$X428),"")</f>
        <v/>
      </c>
      <c r="AC428" s="44" t="str">
        <f>IF(ISNUMBER($X428),IF(INDEX(Comenzi!$V:$V,$X428)="",Comenzi!$D$3,INDEX(Comenzi!$V:$V,$X428)),"")</f>
        <v/>
      </c>
      <c r="AD428" s="44" t="str">
        <f>IF(ISNUMBER($X428),IF(INDEX(Comenzi!$U:$U,$X428)="",Comenzi!$D$4,INDEX(Comenzi!$U:$U,$X428)),"")</f>
        <v/>
      </c>
      <c r="AE428" s="45" t="str">
        <f>IF($Y428&lt;&gt;1,"",IF(INDEX(Comenzi!$AM:$AM,$X428)="Greutate",INDEX('PI Furnizor'!$O:$O,ROW()-3),IF(INDEX(Comenzi!$AM:$AM,$X428)="Volum (CBM)",INDEX('PI Furnizor'!$Q:$Q,ROW()-3),IF(INDEX(Comenzi!$AM:$AM,$X428)="Valoare marfa",INDEX('PI Furnizor'!$N:$N,ROW()-3),$E428))))</f>
        <v/>
      </c>
    </row>
    <row r="429" spans="1:31" x14ac:dyDescent="0.3">
      <c r="A429" s="28" t="str">
        <f>IF(COUNTA(INDEX('PI Furnizor'!$A:$E,ROW()-3,0))=0,"",IF(INDEX('PI Furnizor'!$A:$A,ROW()-3)="","?",INDEX('PI Furnizor'!$A:$A,ROW()-3)))</f>
        <v/>
      </c>
      <c r="B429" s="29" t="str">
        <f>IF(ISNUMBER($X429),INDEX(Comenzi!$B:$B,$X429),"")</f>
        <v/>
      </c>
      <c r="C429" s="28" t="str">
        <f>IF($A429="","",INDEX('PI Furnizor'!$B:$B,ROW()-3)&amp;"")</f>
        <v/>
      </c>
      <c r="D429" s="28" t="str">
        <f>IF($A429="","",INDEX('PI Furnizor'!$C:$C,ROW()-3)&amp;"")</f>
        <v/>
      </c>
      <c r="E429" s="30" t="str">
        <f>IF($A429="","",N(INDEX('PI Furnizor'!$D:$D,ROW()-3)))</f>
        <v/>
      </c>
      <c r="F429" s="31" t="str">
        <f>IF(ISNUMBER($X429),INDEX(Comenzi!$G:$G,$X429),"")</f>
        <v/>
      </c>
      <c r="G429" s="32" t="str">
        <f>IF($A429="","",N(INDEX('PI Furnizor'!$E:$E,ROW()-3)))</f>
        <v/>
      </c>
      <c r="H429" s="33" t="str">
        <f t="shared" si="78"/>
        <v/>
      </c>
      <c r="I429" s="34" t="str">
        <f>IF($Y429&lt;&gt;1,"",IFERROR($AE429/INDEX(Comenzi!$AN:$AN,$X429),0))</f>
        <v/>
      </c>
      <c r="J429" s="33" t="str">
        <f>IF($Y429&lt;&gt;1,"",INDEX(Comenzi!$AG:$AG,$X429)*$I429/$E429)</f>
        <v/>
      </c>
      <c r="K429" s="33" t="str">
        <f t="shared" si="79"/>
        <v/>
      </c>
      <c r="L429" s="33" t="str">
        <f>IF($Y429&lt;&gt;1,"",$K429*$AD429+INDEX(Comenzi!$AJ:$AJ,$X429)*$I429/$E429)</f>
        <v/>
      </c>
      <c r="M429" s="33" t="str">
        <f t="shared" si="80"/>
        <v/>
      </c>
      <c r="N429" s="33" t="str">
        <f t="shared" si="81"/>
        <v/>
      </c>
      <c r="O429" s="33" t="str">
        <f>IF($Y429&lt;&gt;1,"",(INDEX(Comenzi!$AK:$AK,$X429)+N(INDEX(Comenzi!$T:$T,$X429)))*$I429/$E429)</f>
        <v/>
      </c>
      <c r="P429" s="35" t="str">
        <f t="shared" si="82"/>
        <v/>
      </c>
      <c r="Q429" s="36" t="str">
        <f t="shared" si="83"/>
        <v/>
      </c>
      <c r="R429" s="37" t="str">
        <f t="shared" si="84"/>
        <v/>
      </c>
      <c r="S429" s="38" t="str">
        <f t="shared" si="85"/>
        <v/>
      </c>
      <c r="T429" s="39" t="str">
        <f t="shared" si="86"/>
        <v/>
      </c>
      <c r="U429" s="40" t="str">
        <f t="shared" si="87"/>
        <v/>
      </c>
      <c r="V429" s="33" t="str">
        <f t="shared" si="88"/>
        <v/>
      </c>
      <c r="W429" s="33" t="str">
        <f t="shared" si="89"/>
        <v/>
      </c>
      <c r="X429" s="41" t="str">
        <f>IF($A429="","",IFERROR(MATCH($A429,Comenzi!$A$9:$A$108,0)+8,""))</f>
        <v/>
      </c>
      <c r="Y429" s="41" t="str">
        <f t="shared" si="90"/>
        <v/>
      </c>
      <c r="Z429" s="42" t="str">
        <f>IF($A429="","",IF($A429="?","Lipseste ID-ul comenzii (col. A din PI Furnizor)",IF(NOT(ISNUMBER($X429)),"ID comanda negasit in foaia Comenzi",IF(N($E429)&lt;=0,"Lipseste cantitatea",IF(N($G429)=0,"Pret unitar lipsa",IF($Y429&lt;&gt;1,"Curs sau moneda marfa lipsa (foaia Comenzi)",IF(INDEX(Comenzi!$AT:$AT,$X429)&lt;&gt;"OK","Avertisment comanda: "&amp;INDEX(Comenzi!$AT:$AT,$X429),"OK")))))))</f>
        <v/>
      </c>
      <c r="AA429" s="43" t="str">
        <f>IF(ISNUMBER($X429),INDEX(Comenzi!$H:$H,$X429),"")</f>
        <v/>
      </c>
      <c r="AB429" s="43" t="str">
        <f>IF(ISNUMBER($X429),INDEX(Comenzi!$I:$I,$X429),"")</f>
        <v/>
      </c>
      <c r="AC429" s="44" t="str">
        <f>IF(ISNUMBER($X429),IF(INDEX(Comenzi!$V:$V,$X429)="",Comenzi!$D$3,INDEX(Comenzi!$V:$V,$X429)),"")</f>
        <v/>
      </c>
      <c r="AD429" s="44" t="str">
        <f>IF(ISNUMBER($X429),IF(INDEX(Comenzi!$U:$U,$X429)="",Comenzi!$D$4,INDEX(Comenzi!$U:$U,$X429)),"")</f>
        <v/>
      </c>
      <c r="AE429" s="45" t="str">
        <f>IF($Y429&lt;&gt;1,"",IF(INDEX(Comenzi!$AM:$AM,$X429)="Greutate",INDEX('PI Furnizor'!$O:$O,ROW()-3),IF(INDEX(Comenzi!$AM:$AM,$X429)="Volum (CBM)",INDEX('PI Furnizor'!$Q:$Q,ROW()-3),IF(INDEX(Comenzi!$AM:$AM,$X429)="Valoare marfa",INDEX('PI Furnizor'!$N:$N,ROW()-3),$E429))))</f>
        <v/>
      </c>
    </row>
    <row r="430" spans="1:31" x14ac:dyDescent="0.3">
      <c r="A430" s="28" t="str">
        <f>IF(COUNTA(INDEX('PI Furnizor'!$A:$E,ROW()-3,0))=0,"",IF(INDEX('PI Furnizor'!$A:$A,ROW()-3)="","?",INDEX('PI Furnizor'!$A:$A,ROW()-3)))</f>
        <v/>
      </c>
      <c r="B430" s="29" t="str">
        <f>IF(ISNUMBER($X430),INDEX(Comenzi!$B:$B,$X430),"")</f>
        <v/>
      </c>
      <c r="C430" s="28" t="str">
        <f>IF($A430="","",INDEX('PI Furnizor'!$B:$B,ROW()-3)&amp;"")</f>
        <v/>
      </c>
      <c r="D430" s="28" t="str">
        <f>IF($A430="","",INDEX('PI Furnizor'!$C:$C,ROW()-3)&amp;"")</f>
        <v/>
      </c>
      <c r="E430" s="30" t="str">
        <f>IF($A430="","",N(INDEX('PI Furnizor'!$D:$D,ROW()-3)))</f>
        <v/>
      </c>
      <c r="F430" s="31" t="str">
        <f>IF(ISNUMBER($X430),INDEX(Comenzi!$G:$G,$X430),"")</f>
        <v/>
      </c>
      <c r="G430" s="32" t="str">
        <f>IF($A430="","",N(INDEX('PI Furnizor'!$E:$E,ROW()-3)))</f>
        <v/>
      </c>
      <c r="H430" s="33" t="str">
        <f t="shared" si="78"/>
        <v/>
      </c>
      <c r="I430" s="34" t="str">
        <f>IF($Y430&lt;&gt;1,"",IFERROR($AE430/INDEX(Comenzi!$AN:$AN,$X430),0))</f>
        <v/>
      </c>
      <c r="J430" s="33" t="str">
        <f>IF($Y430&lt;&gt;1,"",INDEX(Comenzi!$AG:$AG,$X430)*$I430/$E430)</f>
        <v/>
      </c>
      <c r="K430" s="33" t="str">
        <f t="shared" si="79"/>
        <v/>
      </c>
      <c r="L430" s="33" t="str">
        <f>IF($Y430&lt;&gt;1,"",$K430*$AD430+INDEX(Comenzi!$AJ:$AJ,$X430)*$I430/$E430)</f>
        <v/>
      </c>
      <c r="M430" s="33" t="str">
        <f t="shared" si="80"/>
        <v/>
      </c>
      <c r="N430" s="33" t="str">
        <f t="shared" si="81"/>
        <v/>
      </c>
      <c r="O430" s="33" t="str">
        <f>IF($Y430&lt;&gt;1,"",(INDEX(Comenzi!$AK:$AK,$X430)+N(INDEX(Comenzi!$T:$T,$X430)))*$I430/$E430)</f>
        <v/>
      </c>
      <c r="P430" s="35" t="str">
        <f t="shared" si="82"/>
        <v/>
      </c>
      <c r="Q430" s="36" t="str">
        <f t="shared" si="83"/>
        <v/>
      </c>
      <c r="R430" s="37" t="str">
        <f t="shared" si="84"/>
        <v/>
      </c>
      <c r="S430" s="38" t="str">
        <f t="shared" si="85"/>
        <v/>
      </c>
      <c r="T430" s="39" t="str">
        <f t="shared" si="86"/>
        <v/>
      </c>
      <c r="U430" s="40" t="str">
        <f t="shared" si="87"/>
        <v/>
      </c>
      <c r="V430" s="33" t="str">
        <f t="shared" si="88"/>
        <v/>
      </c>
      <c r="W430" s="33" t="str">
        <f t="shared" si="89"/>
        <v/>
      </c>
      <c r="X430" s="41" t="str">
        <f>IF($A430="","",IFERROR(MATCH($A430,Comenzi!$A$9:$A$108,0)+8,""))</f>
        <v/>
      </c>
      <c r="Y430" s="41" t="str">
        <f t="shared" si="90"/>
        <v/>
      </c>
      <c r="Z430" s="42" t="str">
        <f>IF($A430="","",IF($A430="?","Lipseste ID-ul comenzii (col. A din PI Furnizor)",IF(NOT(ISNUMBER($X430)),"ID comanda negasit in foaia Comenzi",IF(N($E430)&lt;=0,"Lipseste cantitatea",IF(N($G430)=0,"Pret unitar lipsa",IF($Y430&lt;&gt;1,"Curs sau moneda marfa lipsa (foaia Comenzi)",IF(INDEX(Comenzi!$AT:$AT,$X430)&lt;&gt;"OK","Avertisment comanda: "&amp;INDEX(Comenzi!$AT:$AT,$X430),"OK")))))))</f>
        <v/>
      </c>
      <c r="AA430" s="43" t="str">
        <f>IF(ISNUMBER($X430),INDEX(Comenzi!$H:$H,$X430),"")</f>
        <v/>
      </c>
      <c r="AB430" s="43" t="str">
        <f>IF(ISNUMBER($X430),INDEX(Comenzi!$I:$I,$X430),"")</f>
        <v/>
      </c>
      <c r="AC430" s="44" t="str">
        <f>IF(ISNUMBER($X430),IF(INDEX(Comenzi!$V:$V,$X430)="",Comenzi!$D$3,INDEX(Comenzi!$V:$V,$X430)),"")</f>
        <v/>
      </c>
      <c r="AD430" s="44" t="str">
        <f>IF(ISNUMBER($X430),IF(INDEX(Comenzi!$U:$U,$X430)="",Comenzi!$D$4,INDEX(Comenzi!$U:$U,$X430)),"")</f>
        <v/>
      </c>
      <c r="AE430" s="45" t="str">
        <f>IF($Y430&lt;&gt;1,"",IF(INDEX(Comenzi!$AM:$AM,$X430)="Greutate",INDEX('PI Furnizor'!$O:$O,ROW()-3),IF(INDEX(Comenzi!$AM:$AM,$X430)="Volum (CBM)",INDEX('PI Furnizor'!$Q:$Q,ROW()-3),IF(INDEX(Comenzi!$AM:$AM,$X430)="Valoare marfa",INDEX('PI Furnizor'!$N:$N,ROW()-3),$E430))))</f>
        <v/>
      </c>
    </row>
    <row r="431" spans="1:31" x14ac:dyDescent="0.3">
      <c r="A431" s="28" t="str">
        <f>IF(COUNTA(INDEX('PI Furnizor'!$A:$E,ROW()-3,0))=0,"",IF(INDEX('PI Furnizor'!$A:$A,ROW()-3)="","?",INDEX('PI Furnizor'!$A:$A,ROW()-3)))</f>
        <v/>
      </c>
      <c r="B431" s="29" t="str">
        <f>IF(ISNUMBER($X431),INDEX(Comenzi!$B:$B,$X431),"")</f>
        <v/>
      </c>
      <c r="C431" s="28" t="str">
        <f>IF($A431="","",INDEX('PI Furnizor'!$B:$B,ROW()-3)&amp;"")</f>
        <v/>
      </c>
      <c r="D431" s="28" t="str">
        <f>IF($A431="","",INDEX('PI Furnizor'!$C:$C,ROW()-3)&amp;"")</f>
        <v/>
      </c>
      <c r="E431" s="30" t="str">
        <f>IF($A431="","",N(INDEX('PI Furnizor'!$D:$D,ROW()-3)))</f>
        <v/>
      </c>
      <c r="F431" s="31" t="str">
        <f>IF(ISNUMBER($X431),INDEX(Comenzi!$G:$G,$X431),"")</f>
        <v/>
      </c>
      <c r="G431" s="32" t="str">
        <f>IF($A431="","",N(INDEX('PI Furnizor'!$E:$E,ROW()-3)))</f>
        <v/>
      </c>
      <c r="H431" s="33" t="str">
        <f t="shared" si="78"/>
        <v/>
      </c>
      <c r="I431" s="34" t="str">
        <f>IF($Y431&lt;&gt;1,"",IFERROR($AE431/INDEX(Comenzi!$AN:$AN,$X431),0))</f>
        <v/>
      </c>
      <c r="J431" s="33" t="str">
        <f>IF($Y431&lt;&gt;1,"",INDEX(Comenzi!$AG:$AG,$X431)*$I431/$E431)</f>
        <v/>
      </c>
      <c r="K431" s="33" t="str">
        <f t="shared" si="79"/>
        <v/>
      </c>
      <c r="L431" s="33" t="str">
        <f>IF($Y431&lt;&gt;1,"",$K431*$AD431+INDEX(Comenzi!$AJ:$AJ,$X431)*$I431/$E431)</f>
        <v/>
      </c>
      <c r="M431" s="33" t="str">
        <f t="shared" si="80"/>
        <v/>
      </c>
      <c r="N431" s="33" t="str">
        <f t="shared" si="81"/>
        <v/>
      </c>
      <c r="O431" s="33" t="str">
        <f>IF($Y431&lt;&gt;1,"",(INDEX(Comenzi!$AK:$AK,$X431)+N(INDEX(Comenzi!$T:$T,$X431)))*$I431/$E431)</f>
        <v/>
      </c>
      <c r="P431" s="35" t="str">
        <f t="shared" si="82"/>
        <v/>
      </c>
      <c r="Q431" s="36" t="str">
        <f t="shared" si="83"/>
        <v/>
      </c>
      <c r="R431" s="37" t="str">
        <f t="shared" si="84"/>
        <v/>
      </c>
      <c r="S431" s="38" t="str">
        <f t="shared" si="85"/>
        <v/>
      </c>
      <c r="T431" s="39" t="str">
        <f t="shared" si="86"/>
        <v/>
      </c>
      <c r="U431" s="40" t="str">
        <f t="shared" si="87"/>
        <v/>
      </c>
      <c r="V431" s="33" t="str">
        <f t="shared" si="88"/>
        <v/>
      </c>
      <c r="W431" s="33" t="str">
        <f t="shared" si="89"/>
        <v/>
      </c>
      <c r="X431" s="41" t="str">
        <f>IF($A431="","",IFERROR(MATCH($A431,Comenzi!$A$9:$A$108,0)+8,""))</f>
        <v/>
      </c>
      <c r="Y431" s="41" t="str">
        <f t="shared" si="90"/>
        <v/>
      </c>
      <c r="Z431" s="42" t="str">
        <f>IF($A431="","",IF($A431="?","Lipseste ID-ul comenzii (col. A din PI Furnizor)",IF(NOT(ISNUMBER($X431)),"ID comanda negasit in foaia Comenzi",IF(N($E431)&lt;=0,"Lipseste cantitatea",IF(N($G431)=0,"Pret unitar lipsa",IF($Y431&lt;&gt;1,"Curs sau moneda marfa lipsa (foaia Comenzi)",IF(INDEX(Comenzi!$AT:$AT,$X431)&lt;&gt;"OK","Avertisment comanda: "&amp;INDEX(Comenzi!$AT:$AT,$X431),"OK")))))))</f>
        <v/>
      </c>
      <c r="AA431" s="43" t="str">
        <f>IF(ISNUMBER($X431),INDEX(Comenzi!$H:$H,$X431),"")</f>
        <v/>
      </c>
      <c r="AB431" s="43" t="str">
        <f>IF(ISNUMBER($X431),INDEX(Comenzi!$I:$I,$X431),"")</f>
        <v/>
      </c>
      <c r="AC431" s="44" t="str">
        <f>IF(ISNUMBER($X431),IF(INDEX(Comenzi!$V:$V,$X431)="",Comenzi!$D$3,INDEX(Comenzi!$V:$V,$X431)),"")</f>
        <v/>
      </c>
      <c r="AD431" s="44" t="str">
        <f>IF(ISNUMBER($X431),IF(INDEX(Comenzi!$U:$U,$X431)="",Comenzi!$D$4,INDEX(Comenzi!$U:$U,$X431)),"")</f>
        <v/>
      </c>
      <c r="AE431" s="45" t="str">
        <f>IF($Y431&lt;&gt;1,"",IF(INDEX(Comenzi!$AM:$AM,$X431)="Greutate",INDEX('PI Furnizor'!$O:$O,ROW()-3),IF(INDEX(Comenzi!$AM:$AM,$X431)="Volum (CBM)",INDEX('PI Furnizor'!$Q:$Q,ROW()-3),IF(INDEX(Comenzi!$AM:$AM,$X431)="Valoare marfa",INDEX('PI Furnizor'!$N:$N,ROW()-3),$E431))))</f>
        <v/>
      </c>
    </row>
    <row r="432" spans="1:31" x14ac:dyDescent="0.3">
      <c r="A432" s="28" t="str">
        <f>IF(COUNTA(INDEX('PI Furnizor'!$A:$E,ROW()-3,0))=0,"",IF(INDEX('PI Furnizor'!$A:$A,ROW()-3)="","?",INDEX('PI Furnizor'!$A:$A,ROW()-3)))</f>
        <v/>
      </c>
      <c r="B432" s="29" t="str">
        <f>IF(ISNUMBER($X432),INDEX(Comenzi!$B:$B,$X432),"")</f>
        <v/>
      </c>
      <c r="C432" s="28" t="str">
        <f>IF($A432="","",INDEX('PI Furnizor'!$B:$B,ROW()-3)&amp;"")</f>
        <v/>
      </c>
      <c r="D432" s="28" t="str">
        <f>IF($A432="","",INDEX('PI Furnizor'!$C:$C,ROW()-3)&amp;"")</f>
        <v/>
      </c>
      <c r="E432" s="30" t="str">
        <f>IF($A432="","",N(INDEX('PI Furnizor'!$D:$D,ROW()-3)))</f>
        <v/>
      </c>
      <c r="F432" s="31" t="str">
        <f>IF(ISNUMBER($X432),INDEX(Comenzi!$G:$G,$X432),"")</f>
        <v/>
      </c>
      <c r="G432" s="32" t="str">
        <f>IF($A432="","",N(INDEX('PI Furnizor'!$E:$E,ROW()-3)))</f>
        <v/>
      </c>
      <c r="H432" s="33" t="str">
        <f t="shared" si="78"/>
        <v/>
      </c>
      <c r="I432" s="34" t="str">
        <f>IF($Y432&lt;&gt;1,"",IFERROR($AE432/INDEX(Comenzi!$AN:$AN,$X432),0))</f>
        <v/>
      </c>
      <c r="J432" s="33" t="str">
        <f>IF($Y432&lt;&gt;1,"",INDEX(Comenzi!$AG:$AG,$X432)*$I432/$E432)</f>
        <v/>
      </c>
      <c r="K432" s="33" t="str">
        <f t="shared" si="79"/>
        <v/>
      </c>
      <c r="L432" s="33" t="str">
        <f>IF($Y432&lt;&gt;1,"",$K432*$AD432+INDEX(Comenzi!$AJ:$AJ,$X432)*$I432/$E432)</f>
        <v/>
      </c>
      <c r="M432" s="33" t="str">
        <f t="shared" si="80"/>
        <v/>
      </c>
      <c r="N432" s="33" t="str">
        <f t="shared" si="81"/>
        <v/>
      </c>
      <c r="O432" s="33" t="str">
        <f>IF($Y432&lt;&gt;1,"",(INDEX(Comenzi!$AK:$AK,$X432)+N(INDEX(Comenzi!$T:$T,$X432)))*$I432/$E432)</f>
        <v/>
      </c>
      <c r="P432" s="35" t="str">
        <f t="shared" si="82"/>
        <v/>
      </c>
      <c r="Q432" s="36" t="str">
        <f t="shared" si="83"/>
        <v/>
      </c>
      <c r="R432" s="37" t="str">
        <f t="shared" si="84"/>
        <v/>
      </c>
      <c r="S432" s="38" t="str">
        <f t="shared" si="85"/>
        <v/>
      </c>
      <c r="T432" s="39" t="str">
        <f t="shared" si="86"/>
        <v/>
      </c>
      <c r="U432" s="40" t="str">
        <f t="shared" si="87"/>
        <v/>
      </c>
      <c r="V432" s="33" t="str">
        <f t="shared" si="88"/>
        <v/>
      </c>
      <c r="W432" s="33" t="str">
        <f t="shared" si="89"/>
        <v/>
      </c>
      <c r="X432" s="41" t="str">
        <f>IF($A432="","",IFERROR(MATCH($A432,Comenzi!$A$9:$A$108,0)+8,""))</f>
        <v/>
      </c>
      <c r="Y432" s="41" t="str">
        <f t="shared" si="90"/>
        <v/>
      </c>
      <c r="Z432" s="42" t="str">
        <f>IF($A432="","",IF($A432="?","Lipseste ID-ul comenzii (col. A din PI Furnizor)",IF(NOT(ISNUMBER($X432)),"ID comanda negasit in foaia Comenzi",IF(N($E432)&lt;=0,"Lipseste cantitatea",IF(N($G432)=0,"Pret unitar lipsa",IF($Y432&lt;&gt;1,"Curs sau moneda marfa lipsa (foaia Comenzi)",IF(INDEX(Comenzi!$AT:$AT,$X432)&lt;&gt;"OK","Avertisment comanda: "&amp;INDEX(Comenzi!$AT:$AT,$X432),"OK")))))))</f>
        <v/>
      </c>
      <c r="AA432" s="43" t="str">
        <f>IF(ISNUMBER($X432),INDEX(Comenzi!$H:$H,$X432),"")</f>
        <v/>
      </c>
      <c r="AB432" s="43" t="str">
        <f>IF(ISNUMBER($X432),INDEX(Comenzi!$I:$I,$X432),"")</f>
        <v/>
      </c>
      <c r="AC432" s="44" t="str">
        <f>IF(ISNUMBER($X432),IF(INDEX(Comenzi!$V:$V,$X432)="",Comenzi!$D$3,INDEX(Comenzi!$V:$V,$X432)),"")</f>
        <v/>
      </c>
      <c r="AD432" s="44" t="str">
        <f>IF(ISNUMBER($X432),IF(INDEX(Comenzi!$U:$U,$X432)="",Comenzi!$D$4,INDEX(Comenzi!$U:$U,$X432)),"")</f>
        <v/>
      </c>
      <c r="AE432" s="45" t="str">
        <f>IF($Y432&lt;&gt;1,"",IF(INDEX(Comenzi!$AM:$AM,$X432)="Greutate",INDEX('PI Furnizor'!$O:$O,ROW()-3),IF(INDEX(Comenzi!$AM:$AM,$X432)="Volum (CBM)",INDEX('PI Furnizor'!$Q:$Q,ROW()-3),IF(INDEX(Comenzi!$AM:$AM,$X432)="Valoare marfa",INDEX('PI Furnizor'!$N:$N,ROW()-3),$E432))))</f>
        <v/>
      </c>
    </row>
    <row r="433" spans="1:31" x14ac:dyDescent="0.3">
      <c r="A433" s="28" t="str">
        <f>IF(COUNTA(INDEX('PI Furnizor'!$A:$E,ROW()-3,0))=0,"",IF(INDEX('PI Furnizor'!$A:$A,ROW()-3)="","?",INDEX('PI Furnizor'!$A:$A,ROW()-3)))</f>
        <v/>
      </c>
      <c r="B433" s="29" t="str">
        <f>IF(ISNUMBER($X433),INDEX(Comenzi!$B:$B,$X433),"")</f>
        <v/>
      </c>
      <c r="C433" s="28" t="str">
        <f>IF($A433="","",INDEX('PI Furnizor'!$B:$B,ROW()-3)&amp;"")</f>
        <v/>
      </c>
      <c r="D433" s="28" t="str">
        <f>IF($A433="","",INDEX('PI Furnizor'!$C:$C,ROW()-3)&amp;"")</f>
        <v/>
      </c>
      <c r="E433" s="30" t="str">
        <f>IF($A433="","",N(INDEX('PI Furnizor'!$D:$D,ROW()-3)))</f>
        <v/>
      </c>
      <c r="F433" s="31" t="str">
        <f>IF(ISNUMBER($X433),INDEX(Comenzi!$G:$G,$X433),"")</f>
        <v/>
      </c>
      <c r="G433" s="32" t="str">
        <f>IF($A433="","",N(INDEX('PI Furnizor'!$E:$E,ROW()-3)))</f>
        <v/>
      </c>
      <c r="H433" s="33" t="str">
        <f t="shared" si="78"/>
        <v/>
      </c>
      <c r="I433" s="34" t="str">
        <f>IF($Y433&lt;&gt;1,"",IFERROR($AE433/INDEX(Comenzi!$AN:$AN,$X433),0))</f>
        <v/>
      </c>
      <c r="J433" s="33" t="str">
        <f>IF($Y433&lt;&gt;1,"",INDEX(Comenzi!$AG:$AG,$X433)*$I433/$E433)</f>
        <v/>
      </c>
      <c r="K433" s="33" t="str">
        <f t="shared" si="79"/>
        <v/>
      </c>
      <c r="L433" s="33" t="str">
        <f>IF($Y433&lt;&gt;1,"",$K433*$AD433+INDEX(Comenzi!$AJ:$AJ,$X433)*$I433/$E433)</f>
        <v/>
      </c>
      <c r="M433" s="33" t="str">
        <f t="shared" si="80"/>
        <v/>
      </c>
      <c r="N433" s="33" t="str">
        <f t="shared" si="81"/>
        <v/>
      </c>
      <c r="O433" s="33" t="str">
        <f>IF($Y433&lt;&gt;1,"",(INDEX(Comenzi!$AK:$AK,$X433)+N(INDEX(Comenzi!$T:$T,$X433)))*$I433/$E433)</f>
        <v/>
      </c>
      <c r="P433" s="35" t="str">
        <f t="shared" si="82"/>
        <v/>
      </c>
      <c r="Q433" s="36" t="str">
        <f t="shared" si="83"/>
        <v/>
      </c>
      <c r="R433" s="37" t="str">
        <f t="shared" si="84"/>
        <v/>
      </c>
      <c r="S433" s="38" t="str">
        <f t="shared" si="85"/>
        <v/>
      </c>
      <c r="T433" s="39" t="str">
        <f t="shared" si="86"/>
        <v/>
      </c>
      <c r="U433" s="40" t="str">
        <f t="shared" si="87"/>
        <v/>
      </c>
      <c r="V433" s="33" t="str">
        <f t="shared" si="88"/>
        <v/>
      </c>
      <c r="W433" s="33" t="str">
        <f t="shared" si="89"/>
        <v/>
      </c>
      <c r="X433" s="41" t="str">
        <f>IF($A433="","",IFERROR(MATCH($A433,Comenzi!$A$9:$A$108,0)+8,""))</f>
        <v/>
      </c>
      <c r="Y433" s="41" t="str">
        <f t="shared" si="90"/>
        <v/>
      </c>
      <c r="Z433" s="42" t="str">
        <f>IF($A433="","",IF($A433="?","Lipseste ID-ul comenzii (col. A din PI Furnizor)",IF(NOT(ISNUMBER($X433)),"ID comanda negasit in foaia Comenzi",IF(N($E433)&lt;=0,"Lipseste cantitatea",IF(N($G433)=0,"Pret unitar lipsa",IF($Y433&lt;&gt;1,"Curs sau moneda marfa lipsa (foaia Comenzi)",IF(INDEX(Comenzi!$AT:$AT,$X433)&lt;&gt;"OK","Avertisment comanda: "&amp;INDEX(Comenzi!$AT:$AT,$X433),"OK")))))))</f>
        <v/>
      </c>
      <c r="AA433" s="43" t="str">
        <f>IF(ISNUMBER($X433),INDEX(Comenzi!$H:$H,$X433),"")</f>
        <v/>
      </c>
      <c r="AB433" s="43" t="str">
        <f>IF(ISNUMBER($X433),INDEX(Comenzi!$I:$I,$X433),"")</f>
        <v/>
      </c>
      <c r="AC433" s="44" t="str">
        <f>IF(ISNUMBER($X433),IF(INDEX(Comenzi!$V:$V,$X433)="",Comenzi!$D$3,INDEX(Comenzi!$V:$V,$X433)),"")</f>
        <v/>
      </c>
      <c r="AD433" s="44" t="str">
        <f>IF(ISNUMBER($X433),IF(INDEX(Comenzi!$U:$U,$X433)="",Comenzi!$D$4,INDEX(Comenzi!$U:$U,$X433)),"")</f>
        <v/>
      </c>
      <c r="AE433" s="45" t="str">
        <f>IF($Y433&lt;&gt;1,"",IF(INDEX(Comenzi!$AM:$AM,$X433)="Greutate",INDEX('PI Furnizor'!$O:$O,ROW()-3),IF(INDEX(Comenzi!$AM:$AM,$X433)="Volum (CBM)",INDEX('PI Furnizor'!$Q:$Q,ROW()-3),IF(INDEX(Comenzi!$AM:$AM,$X433)="Valoare marfa",INDEX('PI Furnizor'!$N:$N,ROW()-3),$E433))))</f>
        <v/>
      </c>
    </row>
    <row r="434" spans="1:31" x14ac:dyDescent="0.3">
      <c r="A434" s="28" t="str">
        <f>IF(COUNTA(INDEX('PI Furnizor'!$A:$E,ROW()-3,0))=0,"",IF(INDEX('PI Furnizor'!$A:$A,ROW()-3)="","?",INDEX('PI Furnizor'!$A:$A,ROW()-3)))</f>
        <v/>
      </c>
      <c r="B434" s="29" t="str">
        <f>IF(ISNUMBER($X434),INDEX(Comenzi!$B:$B,$X434),"")</f>
        <v/>
      </c>
      <c r="C434" s="28" t="str">
        <f>IF($A434="","",INDEX('PI Furnizor'!$B:$B,ROW()-3)&amp;"")</f>
        <v/>
      </c>
      <c r="D434" s="28" t="str">
        <f>IF($A434="","",INDEX('PI Furnizor'!$C:$C,ROW()-3)&amp;"")</f>
        <v/>
      </c>
      <c r="E434" s="30" t="str">
        <f>IF($A434="","",N(INDEX('PI Furnizor'!$D:$D,ROW()-3)))</f>
        <v/>
      </c>
      <c r="F434" s="31" t="str">
        <f>IF(ISNUMBER($X434),INDEX(Comenzi!$G:$G,$X434),"")</f>
        <v/>
      </c>
      <c r="G434" s="32" t="str">
        <f>IF($A434="","",N(INDEX('PI Furnizor'!$E:$E,ROW()-3)))</f>
        <v/>
      </c>
      <c r="H434" s="33" t="str">
        <f t="shared" si="78"/>
        <v/>
      </c>
      <c r="I434" s="34" t="str">
        <f>IF($Y434&lt;&gt;1,"",IFERROR($AE434/INDEX(Comenzi!$AN:$AN,$X434),0))</f>
        <v/>
      </c>
      <c r="J434" s="33" t="str">
        <f>IF($Y434&lt;&gt;1,"",INDEX(Comenzi!$AG:$AG,$X434)*$I434/$E434)</f>
        <v/>
      </c>
      <c r="K434" s="33" t="str">
        <f t="shared" si="79"/>
        <v/>
      </c>
      <c r="L434" s="33" t="str">
        <f>IF($Y434&lt;&gt;1,"",$K434*$AD434+INDEX(Comenzi!$AJ:$AJ,$X434)*$I434/$E434)</f>
        <v/>
      </c>
      <c r="M434" s="33" t="str">
        <f t="shared" si="80"/>
        <v/>
      </c>
      <c r="N434" s="33" t="str">
        <f t="shared" si="81"/>
        <v/>
      </c>
      <c r="O434" s="33" t="str">
        <f>IF($Y434&lt;&gt;1,"",(INDEX(Comenzi!$AK:$AK,$X434)+N(INDEX(Comenzi!$T:$T,$X434)))*$I434/$E434)</f>
        <v/>
      </c>
      <c r="P434" s="35" t="str">
        <f t="shared" si="82"/>
        <v/>
      </c>
      <c r="Q434" s="36" t="str">
        <f t="shared" si="83"/>
        <v/>
      </c>
      <c r="R434" s="37" t="str">
        <f t="shared" si="84"/>
        <v/>
      </c>
      <c r="S434" s="38" t="str">
        <f t="shared" si="85"/>
        <v/>
      </c>
      <c r="T434" s="39" t="str">
        <f t="shared" si="86"/>
        <v/>
      </c>
      <c r="U434" s="40" t="str">
        <f t="shared" si="87"/>
        <v/>
      </c>
      <c r="V434" s="33" t="str">
        <f t="shared" si="88"/>
        <v/>
      </c>
      <c r="W434" s="33" t="str">
        <f t="shared" si="89"/>
        <v/>
      </c>
      <c r="X434" s="41" t="str">
        <f>IF($A434="","",IFERROR(MATCH($A434,Comenzi!$A$9:$A$108,0)+8,""))</f>
        <v/>
      </c>
      <c r="Y434" s="41" t="str">
        <f t="shared" si="90"/>
        <v/>
      </c>
      <c r="Z434" s="42" t="str">
        <f>IF($A434="","",IF($A434="?","Lipseste ID-ul comenzii (col. A din PI Furnizor)",IF(NOT(ISNUMBER($X434)),"ID comanda negasit in foaia Comenzi",IF(N($E434)&lt;=0,"Lipseste cantitatea",IF(N($G434)=0,"Pret unitar lipsa",IF($Y434&lt;&gt;1,"Curs sau moneda marfa lipsa (foaia Comenzi)",IF(INDEX(Comenzi!$AT:$AT,$X434)&lt;&gt;"OK","Avertisment comanda: "&amp;INDEX(Comenzi!$AT:$AT,$X434),"OK")))))))</f>
        <v/>
      </c>
      <c r="AA434" s="43" t="str">
        <f>IF(ISNUMBER($X434),INDEX(Comenzi!$H:$H,$X434),"")</f>
        <v/>
      </c>
      <c r="AB434" s="43" t="str">
        <f>IF(ISNUMBER($X434),INDEX(Comenzi!$I:$I,$X434),"")</f>
        <v/>
      </c>
      <c r="AC434" s="44" t="str">
        <f>IF(ISNUMBER($X434),IF(INDEX(Comenzi!$V:$V,$X434)="",Comenzi!$D$3,INDEX(Comenzi!$V:$V,$X434)),"")</f>
        <v/>
      </c>
      <c r="AD434" s="44" t="str">
        <f>IF(ISNUMBER($X434),IF(INDEX(Comenzi!$U:$U,$X434)="",Comenzi!$D$4,INDEX(Comenzi!$U:$U,$X434)),"")</f>
        <v/>
      </c>
      <c r="AE434" s="45" t="str">
        <f>IF($Y434&lt;&gt;1,"",IF(INDEX(Comenzi!$AM:$AM,$X434)="Greutate",INDEX('PI Furnizor'!$O:$O,ROW()-3),IF(INDEX(Comenzi!$AM:$AM,$X434)="Volum (CBM)",INDEX('PI Furnizor'!$Q:$Q,ROW()-3),IF(INDEX(Comenzi!$AM:$AM,$X434)="Valoare marfa",INDEX('PI Furnizor'!$N:$N,ROW()-3),$E434))))</f>
        <v/>
      </c>
    </row>
    <row r="435" spans="1:31" x14ac:dyDescent="0.3">
      <c r="A435" s="28" t="str">
        <f>IF(COUNTA(INDEX('PI Furnizor'!$A:$E,ROW()-3,0))=0,"",IF(INDEX('PI Furnizor'!$A:$A,ROW()-3)="","?",INDEX('PI Furnizor'!$A:$A,ROW()-3)))</f>
        <v/>
      </c>
      <c r="B435" s="29" t="str">
        <f>IF(ISNUMBER($X435),INDEX(Comenzi!$B:$B,$X435),"")</f>
        <v/>
      </c>
      <c r="C435" s="28" t="str">
        <f>IF($A435="","",INDEX('PI Furnizor'!$B:$B,ROW()-3)&amp;"")</f>
        <v/>
      </c>
      <c r="D435" s="28" t="str">
        <f>IF($A435="","",INDEX('PI Furnizor'!$C:$C,ROW()-3)&amp;"")</f>
        <v/>
      </c>
      <c r="E435" s="30" t="str">
        <f>IF($A435="","",N(INDEX('PI Furnizor'!$D:$D,ROW()-3)))</f>
        <v/>
      </c>
      <c r="F435" s="31" t="str">
        <f>IF(ISNUMBER($X435),INDEX(Comenzi!$G:$G,$X435),"")</f>
        <v/>
      </c>
      <c r="G435" s="32" t="str">
        <f>IF($A435="","",N(INDEX('PI Furnizor'!$E:$E,ROW()-3)))</f>
        <v/>
      </c>
      <c r="H435" s="33" t="str">
        <f t="shared" si="78"/>
        <v/>
      </c>
      <c r="I435" s="34" t="str">
        <f>IF($Y435&lt;&gt;1,"",IFERROR($AE435/INDEX(Comenzi!$AN:$AN,$X435),0))</f>
        <v/>
      </c>
      <c r="J435" s="33" t="str">
        <f>IF($Y435&lt;&gt;1,"",INDEX(Comenzi!$AG:$AG,$X435)*$I435/$E435)</f>
        <v/>
      </c>
      <c r="K435" s="33" t="str">
        <f t="shared" si="79"/>
        <v/>
      </c>
      <c r="L435" s="33" t="str">
        <f>IF($Y435&lt;&gt;1,"",$K435*$AD435+INDEX(Comenzi!$AJ:$AJ,$X435)*$I435/$E435)</f>
        <v/>
      </c>
      <c r="M435" s="33" t="str">
        <f t="shared" si="80"/>
        <v/>
      </c>
      <c r="N435" s="33" t="str">
        <f t="shared" si="81"/>
        <v/>
      </c>
      <c r="O435" s="33" t="str">
        <f>IF($Y435&lt;&gt;1,"",(INDEX(Comenzi!$AK:$AK,$X435)+N(INDEX(Comenzi!$T:$T,$X435)))*$I435/$E435)</f>
        <v/>
      </c>
      <c r="P435" s="35" t="str">
        <f t="shared" si="82"/>
        <v/>
      </c>
      <c r="Q435" s="36" t="str">
        <f t="shared" si="83"/>
        <v/>
      </c>
      <c r="R435" s="37" t="str">
        <f t="shared" si="84"/>
        <v/>
      </c>
      <c r="S435" s="38" t="str">
        <f t="shared" si="85"/>
        <v/>
      </c>
      <c r="T435" s="39" t="str">
        <f t="shared" si="86"/>
        <v/>
      </c>
      <c r="U435" s="40" t="str">
        <f t="shared" si="87"/>
        <v/>
      </c>
      <c r="V435" s="33" t="str">
        <f t="shared" si="88"/>
        <v/>
      </c>
      <c r="W435" s="33" t="str">
        <f t="shared" si="89"/>
        <v/>
      </c>
      <c r="X435" s="41" t="str">
        <f>IF($A435="","",IFERROR(MATCH($A435,Comenzi!$A$9:$A$108,0)+8,""))</f>
        <v/>
      </c>
      <c r="Y435" s="41" t="str">
        <f t="shared" si="90"/>
        <v/>
      </c>
      <c r="Z435" s="42" t="str">
        <f>IF($A435="","",IF($A435="?","Lipseste ID-ul comenzii (col. A din PI Furnizor)",IF(NOT(ISNUMBER($X435)),"ID comanda negasit in foaia Comenzi",IF(N($E435)&lt;=0,"Lipseste cantitatea",IF(N($G435)=0,"Pret unitar lipsa",IF($Y435&lt;&gt;1,"Curs sau moneda marfa lipsa (foaia Comenzi)",IF(INDEX(Comenzi!$AT:$AT,$X435)&lt;&gt;"OK","Avertisment comanda: "&amp;INDEX(Comenzi!$AT:$AT,$X435),"OK")))))))</f>
        <v/>
      </c>
      <c r="AA435" s="43" t="str">
        <f>IF(ISNUMBER($X435),INDEX(Comenzi!$H:$H,$X435),"")</f>
        <v/>
      </c>
      <c r="AB435" s="43" t="str">
        <f>IF(ISNUMBER($X435),INDEX(Comenzi!$I:$I,$X435),"")</f>
        <v/>
      </c>
      <c r="AC435" s="44" t="str">
        <f>IF(ISNUMBER($X435),IF(INDEX(Comenzi!$V:$V,$X435)="",Comenzi!$D$3,INDEX(Comenzi!$V:$V,$X435)),"")</f>
        <v/>
      </c>
      <c r="AD435" s="44" t="str">
        <f>IF(ISNUMBER($X435),IF(INDEX(Comenzi!$U:$U,$X435)="",Comenzi!$D$4,INDEX(Comenzi!$U:$U,$X435)),"")</f>
        <v/>
      </c>
      <c r="AE435" s="45" t="str">
        <f>IF($Y435&lt;&gt;1,"",IF(INDEX(Comenzi!$AM:$AM,$X435)="Greutate",INDEX('PI Furnizor'!$O:$O,ROW()-3),IF(INDEX(Comenzi!$AM:$AM,$X435)="Volum (CBM)",INDEX('PI Furnizor'!$Q:$Q,ROW()-3),IF(INDEX(Comenzi!$AM:$AM,$X435)="Valoare marfa",INDEX('PI Furnizor'!$N:$N,ROW()-3),$E435))))</f>
        <v/>
      </c>
    </row>
    <row r="436" spans="1:31" x14ac:dyDescent="0.3">
      <c r="A436" s="28" t="str">
        <f>IF(COUNTA(INDEX('PI Furnizor'!$A:$E,ROW()-3,0))=0,"",IF(INDEX('PI Furnizor'!$A:$A,ROW()-3)="","?",INDEX('PI Furnizor'!$A:$A,ROW()-3)))</f>
        <v/>
      </c>
      <c r="B436" s="29" t="str">
        <f>IF(ISNUMBER($X436),INDEX(Comenzi!$B:$B,$X436),"")</f>
        <v/>
      </c>
      <c r="C436" s="28" t="str">
        <f>IF($A436="","",INDEX('PI Furnizor'!$B:$B,ROW()-3)&amp;"")</f>
        <v/>
      </c>
      <c r="D436" s="28" t="str">
        <f>IF($A436="","",INDEX('PI Furnizor'!$C:$C,ROW()-3)&amp;"")</f>
        <v/>
      </c>
      <c r="E436" s="30" t="str">
        <f>IF($A436="","",N(INDEX('PI Furnizor'!$D:$D,ROW()-3)))</f>
        <v/>
      </c>
      <c r="F436" s="31" t="str">
        <f>IF(ISNUMBER($X436),INDEX(Comenzi!$G:$G,$X436),"")</f>
        <v/>
      </c>
      <c r="G436" s="32" t="str">
        <f>IF($A436="","",N(INDEX('PI Furnizor'!$E:$E,ROW()-3)))</f>
        <v/>
      </c>
      <c r="H436" s="33" t="str">
        <f t="shared" si="78"/>
        <v/>
      </c>
      <c r="I436" s="34" t="str">
        <f>IF($Y436&lt;&gt;1,"",IFERROR($AE436/INDEX(Comenzi!$AN:$AN,$X436),0))</f>
        <v/>
      </c>
      <c r="J436" s="33" t="str">
        <f>IF($Y436&lt;&gt;1,"",INDEX(Comenzi!$AG:$AG,$X436)*$I436/$E436)</f>
        <v/>
      </c>
      <c r="K436" s="33" t="str">
        <f t="shared" si="79"/>
        <v/>
      </c>
      <c r="L436" s="33" t="str">
        <f>IF($Y436&lt;&gt;1,"",$K436*$AD436+INDEX(Comenzi!$AJ:$AJ,$X436)*$I436/$E436)</f>
        <v/>
      </c>
      <c r="M436" s="33" t="str">
        <f t="shared" si="80"/>
        <v/>
      </c>
      <c r="N436" s="33" t="str">
        <f t="shared" si="81"/>
        <v/>
      </c>
      <c r="O436" s="33" t="str">
        <f>IF($Y436&lt;&gt;1,"",(INDEX(Comenzi!$AK:$AK,$X436)+N(INDEX(Comenzi!$T:$T,$X436)))*$I436/$E436)</f>
        <v/>
      </c>
      <c r="P436" s="35" t="str">
        <f t="shared" si="82"/>
        <v/>
      </c>
      <c r="Q436" s="36" t="str">
        <f t="shared" si="83"/>
        <v/>
      </c>
      <c r="R436" s="37" t="str">
        <f t="shared" si="84"/>
        <v/>
      </c>
      <c r="S436" s="38" t="str">
        <f t="shared" si="85"/>
        <v/>
      </c>
      <c r="T436" s="39" t="str">
        <f t="shared" si="86"/>
        <v/>
      </c>
      <c r="U436" s="40" t="str">
        <f t="shared" si="87"/>
        <v/>
      </c>
      <c r="V436" s="33" t="str">
        <f t="shared" si="88"/>
        <v/>
      </c>
      <c r="W436" s="33" t="str">
        <f t="shared" si="89"/>
        <v/>
      </c>
      <c r="X436" s="41" t="str">
        <f>IF($A436="","",IFERROR(MATCH($A436,Comenzi!$A$9:$A$108,0)+8,""))</f>
        <v/>
      </c>
      <c r="Y436" s="41" t="str">
        <f t="shared" si="90"/>
        <v/>
      </c>
      <c r="Z436" s="42" t="str">
        <f>IF($A436="","",IF($A436="?","Lipseste ID-ul comenzii (col. A din PI Furnizor)",IF(NOT(ISNUMBER($X436)),"ID comanda negasit in foaia Comenzi",IF(N($E436)&lt;=0,"Lipseste cantitatea",IF(N($G436)=0,"Pret unitar lipsa",IF($Y436&lt;&gt;1,"Curs sau moneda marfa lipsa (foaia Comenzi)",IF(INDEX(Comenzi!$AT:$AT,$X436)&lt;&gt;"OK","Avertisment comanda: "&amp;INDEX(Comenzi!$AT:$AT,$X436),"OK")))))))</f>
        <v/>
      </c>
      <c r="AA436" s="43" t="str">
        <f>IF(ISNUMBER($X436),INDEX(Comenzi!$H:$H,$X436),"")</f>
        <v/>
      </c>
      <c r="AB436" s="43" t="str">
        <f>IF(ISNUMBER($X436),INDEX(Comenzi!$I:$I,$X436),"")</f>
        <v/>
      </c>
      <c r="AC436" s="44" t="str">
        <f>IF(ISNUMBER($X436),IF(INDEX(Comenzi!$V:$V,$X436)="",Comenzi!$D$3,INDEX(Comenzi!$V:$V,$X436)),"")</f>
        <v/>
      </c>
      <c r="AD436" s="44" t="str">
        <f>IF(ISNUMBER($X436),IF(INDEX(Comenzi!$U:$U,$X436)="",Comenzi!$D$4,INDEX(Comenzi!$U:$U,$X436)),"")</f>
        <v/>
      </c>
      <c r="AE436" s="45" t="str">
        <f>IF($Y436&lt;&gt;1,"",IF(INDEX(Comenzi!$AM:$AM,$X436)="Greutate",INDEX('PI Furnizor'!$O:$O,ROW()-3),IF(INDEX(Comenzi!$AM:$AM,$X436)="Volum (CBM)",INDEX('PI Furnizor'!$Q:$Q,ROW()-3),IF(INDEX(Comenzi!$AM:$AM,$X436)="Valoare marfa",INDEX('PI Furnizor'!$N:$N,ROW()-3),$E436))))</f>
        <v/>
      </c>
    </row>
    <row r="437" spans="1:31" x14ac:dyDescent="0.3">
      <c r="A437" s="28" t="str">
        <f>IF(COUNTA(INDEX('PI Furnizor'!$A:$E,ROW()-3,0))=0,"",IF(INDEX('PI Furnizor'!$A:$A,ROW()-3)="","?",INDEX('PI Furnizor'!$A:$A,ROW()-3)))</f>
        <v/>
      </c>
      <c r="B437" s="29" t="str">
        <f>IF(ISNUMBER($X437),INDEX(Comenzi!$B:$B,$X437),"")</f>
        <v/>
      </c>
      <c r="C437" s="28" t="str">
        <f>IF($A437="","",INDEX('PI Furnizor'!$B:$B,ROW()-3)&amp;"")</f>
        <v/>
      </c>
      <c r="D437" s="28" t="str">
        <f>IF($A437="","",INDEX('PI Furnizor'!$C:$C,ROW()-3)&amp;"")</f>
        <v/>
      </c>
      <c r="E437" s="30" t="str">
        <f>IF($A437="","",N(INDEX('PI Furnizor'!$D:$D,ROW()-3)))</f>
        <v/>
      </c>
      <c r="F437" s="31" t="str">
        <f>IF(ISNUMBER($X437),INDEX(Comenzi!$G:$G,$X437),"")</f>
        <v/>
      </c>
      <c r="G437" s="32" t="str">
        <f>IF($A437="","",N(INDEX('PI Furnizor'!$E:$E,ROW()-3)))</f>
        <v/>
      </c>
      <c r="H437" s="33" t="str">
        <f t="shared" si="78"/>
        <v/>
      </c>
      <c r="I437" s="34" t="str">
        <f>IF($Y437&lt;&gt;1,"",IFERROR($AE437/INDEX(Comenzi!$AN:$AN,$X437),0))</f>
        <v/>
      </c>
      <c r="J437" s="33" t="str">
        <f>IF($Y437&lt;&gt;1,"",INDEX(Comenzi!$AG:$AG,$X437)*$I437/$E437)</f>
        <v/>
      </c>
      <c r="K437" s="33" t="str">
        <f t="shared" si="79"/>
        <v/>
      </c>
      <c r="L437" s="33" t="str">
        <f>IF($Y437&lt;&gt;1,"",$K437*$AD437+INDEX(Comenzi!$AJ:$AJ,$X437)*$I437/$E437)</f>
        <v/>
      </c>
      <c r="M437" s="33" t="str">
        <f t="shared" si="80"/>
        <v/>
      </c>
      <c r="N437" s="33" t="str">
        <f t="shared" si="81"/>
        <v/>
      </c>
      <c r="O437" s="33" t="str">
        <f>IF($Y437&lt;&gt;1,"",(INDEX(Comenzi!$AK:$AK,$X437)+N(INDEX(Comenzi!$T:$T,$X437)))*$I437/$E437)</f>
        <v/>
      </c>
      <c r="P437" s="35" t="str">
        <f t="shared" si="82"/>
        <v/>
      </c>
      <c r="Q437" s="36" t="str">
        <f t="shared" si="83"/>
        <v/>
      </c>
      <c r="R437" s="37" t="str">
        <f t="shared" si="84"/>
        <v/>
      </c>
      <c r="S437" s="38" t="str">
        <f t="shared" si="85"/>
        <v/>
      </c>
      <c r="T437" s="39" t="str">
        <f t="shared" si="86"/>
        <v/>
      </c>
      <c r="U437" s="40" t="str">
        <f t="shared" si="87"/>
        <v/>
      </c>
      <c r="V437" s="33" t="str">
        <f t="shared" si="88"/>
        <v/>
      </c>
      <c r="W437" s="33" t="str">
        <f t="shared" si="89"/>
        <v/>
      </c>
      <c r="X437" s="41" t="str">
        <f>IF($A437="","",IFERROR(MATCH($A437,Comenzi!$A$9:$A$108,0)+8,""))</f>
        <v/>
      </c>
      <c r="Y437" s="41" t="str">
        <f t="shared" si="90"/>
        <v/>
      </c>
      <c r="Z437" s="42" t="str">
        <f>IF($A437="","",IF($A437="?","Lipseste ID-ul comenzii (col. A din PI Furnizor)",IF(NOT(ISNUMBER($X437)),"ID comanda negasit in foaia Comenzi",IF(N($E437)&lt;=0,"Lipseste cantitatea",IF(N($G437)=0,"Pret unitar lipsa",IF($Y437&lt;&gt;1,"Curs sau moneda marfa lipsa (foaia Comenzi)",IF(INDEX(Comenzi!$AT:$AT,$X437)&lt;&gt;"OK","Avertisment comanda: "&amp;INDEX(Comenzi!$AT:$AT,$X437),"OK")))))))</f>
        <v/>
      </c>
      <c r="AA437" s="43" t="str">
        <f>IF(ISNUMBER($X437),INDEX(Comenzi!$H:$H,$X437),"")</f>
        <v/>
      </c>
      <c r="AB437" s="43" t="str">
        <f>IF(ISNUMBER($X437),INDEX(Comenzi!$I:$I,$X437),"")</f>
        <v/>
      </c>
      <c r="AC437" s="44" t="str">
        <f>IF(ISNUMBER($X437),IF(INDEX(Comenzi!$V:$V,$X437)="",Comenzi!$D$3,INDEX(Comenzi!$V:$V,$X437)),"")</f>
        <v/>
      </c>
      <c r="AD437" s="44" t="str">
        <f>IF(ISNUMBER($X437),IF(INDEX(Comenzi!$U:$U,$X437)="",Comenzi!$D$4,INDEX(Comenzi!$U:$U,$X437)),"")</f>
        <v/>
      </c>
      <c r="AE437" s="45" t="str">
        <f>IF($Y437&lt;&gt;1,"",IF(INDEX(Comenzi!$AM:$AM,$X437)="Greutate",INDEX('PI Furnizor'!$O:$O,ROW()-3),IF(INDEX(Comenzi!$AM:$AM,$X437)="Volum (CBM)",INDEX('PI Furnizor'!$Q:$Q,ROW()-3),IF(INDEX(Comenzi!$AM:$AM,$X437)="Valoare marfa",INDEX('PI Furnizor'!$N:$N,ROW()-3),$E437))))</f>
        <v/>
      </c>
    </row>
    <row r="438" spans="1:31" x14ac:dyDescent="0.3">
      <c r="A438" s="28" t="str">
        <f>IF(COUNTA(INDEX('PI Furnizor'!$A:$E,ROW()-3,0))=0,"",IF(INDEX('PI Furnizor'!$A:$A,ROW()-3)="","?",INDEX('PI Furnizor'!$A:$A,ROW()-3)))</f>
        <v/>
      </c>
      <c r="B438" s="29" t="str">
        <f>IF(ISNUMBER($X438),INDEX(Comenzi!$B:$B,$X438),"")</f>
        <v/>
      </c>
      <c r="C438" s="28" t="str">
        <f>IF($A438="","",INDEX('PI Furnizor'!$B:$B,ROW()-3)&amp;"")</f>
        <v/>
      </c>
      <c r="D438" s="28" t="str">
        <f>IF($A438="","",INDEX('PI Furnizor'!$C:$C,ROW()-3)&amp;"")</f>
        <v/>
      </c>
      <c r="E438" s="30" t="str">
        <f>IF($A438="","",N(INDEX('PI Furnizor'!$D:$D,ROW()-3)))</f>
        <v/>
      </c>
      <c r="F438" s="31" t="str">
        <f>IF(ISNUMBER($X438),INDEX(Comenzi!$G:$G,$X438),"")</f>
        <v/>
      </c>
      <c r="G438" s="32" t="str">
        <f>IF($A438="","",N(INDEX('PI Furnizor'!$E:$E,ROW()-3)))</f>
        <v/>
      </c>
      <c r="H438" s="33" t="str">
        <f t="shared" si="78"/>
        <v/>
      </c>
      <c r="I438" s="34" t="str">
        <f>IF($Y438&lt;&gt;1,"",IFERROR($AE438/INDEX(Comenzi!$AN:$AN,$X438),0))</f>
        <v/>
      </c>
      <c r="J438" s="33" t="str">
        <f>IF($Y438&lt;&gt;1,"",INDEX(Comenzi!$AG:$AG,$X438)*$I438/$E438)</f>
        <v/>
      </c>
      <c r="K438" s="33" t="str">
        <f t="shared" si="79"/>
        <v/>
      </c>
      <c r="L438" s="33" t="str">
        <f>IF($Y438&lt;&gt;1,"",$K438*$AD438+INDEX(Comenzi!$AJ:$AJ,$X438)*$I438/$E438)</f>
        <v/>
      </c>
      <c r="M438" s="33" t="str">
        <f t="shared" si="80"/>
        <v/>
      </c>
      <c r="N438" s="33" t="str">
        <f t="shared" si="81"/>
        <v/>
      </c>
      <c r="O438" s="33" t="str">
        <f>IF($Y438&lt;&gt;1,"",(INDEX(Comenzi!$AK:$AK,$X438)+N(INDEX(Comenzi!$T:$T,$X438)))*$I438/$E438)</f>
        <v/>
      </c>
      <c r="P438" s="35" t="str">
        <f t="shared" si="82"/>
        <v/>
      </c>
      <c r="Q438" s="36" t="str">
        <f t="shared" si="83"/>
        <v/>
      </c>
      <c r="R438" s="37" t="str">
        <f t="shared" si="84"/>
        <v/>
      </c>
      <c r="S438" s="38" t="str">
        <f t="shared" si="85"/>
        <v/>
      </c>
      <c r="T438" s="39" t="str">
        <f t="shared" si="86"/>
        <v/>
      </c>
      <c r="U438" s="40" t="str">
        <f t="shared" si="87"/>
        <v/>
      </c>
      <c r="V438" s="33" t="str">
        <f t="shared" si="88"/>
        <v/>
      </c>
      <c r="W438" s="33" t="str">
        <f t="shared" si="89"/>
        <v/>
      </c>
      <c r="X438" s="41" t="str">
        <f>IF($A438="","",IFERROR(MATCH($A438,Comenzi!$A$9:$A$108,0)+8,""))</f>
        <v/>
      </c>
      <c r="Y438" s="41" t="str">
        <f t="shared" si="90"/>
        <v/>
      </c>
      <c r="Z438" s="42" t="str">
        <f>IF($A438="","",IF($A438="?","Lipseste ID-ul comenzii (col. A din PI Furnizor)",IF(NOT(ISNUMBER($X438)),"ID comanda negasit in foaia Comenzi",IF(N($E438)&lt;=0,"Lipseste cantitatea",IF(N($G438)=0,"Pret unitar lipsa",IF($Y438&lt;&gt;1,"Curs sau moneda marfa lipsa (foaia Comenzi)",IF(INDEX(Comenzi!$AT:$AT,$X438)&lt;&gt;"OK","Avertisment comanda: "&amp;INDEX(Comenzi!$AT:$AT,$X438),"OK")))))))</f>
        <v/>
      </c>
      <c r="AA438" s="43" t="str">
        <f>IF(ISNUMBER($X438),INDEX(Comenzi!$H:$H,$X438),"")</f>
        <v/>
      </c>
      <c r="AB438" s="43" t="str">
        <f>IF(ISNUMBER($X438),INDEX(Comenzi!$I:$I,$X438),"")</f>
        <v/>
      </c>
      <c r="AC438" s="44" t="str">
        <f>IF(ISNUMBER($X438),IF(INDEX(Comenzi!$V:$V,$X438)="",Comenzi!$D$3,INDEX(Comenzi!$V:$V,$X438)),"")</f>
        <v/>
      </c>
      <c r="AD438" s="44" t="str">
        <f>IF(ISNUMBER($X438),IF(INDEX(Comenzi!$U:$U,$X438)="",Comenzi!$D$4,INDEX(Comenzi!$U:$U,$X438)),"")</f>
        <v/>
      </c>
      <c r="AE438" s="45" t="str">
        <f>IF($Y438&lt;&gt;1,"",IF(INDEX(Comenzi!$AM:$AM,$X438)="Greutate",INDEX('PI Furnizor'!$O:$O,ROW()-3),IF(INDEX(Comenzi!$AM:$AM,$X438)="Volum (CBM)",INDEX('PI Furnizor'!$Q:$Q,ROW()-3),IF(INDEX(Comenzi!$AM:$AM,$X438)="Valoare marfa",INDEX('PI Furnizor'!$N:$N,ROW()-3),$E438))))</f>
        <v/>
      </c>
    </row>
    <row r="439" spans="1:31" x14ac:dyDescent="0.3">
      <c r="A439" s="28" t="str">
        <f>IF(COUNTA(INDEX('PI Furnizor'!$A:$E,ROW()-3,0))=0,"",IF(INDEX('PI Furnizor'!$A:$A,ROW()-3)="","?",INDEX('PI Furnizor'!$A:$A,ROW()-3)))</f>
        <v/>
      </c>
      <c r="B439" s="29" t="str">
        <f>IF(ISNUMBER($X439),INDEX(Comenzi!$B:$B,$X439),"")</f>
        <v/>
      </c>
      <c r="C439" s="28" t="str">
        <f>IF($A439="","",INDEX('PI Furnizor'!$B:$B,ROW()-3)&amp;"")</f>
        <v/>
      </c>
      <c r="D439" s="28" t="str">
        <f>IF($A439="","",INDEX('PI Furnizor'!$C:$C,ROW()-3)&amp;"")</f>
        <v/>
      </c>
      <c r="E439" s="30" t="str">
        <f>IF($A439="","",N(INDEX('PI Furnizor'!$D:$D,ROW()-3)))</f>
        <v/>
      </c>
      <c r="F439" s="31" t="str">
        <f>IF(ISNUMBER($X439),INDEX(Comenzi!$G:$G,$X439),"")</f>
        <v/>
      </c>
      <c r="G439" s="32" t="str">
        <f>IF($A439="","",N(INDEX('PI Furnizor'!$E:$E,ROW()-3)))</f>
        <v/>
      </c>
      <c r="H439" s="33" t="str">
        <f t="shared" si="78"/>
        <v/>
      </c>
      <c r="I439" s="34" t="str">
        <f>IF($Y439&lt;&gt;1,"",IFERROR($AE439/INDEX(Comenzi!$AN:$AN,$X439),0))</f>
        <v/>
      </c>
      <c r="J439" s="33" t="str">
        <f>IF($Y439&lt;&gt;1,"",INDEX(Comenzi!$AG:$AG,$X439)*$I439/$E439)</f>
        <v/>
      </c>
      <c r="K439" s="33" t="str">
        <f t="shared" si="79"/>
        <v/>
      </c>
      <c r="L439" s="33" t="str">
        <f>IF($Y439&lt;&gt;1,"",$K439*$AD439+INDEX(Comenzi!$AJ:$AJ,$X439)*$I439/$E439)</f>
        <v/>
      </c>
      <c r="M439" s="33" t="str">
        <f t="shared" si="80"/>
        <v/>
      </c>
      <c r="N439" s="33" t="str">
        <f t="shared" si="81"/>
        <v/>
      </c>
      <c r="O439" s="33" t="str">
        <f>IF($Y439&lt;&gt;1,"",(INDEX(Comenzi!$AK:$AK,$X439)+N(INDEX(Comenzi!$T:$T,$X439)))*$I439/$E439)</f>
        <v/>
      </c>
      <c r="P439" s="35" t="str">
        <f t="shared" si="82"/>
        <v/>
      </c>
      <c r="Q439" s="36" t="str">
        <f t="shared" si="83"/>
        <v/>
      </c>
      <c r="R439" s="37" t="str">
        <f t="shared" si="84"/>
        <v/>
      </c>
      <c r="S439" s="38" t="str">
        <f t="shared" si="85"/>
        <v/>
      </c>
      <c r="T439" s="39" t="str">
        <f t="shared" si="86"/>
        <v/>
      </c>
      <c r="U439" s="40" t="str">
        <f t="shared" si="87"/>
        <v/>
      </c>
      <c r="V439" s="33" t="str">
        <f t="shared" si="88"/>
        <v/>
      </c>
      <c r="W439" s="33" t="str">
        <f t="shared" si="89"/>
        <v/>
      </c>
      <c r="X439" s="41" t="str">
        <f>IF($A439="","",IFERROR(MATCH($A439,Comenzi!$A$9:$A$108,0)+8,""))</f>
        <v/>
      </c>
      <c r="Y439" s="41" t="str">
        <f t="shared" si="90"/>
        <v/>
      </c>
      <c r="Z439" s="42" t="str">
        <f>IF($A439="","",IF($A439="?","Lipseste ID-ul comenzii (col. A din PI Furnizor)",IF(NOT(ISNUMBER($X439)),"ID comanda negasit in foaia Comenzi",IF(N($E439)&lt;=0,"Lipseste cantitatea",IF(N($G439)=0,"Pret unitar lipsa",IF($Y439&lt;&gt;1,"Curs sau moneda marfa lipsa (foaia Comenzi)",IF(INDEX(Comenzi!$AT:$AT,$X439)&lt;&gt;"OK","Avertisment comanda: "&amp;INDEX(Comenzi!$AT:$AT,$X439),"OK")))))))</f>
        <v/>
      </c>
      <c r="AA439" s="43" t="str">
        <f>IF(ISNUMBER($X439),INDEX(Comenzi!$H:$H,$X439),"")</f>
        <v/>
      </c>
      <c r="AB439" s="43" t="str">
        <f>IF(ISNUMBER($X439),INDEX(Comenzi!$I:$I,$X439),"")</f>
        <v/>
      </c>
      <c r="AC439" s="44" t="str">
        <f>IF(ISNUMBER($X439),IF(INDEX(Comenzi!$V:$V,$X439)="",Comenzi!$D$3,INDEX(Comenzi!$V:$V,$X439)),"")</f>
        <v/>
      </c>
      <c r="AD439" s="44" t="str">
        <f>IF(ISNUMBER($X439),IF(INDEX(Comenzi!$U:$U,$X439)="",Comenzi!$D$4,INDEX(Comenzi!$U:$U,$X439)),"")</f>
        <v/>
      </c>
      <c r="AE439" s="45" t="str">
        <f>IF($Y439&lt;&gt;1,"",IF(INDEX(Comenzi!$AM:$AM,$X439)="Greutate",INDEX('PI Furnizor'!$O:$O,ROW()-3),IF(INDEX(Comenzi!$AM:$AM,$X439)="Volum (CBM)",INDEX('PI Furnizor'!$Q:$Q,ROW()-3),IF(INDEX(Comenzi!$AM:$AM,$X439)="Valoare marfa",INDEX('PI Furnizor'!$N:$N,ROW()-3),$E439))))</f>
        <v/>
      </c>
    </row>
    <row r="440" spans="1:31" x14ac:dyDescent="0.3">
      <c r="A440" s="28" t="str">
        <f>IF(COUNTA(INDEX('PI Furnizor'!$A:$E,ROW()-3,0))=0,"",IF(INDEX('PI Furnizor'!$A:$A,ROW()-3)="","?",INDEX('PI Furnizor'!$A:$A,ROW()-3)))</f>
        <v/>
      </c>
      <c r="B440" s="29" t="str">
        <f>IF(ISNUMBER($X440),INDEX(Comenzi!$B:$B,$X440),"")</f>
        <v/>
      </c>
      <c r="C440" s="28" t="str">
        <f>IF($A440="","",INDEX('PI Furnizor'!$B:$B,ROW()-3)&amp;"")</f>
        <v/>
      </c>
      <c r="D440" s="28" t="str">
        <f>IF($A440="","",INDEX('PI Furnizor'!$C:$C,ROW()-3)&amp;"")</f>
        <v/>
      </c>
      <c r="E440" s="30" t="str">
        <f>IF($A440="","",N(INDEX('PI Furnizor'!$D:$D,ROW()-3)))</f>
        <v/>
      </c>
      <c r="F440" s="31" t="str">
        <f>IF(ISNUMBER($X440),INDEX(Comenzi!$G:$G,$X440),"")</f>
        <v/>
      </c>
      <c r="G440" s="32" t="str">
        <f>IF($A440="","",N(INDEX('PI Furnizor'!$E:$E,ROW()-3)))</f>
        <v/>
      </c>
      <c r="H440" s="33" t="str">
        <f t="shared" si="78"/>
        <v/>
      </c>
      <c r="I440" s="34" t="str">
        <f>IF($Y440&lt;&gt;1,"",IFERROR($AE440/INDEX(Comenzi!$AN:$AN,$X440),0))</f>
        <v/>
      </c>
      <c r="J440" s="33" t="str">
        <f>IF($Y440&lt;&gt;1,"",INDEX(Comenzi!$AG:$AG,$X440)*$I440/$E440)</f>
        <v/>
      </c>
      <c r="K440" s="33" t="str">
        <f t="shared" si="79"/>
        <v/>
      </c>
      <c r="L440" s="33" t="str">
        <f>IF($Y440&lt;&gt;1,"",$K440*$AD440+INDEX(Comenzi!$AJ:$AJ,$X440)*$I440/$E440)</f>
        <v/>
      </c>
      <c r="M440" s="33" t="str">
        <f t="shared" si="80"/>
        <v/>
      </c>
      <c r="N440" s="33" t="str">
        <f t="shared" si="81"/>
        <v/>
      </c>
      <c r="O440" s="33" t="str">
        <f>IF($Y440&lt;&gt;1,"",(INDEX(Comenzi!$AK:$AK,$X440)+N(INDEX(Comenzi!$T:$T,$X440)))*$I440/$E440)</f>
        <v/>
      </c>
      <c r="P440" s="35" t="str">
        <f t="shared" si="82"/>
        <v/>
      </c>
      <c r="Q440" s="36" t="str">
        <f t="shared" si="83"/>
        <v/>
      </c>
      <c r="R440" s="37" t="str">
        <f t="shared" si="84"/>
        <v/>
      </c>
      <c r="S440" s="38" t="str">
        <f t="shared" si="85"/>
        <v/>
      </c>
      <c r="T440" s="39" t="str">
        <f t="shared" si="86"/>
        <v/>
      </c>
      <c r="U440" s="40" t="str">
        <f t="shared" si="87"/>
        <v/>
      </c>
      <c r="V440" s="33" t="str">
        <f t="shared" si="88"/>
        <v/>
      </c>
      <c r="W440" s="33" t="str">
        <f t="shared" si="89"/>
        <v/>
      </c>
      <c r="X440" s="41" t="str">
        <f>IF($A440="","",IFERROR(MATCH($A440,Comenzi!$A$9:$A$108,0)+8,""))</f>
        <v/>
      </c>
      <c r="Y440" s="41" t="str">
        <f t="shared" si="90"/>
        <v/>
      </c>
      <c r="Z440" s="42" t="str">
        <f>IF($A440="","",IF($A440="?","Lipseste ID-ul comenzii (col. A din PI Furnizor)",IF(NOT(ISNUMBER($X440)),"ID comanda negasit in foaia Comenzi",IF(N($E440)&lt;=0,"Lipseste cantitatea",IF(N($G440)=0,"Pret unitar lipsa",IF($Y440&lt;&gt;1,"Curs sau moneda marfa lipsa (foaia Comenzi)",IF(INDEX(Comenzi!$AT:$AT,$X440)&lt;&gt;"OK","Avertisment comanda: "&amp;INDEX(Comenzi!$AT:$AT,$X440),"OK")))))))</f>
        <v/>
      </c>
      <c r="AA440" s="43" t="str">
        <f>IF(ISNUMBER($X440),INDEX(Comenzi!$H:$H,$X440),"")</f>
        <v/>
      </c>
      <c r="AB440" s="43" t="str">
        <f>IF(ISNUMBER($X440),INDEX(Comenzi!$I:$I,$X440),"")</f>
        <v/>
      </c>
      <c r="AC440" s="44" t="str">
        <f>IF(ISNUMBER($X440),IF(INDEX(Comenzi!$V:$V,$X440)="",Comenzi!$D$3,INDEX(Comenzi!$V:$V,$X440)),"")</f>
        <v/>
      </c>
      <c r="AD440" s="44" t="str">
        <f>IF(ISNUMBER($X440),IF(INDEX(Comenzi!$U:$U,$X440)="",Comenzi!$D$4,INDEX(Comenzi!$U:$U,$X440)),"")</f>
        <v/>
      </c>
      <c r="AE440" s="45" t="str">
        <f>IF($Y440&lt;&gt;1,"",IF(INDEX(Comenzi!$AM:$AM,$X440)="Greutate",INDEX('PI Furnizor'!$O:$O,ROW()-3),IF(INDEX(Comenzi!$AM:$AM,$X440)="Volum (CBM)",INDEX('PI Furnizor'!$Q:$Q,ROW()-3),IF(INDEX(Comenzi!$AM:$AM,$X440)="Valoare marfa",INDEX('PI Furnizor'!$N:$N,ROW()-3),$E440))))</f>
        <v/>
      </c>
    </row>
    <row r="441" spans="1:31" x14ac:dyDescent="0.3">
      <c r="A441" s="28" t="str">
        <f>IF(COUNTA(INDEX('PI Furnizor'!$A:$E,ROW()-3,0))=0,"",IF(INDEX('PI Furnizor'!$A:$A,ROW()-3)="","?",INDEX('PI Furnizor'!$A:$A,ROW()-3)))</f>
        <v/>
      </c>
      <c r="B441" s="29" t="str">
        <f>IF(ISNUMBER($X441),INDEX(Comenzi!$B:$B,$X441),"")</f>
        <v/>
      </c>
      <c r="C441" s="28" t="str">
        <f>IF($A441="","",INDEX('PI Furnizor'!$B:$B,ROW()-3)&amp;"")</f>
        <v/>
      </c>
      <c r="D441" s="28" t="str">
        <f>IF($A441="","",INDEX('PI Furnizor'!$C:$C,ROW()-3)&amp;"")</f>
        <v/>
      </c>
      <c r="E441" s="30" t="str">
        <f>IF($A441="","",N(INDEX('PI Furnizor'!$D:$D,ROW()-3)))</f>
        <v/>
      </c>
      <c r="F441" s="31" t="str">
        <f>IF(ISNUMBER($X441),INDEX(Comenzi!$G:$G,$X441),"")</f>
        <v/>
      </c>
      <c r="G441" s="32" t="str">
        <f>IF($A441="","",N(INDEX('PI Furnizor'!$E:$E,ROW()-3)))</f>
        <v/>
      </c>
      <c r="H441" s="33" t="str">
        <f t="shared" si="78"/>
        <v/>
      </c>
      <c r="I441" s="34" t="str">
        <f>IF($Y441&lt;&gt;1,"",IFERROR($AE441/INDEX(Comenzi!$AN:$AN,$X441),0))</f>
        <v/>
      </c>
      <c r="J441" s="33" t="str">
        <f>IF($Y441&lt;&gt;1,"",INDEX(Comenzi!$AG:$AG,$X441)*$I441/$E441)</f>
        <v/>
      </c>
      <c r="K441" s="33" t="str">
        <f t="shared" si="79"/>
        <v/>
      </c>
      <c r="L441" s="33" t="str">
        <f>IF($Y441&lt;&gt;1,"",$K441*$AD441+INDEX(Comenzi!$AJ:$AJ,$X441)*$I441/$E441)</f>
        <v/>
      </c>
      <c r="M441" s="33" t="str">
        <f t="shared" si="80"/>
        <v/>
      </c>
      <c r="N441" s="33" t="str">
        <f t="shared" si="81"/>
        <v/>
      </c>
      <c r="O441" s="33" t="str">
        <f>IF($Y441&lt;&gt;1,"",(INDEX(Comenzi!$AK:$AK,$X441)+N(INDEX(Comenzi!$T:$T,$X441)))*$I441/$E441)</f>
        <v/>
      </c>
      <c r="P441" s="35" t="str">
        <f t="shared" si="82"/>
        <v/>
      </c>
      <c r="Q441" s="36" t="str">
        <f t="shared" si="83"/>
        <v/>
      </c>
      <c r="R441" s="37" t="str">
        <f t="shared" si="84"/>
        <v/>
      </c>
      <c r="S441" s="38" t="str">
        <f t="shared" si="85"/>
        <v/>
      </c>
      <c r="T441" s="39" t="str">
        <f t="shared" si="86"/>
        <v/>
      </c>
      <c r="U441" s="40" t="str">
        <f t="shared" si="87"/>
        <v/>
      </c>
      <c r="V441" s="33" t="str">
        <f t="shared" si="88"/>
        <v/>
      </c>
      <c r="W441" s="33" t="str">
        <f t="shared" si="89"/>
        <v/>
      </c>
      <c r="X441" s="41" t="str">
        <f>IF($A441="","",IFERROR(MATCH($A441,Comenzi!$A$9:$A$108,0)+8,""))</f>
        <v/>
      </c>
      <c r="Y441" s="41" t="str">
        <f t="shared" si="90"/>
        <v/>
      </c>
      <c r="Z441" s="42" t="str">
        <f>IF($A441="","",IF($A441="?","Lipseste ID-ul comenzii (col. A din PI Furnizor)",IF(NOT(ISNUMBER($X441)),"ID comanda negasit in foaia Comenzi",IF(N($E441)&lt;=0,"Lipseste cantitatea",IF(N($G441)=0,"Pret unitar lipsa",IF($Y441&lt;&gt;1,"Curs sau moneda marfa lipsa (foaia Comenzi)",IF(INDEX(Comenzi!$AT:$AT,$X441)&lt;&gt;"OK","Avertisment comanda: "&amp;INDEX(Comenzi!$AT:$AT,$X441),"OK")))))))</f>
        <v/>
      </c>
      <c r="AA441" s="43" t="str">
        <f>IF(ISNUMBER($X441),INDEX(Comenzi!$H:$H,$X441),"")</f>
        <v/>
      </c>
      <c r="AB441" s="43" t="str">
        <f>IF(ISNUMBER($X441),INDEX(Comenzi!$I:$I,$X441),"")</f>
        <v/>
      </c>
      <c r="AC441" s="44" t="str">
        <f>IF(ISNUMBER($X441),IF(INDEX(Comenzi!$V:$V,$X441)="",Comenzi!$D$3,INDEX(Comenzi!$V:$V,$X441)),"")</f>
        <v/>
      </c>
      <c r="AD441" s="44" t="str">
        <f>IF(ISNUMBER($X441),IF(INDEX(Comenzi!$U:$U,$X441)="",Comenzi!$D$4,INDEX(Comenzi!$U:$U,$X441)),"")</f>
        <v/>
      </c>
      <c r="AE441" s="45" t="str">
        <f>IF($Y441&lt;&gt;1,"",IF(INDEX(Comenzi!$AM:$AM,$X441)="Greutate",INDEX('PI Furnizor'!$O:$O,ROW()-3),IF(INDEX(Comenzi!$AM:$AM,$X441)="Volum (CBM)",INDEX('PI Furnizor'!$Q:$Q,ROW()-3),IF(INDEX(Comenzi!$AM:$AM,$X441)="Valoare marfa",INDEX('PI Furnizor'!$N:$N,ROW()-3),$E441))))</f>
        <v/>
      </c>
    </row>
    <row r="442" spans="1:31" x14ac:dyDescent="0.3">
      <c r="A442" s="28" t="str">
        <f>IF(COUNTA(INDEX('PI Furnizor'!$A:$E,ROW()-3,0))=0,"",IF(INDEX('PI Furnizor'!$A:$A,ROW()-3)="","?",INDEX('PI Furnizor'!$A:$A,ROW()-3)))</f>
        <v/>
      </c>
      <c r="B442" s="29" t="str">
        <f>IF(ISNUMBER($X442),INDEX(Comenzi!$B:$B,$X442),"")</f>
        <v/>
      </c>
      <c r="C442" s="28" t="str">
        <f>IF($A442="","",INDEX('PI Furnizor'!$B:$B,ROW()-3)&amp;"")</f>
        <v/>
      </c>
      <c r="D442" s="28" t="str">
        <f>IF($A442="","",INDEX('PI Furnizor'!$C:$C,ROW()-3)&amp;"")</f>
        <v/>
      </c>
      <c r="E442" s="30" t="str">
        <f>IF($A442="","",N(INDEX('PI Furnizor'!$D:$D,ROW()-3)))</f>
        <v/>
      </c>
      <c r="F442" s="31" t="str">
        <f>IF(ISNUMBER($X442),INDEX(Comenzi!$G:$G,$X442),"")</f>
        <v/>
      </c>
      <c r="G442" s="32" t="str">
        <f>IF($A442="","",N(INDEX('PI Furnizor'!$E:$E,ROW()-3)))</f>
        <v/>
      </c>
      <c r="H442" s="33" t="str">
        <f t="shared" si="78"/>
        <v/>
      </c>
      <c r="I442" s="34" t="str">
        <f>IF($Y442&lt;&gt;1,"",IFERROR($AE442/INDEX(Comenzi!$AN:$AN,$X442),0))</f>
        <v/>
      </c>
      <c r="J442" s="33" t="str">
        <f>IF($Y442&lt;&gt;1,"",INDEX(Comenzi!$AG:$AG,$X442)*$I442/$E442)</f>
        <v/>
      </c>
      <c r="K442" s="33" t="str">
        <f t="shared" si="79"/>
        <v/>
      </c>
      <c r="L442" s="33" t="str">
        <f>IF($Y442&lt;&gt;1,"",$K442*$AD442+INDEX(Comenzi!$AJ:$AJ,$X442)*$I442/$E442)</f>
        <v/>
      </c>
      <c r="M442" s="33" t="str">
        <f t="shared" si="80"/>
        <v/>
      </c>
      <c r="N442" s="33" t="str">
        <f t="shared" si="81"/>
        <v/>
      </c>
      <c r="O442" s="33" t="str">
        <f>IF($Y442&lt;&gt;1,"",(INDEX(Comenzi!$AK:$AK,$X442)+N(INDEX(Comenzi!$T:$T,$X442)))*$I442/$E442)</f>
        <v/>
      </c>
      <c r="P442" s="35" t="str">
        <f t="shared" si="82"/>
        <v/>
      </c>
      <c r="Q442" s="36" t="str">
        <f t="shared" si="83"/>
        <v/>
      </c>
      <c r="R442" s="37" t="str">
        <f t="shared" si="84"/>
        <v/>
      </c>
      <c r="S442" s="38" t="str">
        <f t="shared" si="85"/>
        <v/>
      </c>
      <c r="T442" s="39" t="str">
        <f t="shared" si="86"/>
        <v/>
      </c>
      <c r="U442" s="40" t="str">
        <f t="shared" si="87"/>
        <v/>
      </c>
      <c r="V442" s="33" t="str">
        <f t="shared" si="88"/>
        <v/>
      </c>
      <c r="W442" s="33" t="str">
        <f t="shared" si="89"/>
        <v/>
      </c>
      <c r="X442" s="41" t="str">
        <f>IF($A442="","",IFERROR(MATCH($A442,Comenzi!$A$9:$A$108,0)+8,""))</f>
        <v/>
      </c>
      <c r="Y442" s="41" t="str">
        <f t="shared" si="90"/>
        <v/>
      </c>
      <c r="Z442" s="42" t="str">
        <f>IF($A442="","",IF($A442="?","Lipseste ID-ul comenzii (col. A din PI Furnizor)",IF(NOT(ISNUMBER($X442)),"ID comanda negasit in foaia Comenzi",IF(N($E442)&lt;=0,"Lipseste cantitatea",IF(N($G442)=0,"Pret unitar lipsa",IF($Y442&lt;&gt;1,"Curs sau moneda marfa lipsa (foaia Comenzi)",IF(INDEX(Comenzi!$AT:$AT,$X442)&lt;&gt;"OK","Avertisment comanda: "&amp;INDEX(Comenzi!$AT:$AT,$X442),"OK")))))))</f>
        <v/>
      </c>
      <c r="AA442" s="43" t="str">
        <f>IF(ISNUMBER($X442),INDEX(Comenzi!$H:$H,$X442),"")</f>
        <v/>
      </c>
      <c r="AB442" s="43" t="str">
        <f>IF(ISNUMBER($X442),INDEX(Comenzi!$I:$I,$X442),"")</f>
        <v/>
      </c>
      <c r="AC442" s="44" t="str">
        <f>IF(ISNUMBER($X442),IF(INDEX(Comenzi!$V:$V,$X442)="",Comenzi!$D$3,INDEX(Comenzi!$V:$V,$X442)),"")</f>
        <v/>
      </c>
      <c r="AD442" s="44" t="str">
        <f>IF(ISNUMBER($X442),IF(INDEX(Comenzi!$U:$U,$X442)="",Comenzi!$D$4,INDEX(Comenzi!$U:$U,$X442)),"")</f>
        <v/>
      </c>
      <c r="AE442" s="45" t="str">
        <f>IF($Y442&lt;&gt;1,"",IF(INDEX(Comenzi!$AM:$AM,$X442)="Greutate",INDEX('PI Furnizor'!$O:$O,ROW()-3),IF(INDEX(Comenzi!$AM:$AM,$X442)="Volum (CBM)",INDEX('PI Furnizor'!$Q:$Q,ROW()-3),IF(INDEX(Comenzi!$AM:$AM,$X442)="Valoare marfa",INDEX('PI Furnizor'!$N:$N,ROW()-3),$E442))))</f>
        <v/>
      </c>
    </row>
    <row r="443" spans="1:31" x14ac:dyDescent="0.3">
      <c r="A443" s="28" t="str">
        <f>IF(COUNTA(INDEX('PI Furnizor'!$A:$E,ROW()-3,0))=0,"",IF(INDEX('PI Furnizor'!$A:$A,ROW()-3)="","?",INDEX('PI Furnizor'!$A:$A,ROW()-3)))</f>
        <v/>
      </c>
      <c r="B443" s="29" t="str">
        <f>IF(ISNUMBER($X443),INDEX(Comenzi!$B:$B,$X443),"")</f>
        <v/>
      </c>
      <c r="C443" s="28" t="str">
        <f>IF($A443="","",INDEX('PI Furnizor'!$B:$B,ROW()-3)&amp;"")</f>
        <v/>
      </c>
      <c r="D443" s="28" t="str">
        <f>IF($A443="","",INDEX('PI Furnizor'!$C:$C,ROW()-3)&amp;"")</f>
        <v/>
      </c>
      <c r="E443" s="30" t="str">
        <f>IF($A443="","",N(INDEX('PI Furnizor'!$D:$D,ROW()-3)))</f>
        <v/>
      </c>
      <c r="F443" s="31" t="str">
        <f>IF(ISNUMBER($X443),INDEX(Comenzi!$G:$G,$X443),"")</f>
        <v/>
      </c>
      <c r="G443" s="32" t="str">
        <f>IF($A443="","",N(INDEX('PI Furnizor'!$E:$E,ROW()-3)))</f>
        <v/>
      </c>
      <c r="H443" s="33" t="str">
        <f t="shared" si="78"/>
        <v/>
      </c>
      <c r="I443" s="34" t="str">
        <f>IF($Y443&lt;&gt;1,"",IFERROR($AE443/INDEX(Comenzi!$AN:$AN,$X443),0))</f>
        <v/>
      </c>
      <c r="J443" s="33" t="str">
        <f>IF($Y443&lt;&gt;1,"",INDEX(Comenzi!$AG:$AG,$X443)*$I443/$E443)</f>
        <v/>
      </c>
      <c r="K443" s="33" t="str">
        <f t="shared" si="79"/>
        <v/>
      </c>
      <c r="L443" s="33" t="str">
        <f>IF($Y443&lt;&gt;1,"",$K443*$AD443+INDEX(Comenzi!$AJ:$AJ,$X443)*$I443/$E443)</f>
        <v/>
      </c>
      <c r="M443" s="33" t="str">
        <f t="shared" si="80"/>
        <v/>
      </c>
      <c r="N443" s="33" t="str">
        <f t="shared" si="81"/>
        <v/>
      </c>
      <c r="O443" s="33" t="str">
        <f>IF($Y443&lt;&gt;1,"",(INDEX(Comenzi!$AK:$AK,$X443)+N(INDEX(Comenzi!$T:$T,$X443)))*$I443/$E443)</f>
        <v/>
      </c>
      <c r="P443" s="35" t="str">
        <f t="shared" si="82"/>
        <v/>
      </c>
      <c r="Q443" s="36" t="str">
        <f t="shared" si="83"/>
        <v/>
      </c>
      <c r="R443" s="37" t="str">
        <f t="shared" si="84"/>
        <v/>
      </c>
      <c r="S443" s="38" t="str">
        <f t="shared" si="85"/>
        <v/>
      </c>
      <c r="T443" s="39" t="str">
        <f t="shared" si="86"/>
        <v/>
      </c>
      <c r="U443" s="40" t="str">
        <f t="shared" si="87"/>
        <v/>
      </c>
      <c r="V443" s="33" t="str">
        <f t="shared" si="88"/>
        <v/>
      </c>
      <c r="W443" s="33" t="str">
        <f t="shared" si="89"/>
        <v/>
      </c>
      <c r="X443" s="41" t="str">
        <f>IF($A443="","",IFERROR(MATCH($A443,Comenzi!$A$9:$A$108,0)+8,""))</f>
        <v/>
      </c>
      <c r="Y443" s="41" t="str">
        <f t="shared" si="90"/>
        <v/>
      </c>
      <c r="Z443" s="42" t="str">
        <f>IF($A443="","",IF($A443="?","Lipseste ID-ul comenzii (col. A din PI Furnizor)",IF(NOT(ISNUMBER($X443)),"ID comanda negasit in foaia Comenzi",IF(N($E443)&lt;=0,"Lipseste cantitatea",IF(N($G443)=0,"Pret unitar lipsa",IF($Y443&lt;&gt;1,"Curs sau moneda marfa lipsa (foaia Comenzi)",IF(INDEX(Comenzi!$AT:$AT,$X443)&lt;&gt;"OK","Avertisment comanda: "&amp;INDEX(Comenzi!$AT:$AT,$X443),"OK")))))))</f>
        <v/>
      </c>
      <c r="AA443" s="43" t="str">
        <f>IF(ISNUMBER($X443),INDEX(Comenzi!$H:$H,$X443),"")</f>
        <v/>
      </c>
      <c r="AB443" s="43" t="str">
        <f>IF(ISNUMBER($X443),INDEX(Comenzi!$I:$I,$X443),"")</f>
        <v/>
      </c>
      <c r="AC443" s="44" t="str">
        <f>IF(ISNUMBER($X443),IF(INDEX(Comenzi!$V:$V,$X443)="",Comenzi!$D$3,INDEX(Comenzi!$V:$V,$X443)),"")</f>
        <v/>
      </c>
      <c r="AD443" s="44" t="str">
        <f>IF(ISNUMBER($X443),IF(INDEX(Comenzi!$U:$U,$X443)="",Comenzi!$D$4,INDEX(Comenzi!$U:$U,$X443)),"")</f>
        <v/>
      </c>
      <c r="AE443" s="45" t="str">
        <f>IF($Y443&lt;&gt;1,"",IF(INDEX(Comenzi!$AM:$AM,$X443)="Greutate",INDEX('PI Furnizor'!$O:$O,ROW()-3),IF(INDEX(Comenzi!$AM:$AM,$X443)="Volum (CBM)",INDEX('PI Furnizor'!$Q:$Q,ROW()-3),IF(INDEX(Comenzi!$AM:$AM,$X443)="Valoare marfa",INDEX('PI Furnizor'!$N:$N,ROW()-3),$E443))))</f>
        <v/>
      </c>
    </row>
    <row r="444" spans="1:31" x14ac:dyDescent="0.3">
      <c r="A444" s="28" t="str">
        <f>IF(COUNTA(INDEX('PI Furnizor'!$A:$E,ROW()-3,0))=0,"",IF(INDEX('PI Furnizor'!$A:$A,ROW()-3)="","?",INDEX('PI Furnizor'!$A:$A,ROW()-3)))</f>
        <v/>
      </c>
      <c r="B444" s="29" t="str">
        <f>IF(ISNUMBER($X444),INDEX(Comenzi!$B:$B,$X444),"")</f>
        <v/>
      </c>
      <c r="C444" s="28" t="str">
        <f>IF($A444="","",INDEX('PI Furnizor'!$B:$B,ROW()-3)&amp;"")</f>
        <v/>
      </c>
      <c r="D444" s="28" t="str">
        <f>IF($A444="","",INDEX('PI Furnizor'!$C:$C,ROW()-3)&amp;"")</f>
        <v/>
      </c>
      <c r="E444" s="30" t="str">
        <f>IF($A444="","",N(INDEX('PI Furnizor'!$D:$D,ROW()-3)))</f>
        <v/>
      </c>
      <c r="F444" s="31" t="str">
        <f>IF(ISNUMBER($X444),INDEX(Comenzi!$G:$G,$X444),"")</f>
        <v/>
      </c>
      <c r="G444" s="32" t="str">
        <f>IF($A444="","",N(INDEX('PI Furnizor'!$E:$E,ROW()-3)))</f>
        <v/>
      </c>
      <c r="H444" s="33" t="str">
        <f t="shared" si="78"/>
        <v/>
      </c>
      <c r="I444" s="34" t="str">
        <f>IF($Y444&lt;&gt;1,"",IFERROR($AE444/INDEX(Comenzi!$AN:$AN,$X444),0))</f>
        <v/>
      </c>
      <c r="J444" s="33" t="str">
        <f>IF($Y444&lt;&gt;1,"",INDEX(Comenzi!$AG:$AG,$X444)*$I444/$E444)</f>
        <v/>
      </c>
      <c r="K444" s="33" t="str">
        <f t="shared" si="79"/>
        <v/>
      </c>
      <c r="L444" s="33" t="str">
        <f>IF($Y444&lt;&gt;1,"",$K444*$AD444+INDEX(Comenzi!$AJ:$AJ,$X444)*$I444/$E444)</f>
        <v/>
      </c>
      <c r="M444" s="33" t="str">
        <f t="shared" si="80"/>
        <v/>
      </c>
      <c r="N444" s="33" t="str">
        <f t="shared" si="81"/>
        <v/>
      </c>
      <c r="O444" s="33" t="str">
        <f>IF($Y444&lt;&gt;1,"",(INDEX(Comenzi!$AK:$AK,$X444)+N(INDEX(Comenzi!$T:$T,$X444)))*$I444/$E444)</f>
        <v/>
      </c>
      <c r="P444" s="35" t="str">
        <f t="shared" si="82"/>
        <v/>
      </c>
      <c r="Q444" s="36" t="str">
        <f t="shared" si="83"/>
        <v/>
      </c>
      <c r="R444" s="37" t="str">
        <f t="shared" si="84"/>
        <v/>
      </c>
      <c r="S444" s="38" t="str">
        <f t="shared" si="85"/>
        <v/>
      </c>
      <c r="T444" s="39" t="str">
        <f t="shared" si="86"/>
        <v/>
      </c>
      <c r="U444" s="40" t="str">
        <f t="shared" si="87"/>
        <v/>
      </c>
      <c r="V444" s="33" t="str">
        <f t="shared" si="88"/>
        <v/>
      </c>
      <c r="W444" s="33" t="str">
        <f t="shared" si="89"/>
        <v/>
      </c>
      <c r="X444" s="41" t="str">
        <f>IF($A444="","",IFERROR(MATCH($A444,Comenzi!$A$9:$A$108,0)+8,""))</f>
        <v/>
      </c>
      <c r="Y444" s="41" t="str">
        <f t="shared" si="90"/>
        <v/>
      </c>
      <c r="Z444" s="42" t="str">
        <f>IF($A444="","",IF($A444="?","Lipseste ID-ul comenzii (col. A din PI Furnizor)",IF(NOT(ISNUMBER($X444)),"ID comanda negasit in foaia Comenzi",IF(N($E444)&lt;=0,"Lipseste cantitatea",IF(N($G444)=0,"Pret unitar lipsa",IF($Y444&lt;&gt;1,"Curs sau moneda marfa lipsa (foaia Comenzi)",IF(INDEX(Comenzi!$AT:$AT,$X444)&lt;&gt;"OK","Avertisment comanda: "&amp;INDEX(Comenzi!$AT:$AT,$X444),"OK")))))))</f>
        <v/>
      </c>
      <c r="AA444" s="43" t="str">
        <f>IF(ISNUMBER($X444),INDEX(Comenzi!$H:$H,$X444),"")</f>
        <v/>
      </c>
      <c r="AB444" s="43" t="str">
        <f>IF(ISNUMBER($X444),INDEX(Comenzi!$I:$I,$X444),"")</f>
        <v/>
      </c>
      <c r="AC444" s="44" t="str">
        <f>IF(ISNUMBER($X444),IF(INDEX(Comenzi!$V:$V,$X444)="",Comenzi!$D$3,INDEX(Comenzi!$V:$V,$X444)),"")</f>
        <v/>
      </c>
      <c r="AD444" s="44" t="str">
        <f>IF(ISNUMBER($X444),IF(INDEX(Comenzi!$U:$U,$X444)="",Comenzi!$D$4,INDEX(Comenzi!$U:$U,$X444)),"")</f>
        <v/>
      </c>
      <c r="AE444" s="45" t="str">
        <f>IF($Y444&lt;&gt;1,"",IF(INDEX(Comenzi!$AM:$AM,$X444)="Greutate",INDEX('PI Furnizor'!$O:$O,ROW()-3),IF(INDEX(Comenzi!$AM:$AM,$X444)="Volum (CBM)",INDEX('PI Furnizor'!$Q:$Q,ROW()-3),IF(INDEX(Comenzi!$AM:$AM,$X444)="Valoare marfa",INDEX('PI Furnizor'!$N:$N,ROW()-3),$E444))))</f>
        <v/>
      </c>
    </row>
    <row r="445" spans="1:31" x14ac:dyDescent="0.3">
      <c r="A445" s="28" t="str">
        <f>IF(COUNTA(INDEX('PI Furnizor'!$A:$E,ROW()-3,0))=0,"",IF(INDEX('PI Furnizor'!$A:$A,ROW()-3)="","?",INDEX('PI Furnizor'!$A:$A,ROW()-3)))</f>
        <v/>
      </c>
      <c r="B445" s="29" t="str">
        <f>IF(ISNUMBER($X445),INDEX(Comenzi!$B:$B,$X445),"")</f>
        <v/>
      </c>
      <c r="C445" s="28" t="str">
        <f>IF($A445="","",INDEX('PI Furnizor'!$B:$B,ROW()-3)&amp;"")</f>
        <v/>
      </c>
      <c r="D445" s="28" t="str">
        <f>IF($A445="","",INDEX('PI Furnizor'!$C:$C,ROW()-3)&amp;"")</f>
        <v/>
      </c>
      <c r="E445" s="30" t="str">
        <f>IF($A445="","",N(INDEX('PI Furnizor'!$D:$D,ROW()-3)))</f>
        <v/>
      </c>
      <c r="F445" s="31" t="str">
        <f>IF(ISNUMBER($X445),INDEX(Comenzi!$G:$G,$X445),"")</f>
        <v/>
      </c>
      <c r="G445" s="32" t="str">
        <f>IF($A445="","",N(INDEX('PI Furnizor'!$E:$E,ROW()-3)))</f>
        <v/>
      </c>
      <c r="H445" s="33" t="str">
        <f t="shared" si="78"/>
        <v/>
      </c>
      <c r="I445" s="34" t="str">
        <f>IF($Y445&lt;&gt;1,"",IFERROR($AE445/INDEX(Comenzi!$AN:$AN,$X445),0))</f>
        <v/>
      </c>
      <c r="J445" s="33" t="str">
        <f>IF($Y445&lt;&gt;1,"",INDEX(Comenzi!$AG:$AG,$X445)*$I445/$E445)</f>
        <v/>
      </c>
      <c r="K445" s="33" t="str">
        <f t="shared" si="79"/>
        <v/>
      </c>
      <c r="L445" s="33" t="str">
        <f>IF($Y445&lt;&gt;1,"",$K445*$AD445+INDEX(Comenzi!$AJ:$AJ,$X445)*$I445/$E445)</f>
        <v/>
      </c>
      <c r="M445" s="33" t="str">
        <f t="shared" si="80"/>
        <v/>
      </c>
      <c r="N445" s="33" t="str">
        <f t="shared" si="81"/>
        <v/>
      </c>
      <c r="O445" s="33" t="str">
        <f>IF($Y445&lt;&gt;1,"",(INDEX(Comenzi!$AK:$AK,$X445)+N(INDEX(Comenzi!$T:$T,$X445)))*$I445/$E445)</f>
        <v/>
      </c>
      <c r="P445" s="35" t="str">
        <f t="shared" si="82"/>
        <v/>
      </c>
      <c r="Q445" s="36" t="str">
        <f t="shared" si="83"/>
        <v/>
      </c>
      <c r="R445" s="37" t="str">
        <f t="shared" si="84"/>
        <v/>
      </c>
      <c r="S445" s="38" t="str">
        <f t="shared" si="85"/>
        <v/>
      </c>
      <c r="T445" s="39" t="str">
        <f t="shared" si="86"/>
        <v/>
      </c>
      <c r="U445" s="40" t="str">
        <f t="shared" si="87"/>
        <v/>
      </c>
      <c r="V445" s="33" t="str">
        <f t="shared" si="88"/>
        <v/>
      </c>
      <c r="W445" s="33" t="str">
        <f t="shared" si="89"/>
        <v/>
      </c>
      <c r="X445" s="41" t="str">
        <f>IF($A445="","",IFERROR(MATCH($A445,Comenzi!$A$9:$A$108,0)+8,""))</f>
        <v/>
      </c>
      <c r="Y445" s="41" t="str">
        <f t="shared" si="90"/>
        <v/>
      </c>
      <c r="Z445" s="42" t="str">
        <f>IF($A445="","",IF($A445="?","Lipseste ID-ul comenzii (col. A din PI Furnizor)",IF(NOT(ISNUMBER($X445)),"ID comanda negasit in foaia Comenzi",IF(N($E445)&lt;=0,"Lipseste cantitatea",IF(N($G445)=0,"Pret unitar lipsa",IF($Y445&lt;&gt;1,"Curs sau moneda marfa lipsa (foaia Comenzi)",IF(INDEX(Comenzi!$AT:$AT,$X445)&lt;&gt;"OK","Avertisment comanda: "&amp;INDEX(Comenzi!$AT:$AT,$X445),"OK")))))))</f>
        <v/>
      </c>
      <c r="AA445" s="43" t="str">
        <f>IF(ISNUMBER($X445),INDEX(Comenzi!$H:$H,$X445),"")</f>
        <v/>
      </c>
      <c r="AB445" s="43" t="str">
        <f>IF(ISNUMBER($X445),INDEX(Comenzi!$I:$I,$X445),"")</f>
        <v/>
      </c>
      <c r="AC445" s="44" t="str">
        <f>IF(ISNUMBER($X445),IF(INDEX(Comenzi!$V:$V,$X445)="",Comenzi!$D$3,INDEX(Comenzi!$V:$V,$X445)),"")</f>
        <v/>
      </c>
      <c r="AD445" s="44" t="str">
        <f>IF(ISNUMBER($X445),IF(INDEX(Comenzi!$U:$U,$X445)="",Comenzi!$D$4,INDEX(Comenzi!$U:$U,$X445)),"")</f>
        <v/>
      </c>
      <c r="AE445" s="45" t="str">
        <f>IF($Y445&lt;&gt;1,"",IF(INDEX(Comenzi!$AM:$AM,$X445)="Greutate",INDEX('PI Furnizor'!$O:$O,ROW()-3),IF(INDEX(Comenzi!$AM:$AM,$X445)="Volum (CBM)",INDEX('PI Furnizor'!$Q:$Q,ROW()-3),IF(INDEX(Comenzi!$AM:$AM,$X445)="Valoare marfa",INDEX('PI Furnizor'!$N:$N,ROW()-3),$E445))))</f>
        <v/>
      </c>
    </row>
    <row r="446" spans="1:31" x14ac:dyDescent="0.3">
      <c r="A446" s="28" t="str">
        <f>IF(COUNTA(INDEX('PI Furnizor'!$A:$E,ROW()-3,0))=0,"",IF(INDEX('PI Furnizor'!$A:$A,ROW()-3)="","?",INDEX('PI Furnizor'!$A:$A,ROW()-3)))</f>
        <v/>
      </c>
      <c r="B446" s="29" t="str">
        <f>IF(ISNUMBER($X446),INDEX(Comenzi!$B:$B,$X446),"")</f>
        <v/>
      </c>
      <c r="C446" s="28" t="str">
        <f>IF($A446="","",INDEX('PI Furnizor'!$B:$B,ROW()-3)&amp;"")</f>
        <v/>
      </c>
      <c r="D446" s="28" t="str">
        <f>IF($A446="","",INDEX('PI Furnizor'!$C:$C,ROW()-3)&amp;"")</f>
        <v/>
      </c>
      <c r="E446" s="30" t="str">
        <f>IF($A446="","",N(INDEX('PI Furnizor'!$D:$D,ROW()-3)))</f>
        <v/>
      </c>
      <c r="F446" s="31" t="str">
        <f>IF(ISNUMBER($X446),INDEX(Comenzi!$G:$G,$X446),"")</f>
        <v/>
      </c>
      <c r="G446" s="32" t="str">
        <f>IF($A446="","",N(INDEX('PI Furnizor'!$E:$E,ROW()-3)))</f>
        <v/>
      </c>
      <c r="H446" s="33" t="str">
        <f t="shared" si="78"/>
        <v/>
      </c>
      <c r="I446" s="34" t="str">
        <f>IF($Y446&lt;&gt;1,"",IFERROR($AE446/INDEX(Comenzi!$AN:$AN,$X446),0))</f>
        <v/>
      </c>
      <c r="J446" s="33" t="str">
        <f>IF($Y446&lt;&gt;1,"",INDEX(Comenzi!$AG:$AG,$X446)*$I446/$E446)</f>
        <v/>
      </c>
      <c r="K446" s="33" t="str">
        <f t="shared" si="79"/>
        <v/>
      </c>
      <c r="L446" s="33" t="str">
        <f>IF($Y446&lt;&gt;1,"",$K446*$AD446+INDEX(Comenzi!$AJ:$AJ,$X446)*$I446/$E446)</f>
        <v/>
      </c>
      <c r="M446" s="33" t="str">
        <f t="shared" si="80"/>
        <v/>
      </c>
      <c r="N446" s="33" t="str">
        <f t="shared" si="81"/>
        <v/>
      </c>
      <c r="O446" s="33" t="str">
        <f>IF($Y446&lt;&gt;1,"",(INDEX(Comenzi!$AK:$AK,$X446)+N(INDEX(Comenzi!$T:$T,$X446)))*$I446/$E446)</f>
        <v/>
      </c>
      <c r="P446" s="35" t="str">
        <f t="shared" si="82"/>
        <v/>
      </c>
      <c r="Q446" s="36" t="str">
        <f t="shared" si="83"/>
        <v/>
      </c>
      <c r="R446" s="37" t="str">
        <f t="shared" si="84"/>
        <v/>
      </c>
      <c r="S446" s="38" t="str">
        <f t="shared" si="85"/>
        <v/>
      </c>
      <c r="T446" s="39" t="str">
        <f t="shared" si="86"/>
        <v/>
      </c>
      <c r="U446" s="40" t="str">
        <f t="shared" si="87"/>
        <v/>
      </c>
      <c r="V446" s="33" t="str">
        <f t="shared" si="88"/>
        <v/>
      </c>
      <c r="W446" s="33" t="str">
        <f t="shared" si="89"/>
        <v/>
      </c>
      <c r="X446" s="41" t="str">
        <f>IF($A446="","",IFERROR(MATCH($A446,Comenzi!$A$9:$A$108,0)+8,""))</f>
        <v/>
      </c>
      <c r="Y446" s="41" t="str">
        <f t="shared" si="90"/>
        <v/>
      </c>
      <c r="Z446" s="42" t="str">
        <f>IF($A446="","",IF($A446="?","Lipseste ID-ul comenzii (col. A din PI Furnizor)",IF(NOT(ISNUMBER($X446)),"ID comanda negasit in foaia Comenzi",IF(N($E446)&lt;=0,"Lipseste cantitatea",IF(N($G446)=0,"Pret unitar lipsa",IF($Y446&lt;&gt;1,"Curs sau moneda marfa lipsa (foaia Comenzi)",IF(INDEX(Comenzi!$AT:$AT,$X446)&lt;&gt;"OK","Avertisment comanda: "&amp;INDEX(Comenzi!$AT:$AT,$X446),"OK")))))))</f>
        <v/>
      </c>
      <c r="AA446" s="43" t="str">
        <f>IF(ISNUMBER($X446),INDEX(Comenzi!$H:$H,$X446),"")</f>
        <v/>
      </c>
      <c r="AB446" s="43" t="str">
        <f>IF(ISNUMBER($X446),INDEX(Comenzi!$I:$I,$X446),"")</f>
        <v/>
      </c>
      <c r="AC446" s="44" t="str">
        <f>IF(ISNUMBER($X446),IF(INDEX(Comenzi!$V:$V,$X446)="",Comenzi!$D$3,INDEX(Comenzi!$V:$V,$X446)),"")</f>
        <v/>
      </c>
      <c r="AD446" s="44" t="str">
        <f>IF(ISNUMBER($X446),IF(INDEX(Comenzi!$U:$U,$X446)="",Comenzi!$D$4,INDEX(Comenzi!$U:$U,$X446)),"")</f>
        <v/>
      </c>
      <c r="AE446" s="45" t="str">
        <f>IF($Y446&lt;&gt;1,"",IF(INDEX(Comenzi!$AM:$AM,$X446)="Greutate",INDEX('PI Furnizor'!$O:$O,ROW()-3),IF(INDEX(Comenzi!$AM:$AM,$X446)="Volum (CBM)",INDEX('PI Furnizor'!$Q:$Q,ROW()-3),IF(INDEX(Comenzi!$AM:$AM,$X446)="Valoare marfa",INDEX('PI Furnizor'!$N:$N,ROW()-3),$E446))))</f>
        <v/>
      </c>
    </row>
    <row r="447" spans="1:31" x14ac:dyDescent="0.3">
      <c r="A447" s="28" t="str">
        <f>IF(COUNTA(INDEX('PI Furnizor'!$A:$E,ROW()-3,0))=0,"",IF(INDEX('PI Furnizor'!$A:$A,ROW()-3)="","?",INDEX('PI Furnizor'!$A:$A,ROW()-3)))</f>
        <v/>
      </c>
      <c r="B447" s="29" t="str">
        <f>IF(ISNUMBER($X447),INDEX(Comenzi!$B:$B,$X447),"")</f>
        <v/>
      </c>
      <c r="C447" s="28" t="str">
        <f>IF($A447="","",INDEX('PI Furnizor'!$B:$B,ROW()-3)&amp;"")</f>
        <v/>
      </c>
      <c r="D447" s="28" t="str">
        <f>IF($A447="","",INDEX('PI Furnizor'!$C:$C,ROW()-3)&amp;"")</f>
        <v/>
      </c>
      <c r="E447" s="30" t="str">
        <f>IF($A447="","",N(INDEX('PI Furnizor'!$D:$D,ROW()-3)))</f>
        <v/>
      </c>
      <c r="F447" s="31" t="str">
        <f>IF(ISNUMBER($X447),INDEX(Comenzi!$G:$G,$X447),"")</f>
        <v/>
      </c>
      <c r="G447" s="32" t="str">
        <f>IF($A447="","",N(INDEX('PI Furnizor'!$E:$E,ROW()-3)))</f>
        <v/>
      </c>
      <c r="H447" s="33" t="str">
        <f t="shared" si="78"/>
        <v/>
      </c>
      <c r="I447" s="34" t="str">
        <f>IF($Y447&lt;&gt;1,"",IFERROR($AE447/INDEX(Comenzi!$AN:$AN,$X447),0))</f>
        <v/>
      </c>
      <c r="J447" s="33" t="str">
        <f>IF($Y447&lt;&gt;1,"",INDEX(Comenzi!$AG:$AG,$X447)*$I447/$E447)</f>
        <v/>
      </c>
      <c r="K447" s="33" t="str">
        <f t="shared" si="79"/>
        <v/>
      </c>
      <c r="L447" s="33" t="str">
        <f>IF($Y447&lt;&gt;1,"",$K447*$AD447+INDEX(Comenzi!$AJ:$AJ,$X447)*$I447/$E447)</f>
        <v/>
      </c>
      <c r="M447" s="33" t="str">
        <f t="shared" si="80"/>
        <v/>
      </c>
      <c r="N447" s="33" t="str">
        <f t="shared" si="81"/>
        <v/>
      </c>
      <c r="O447" s="33" t="str">
        <f>IF($Y447&lt;&gt;1,"",(INDEX(Comenzi!$AK:$AK,$X447)+N(INDEX(Comenzi!$T:$T,$X447)))*$I447/$E447)</f>
        <v/>
      </c>
      <c r="P447" s="35" t="str">
        <f t="shared" si="82"/>
        <v/>
      </c>
      <c r="Q447" s="36" t="str">
        <f t="shared" si="83"/>
        <v/>
      </c>
      <c r="R447" s="37" t="str">
        <f t="shared" si="84"/>
        <v/>
      </c>
      <c r="S447" s="38" t="str">
        <f t="shared" si="85"/>
        <v/>
      </c>
      <c r="T447" s="39" t="str">
        <f t="shared" si="86"/>
        <v/>
      </c>
      <c r="U447" s="40" t="str">
        <f t="shared" si="87"/>
        <v/>
      </c>
      <c r="V447" s="33" t="str">
        <f t="shared" si="88"/>
        <v/>
      </c>
      <c r="W447" s="33" t="str">
        <f t="shared" si="89"/>
        <v/>
      </c>
      <c r="X447" s="41" t="str">
        <f>IF($A447="","",IFERROR(MATCH($A447,Comenzi!$A$9:$A$108,0)+8,""))</f>
        <v/>
      </c>
      <c r="Y447" s="41" t="str">
        <f t="shared" si="90"/>
        <v/>
      </c>
      <c r="Z447" s="42" t="str">
        <f>IF($A447="","",IF($A447="?","Lipseste ID-ul comenzii (col. A din PI Furnizor)",IF(NOT(ISNUMBER($X447)),"ID comanda negasit in foaia Comenzi",IF(N($E447)&lt;=0,"Lipseste cantitatea",IF(N($G447)=0,"Pret unitar lipsa",IF($Y447&lt;&gt;1,"Curs sau moneda marfa lipsa (foaia Comenzi)",IF(INDEX(Comenzi!$AT:$AT,$X447)&lt;&gt;"OK","Avertisment comanda: "&amp;INDEX(Comenzi!$AT:$AT,$X447),"OK")))))))</f>
        <v/>
      </c>
      <c r="AA447" s="43" t="str">
        <f>IF(ISNUMBER($X447),INDEX(Comenzi!$H:$H,$X447),"")</f>
        <v/>
      </c>
      <c r="AB447" s="43" t="str">
        <f>IF(ISNUMBER($X447),INDEX(Comenzi!$I:$I,$X447),"")</f>
        <v/>
      </c>
      <c r="AC447" s="44" t="str">
        <f>IF(ISNUMBER($X447),IF(INDEX(Comenzi!$V:$V,$X447)="",Comenzi!$D$3,INDEX(Comenzi!$V:$V,$X447)),"")</f>
        <v/>
      </c>
      <c r="AD447" s="44" t="str">
        <f>IF(ISNUMBER($X447),IF(INDEX(Comenzi!$U:$U,$X447)="",Comenzi!$D$4,INDEX(Comenzi!$U:$U,$X447)),"")</f>
        <v/>
      </c>
      <c r="AE447" s="45" t="str">
        <f>IF($Y447&lt;&gt;1,"",IF(INDEX(Comenzi!$AM:$AM,$X447)="Greutate",INDEX('PI Furnizor'!$O:$O,ROW()-3),IF(INDEX(Comenzi!$AM:$AM,$X447)="Volum (CBM)",INDEX('PI Furnizor'!$Q:$Q,ROW()-3),IF(INDEX(Comenzi!$AM:$AM,$X447)="Valoare marfa",INDEX('PI Furnizor'!$N:$N,ROW()-3),$E447))))</f>
        <v/>
      </c>
    </row>
    <row r="448" spans="1:31" x14ac:dyDescent="0.3">
      <c r="A448" s="28" t="str">
        <f>IF(COUNTA(INDEX('PI Furnizor'!$A:$E,ROW()-3,0))=0,"",IF(INDEX('PI Furnizor'!$A:$A,ROW()-3)="","?",INDEX('PI Furnizor'!$A:$A,ROW()-3)))</f>
        <v/>
      </c>
      <c r="B448" s="29" t="str">
        <f>IF(ISNUMBER($X448),INDEX(Comenzi!$B:$B,$X448),"")</f>
        <v/>
      </c>
      <c r="C448" s="28" t="str">
        <f>IF($A448="","",INDEX('PI Furnizor'!$B:$B,ROW()-3)&amp;"")</f>
        <v/>
      </c>
      <c r="D448" s="28" t="str">
        <f>IF($A448="","",INDEX('PI Furnizor'!$C:$C,ROW()-3)&amp;"")</f>
        <v/>
      </c>
      <c r="E448" s="30" t="str">
        <f>IF($A448="","",N(INDEX('PI Furnizor'!$D:$D,ROW()-3)))</f>
        <v/>
      </c>
      <c r="F448" s="31" t="str">
        <f>IF(ISNUMBER($X448),INDEX(Comenzi!$G:$G,$X448),"")</f>
        <v/>
      </c>
      <c r="G448" s="32" t="str">
        <f>IF($A448="","",N(INDEX('PI Furnizor'!$E:$E,ROW()-3)))</f>
        <v/>
      </c>
      <c r="H448" s="33" t="str">
        <f t="shared" si="78"/>
        <v/>
      </c>
      <c r="I448" s="34" t="str">
        <f>IF($Y448&lt;&gt;1,"",IFERROR($AE448/INDEX(Comenzi!$AN:$AN,$X448),0))</f>
        <v/>
      </c>
      <c r="J448" s="33" t="str">
        <f>IF($Y448&lt;&gt;1,"",INDEX(Comenzi!$AG:$AG,$X448)*$I448/$E448)</f>
        <v/>
      </c>
      <c r="K448" s="33" t="str">
        <f t="shared" si="79"/>
        <v/>
      </c>
      <c r="L448" s="33" t="str">
        <f>IF($Y448&lt;&gt;1,"",$K448*$AD448+INDEX(Comenzi!$AJ:$AJ,$X448)*$I448/$E448)</f>
        <v/>
      </c>
      <c r="M448" s="33" t="str">
        <f t="shared" si="80"/>
        <v/>
      </c>
      <c r="N448" s="33" t="str">
        <f t="shared" si="81"/>
        <v/>
      </c>
      <c r="O448" s="33" t="str">
        <f>IF($Y448&lt;&gt;1,"",(INDEX(Comenzi!$AK:$AK,$X448)+N(INDEX(Comenzi!$T:$T,$X448)))*$I448/$E448)</f>
        <v/>
      </c>
      <c r="P448" s="35" t="str">
        <f t="shared" si="82"/>
        <v/>
      </c>
      <c r="Q448" s="36" t="str">
        <f t="shared" si="83"/>
        <v/>
      </c>
      <c r="R448" s="37" t="str">
        <f t="shared" si="84"/>
        <v/>
      </c>
      <c r="S448" s="38" t="str">
        <f t="shared" si="85"/>
        <v/>
      </c>
      <c r="T448" s="39" t="str">
        <f t="shared" si="86"/>
        <v/>
      </c>
      <c r="U448" s="40" t="str">
        <f t="shared" si="87"/>
        <v/>
      </c>
      <c r="V448" s="33" t="str">
        <f t="shared" si="88"/>
        <v/>
      </c>
      <c r="W448" s="33" t="str">
        <f t="shared" si="89"/>
        <v/>
      </c>
      <c r="X448" s="41" t="str">
        <f>IF($A448="","",IFERROR(MATCH($A448,Comenzi!$A$9:$A$108,0)+8,""))</f>
        <v/>
      </c>
      <c r="Y448" s="41" t="str">
        <f t="shared" si="90"/>
        <v/>
      </c>
      <c r="Z448" s="42" t="str">
        <f>IF($A448="","",IF($A448="?","Lipseste ID-ul comenzii (col. A din PI Furnizor)",IF(NOT(ISNUMBER($X448)),"ID comanda negasit in foaia Comenzi",IF(N($E448)&lt;=0,"Lipseste cantitatea",IF(N($G448)=0,"Pret unitar lipsa",IF($Y448&lt;&gt;1,"Curs sau moneda marfa lipsa (foaia Comenzi)",IF(INDEX(Comenzi!$AT:$AT,$X448)&lt;&gt;"OK","Avertisment comanda: "&amp;INDEX(Comenzi!$AT:$AT,$X448),"OK")))))))</f>
        <v/>
      </c>
      <c r="AA448" s="43" t="str">
        <f>IF(ISNUMBER($X448),INDEX(Comenzi!$H:$H,$X448),"")</f>
        <v/>
      </c>
      <c r="AB448" s="43" t="str">
        <f>IF(ISNUMBER($X448),INDEX(Comenzi!$I:$I,$X448),"")</f>
        <v/>
      </c>
      <c r="AC448" s="44" t="str">
        <f>IF(ISNUMBER($X448),IF(INDEX(Comenzi!$V:$V,$X448)="",Comenzi!$D$3,INDEX(Comenzi!$V:$V,$X448)),"")</f>
        <v/>
      </c>
      <c r="AD448" s="44" t="str">
        <f>IF(ISNUMBER($X448),IF(INDEX(Comenzi!$U:$U,$X448)="",Comenzi!$D$4,INDEX(Comenzi!$U:$U,$X448)),"")</f>
        <v/>
      </c>
      <c r="AE448" s="45" t="str">
        <f>IF($Y448&lt;&gt;1,"",IF(INDEX(Comenzi!$AM:$AM,$X448)="Greutate",INDEX('PI Furnizor'!$O:$O,ROW()-3),IF(INDEX(Comenzi!$AM:$AM,$X448)="Volum (CBM)",INDEX('PI Furnizor'!$Q:$Q,ROW()-3),IF(INDEX(Comenzi!$AM:$AM,$X448)="Valoare marfa",INDEX('PI Furnizor'!$N:$N,ROW()-3),$E448))))</f>
        <v/>
      </c>
    </row>
    <row r="449" spans="1:31" x14ac:dyDescent="0.3">
      <c r="A449" s="28" t="str">
        <f>IF(COUNTA(INDEX('PI Furnizor'!$A:$E,ROW()-3,0))=0,"",IF(INDEX('PI Furnizor'!$A:$A,ROW()-3)="","?",INDEX('PI Furnizor'!$A:$A,ROW()-3)))</f>
        <v/>
      </c>
      <c r="B449" s="29" t="str">
        <f>IF(ISNUMBER($X449),INDEX(Comenzi!$B:$B,$X449),"")</f>
        <v/>
      </c>
      <c r="C449" s="28" t="str">
        <f>IF($A449="","",INDEX('PI Furnizor'!$B:$B,ROW()-3)&amp;"")</f>
        <v/>
      </c>
      <c r="D449" s="28" t="str">
        <f>IF($A449="","",INDEX('PI Furnizor'!$C:$C,ROW()-3)&amp;"")</f>
        <v/>
      </c>
      <c r="E449" s="30" t="str">
        <f>IF($A449="","",N(INDEX('PI Furnizor'!$D:$D,ROW()-3)))</f>
        <v/>
      </c>
      <c r="F449" s="31" t="str">
        <f>IF(ISNUMBER($X449),INDEX(Comenzi!$G:$G,$X449),"")</f>
        <v/>
      </c>
      <c r="G449" s="32" t="str">
        <f>IF($A449="","",N(INDEX('PI Furnizor'!$E:$E,ROW()-3)))</f>
        <v/>
      </c>
      <c r="H449" s="33" t="str">
        <f t="shared" si="78"/>
        <v/>
      </c>
      <c r="I449" s="34" t="str">
        <f>IF($Y449&lt;&gt;1,"",IFERROR($AE449/INDEX(Comenzi!$AN:$AN,$X449),0))</f>
        <v/>
      </c>
      <c r="J449" s="33" t="str">
        <f>IF($Y449&lt;&gt;1,"",INDEX(Comenzi!$AG:$AG,$X449)*$I449/$E449)</f>
        <v/>
      </c>
      <c r="K449" s="33" t="str">
        <f t="shared" si="79"/>
        <v/>
      </c>
      <c r="L449" s="33" t="str">
        <f>IF($Y449&lt;&gt;1,"",$K449*$AD449+INDEX(Comenzi!$AJ:$AJ,$X449)*$I449/$E449)</f>
        <v/>
      </c>
      <c r="M449" s="33" t="str">
        <f t="shared" si="80"/>
        <v/>
      </c>
      <c r="N449" s="33" t="str">
        <f t="shared" si="81"/>
        <v/>
      </c>
      <c r="O449" s="33" t="str">
        <f>IF($Y449&lt;&gt;1,"",(INDEX(Comenzi!$AK:$AK,$X449)+N(INDEX(Comenzi!$T:$T,$X449)))*$I449/$E449)</f>
        <v/>
      </c>
      <c r="P449" s="35" t="str">
        <f t="shared" si="82"/>
        <v/>
      </c>
      <c r="Q449" s="36" t="str">
        <f t="shared" si="83"/>
        <v/>
      </c>
      <c r="R449" s="37" t="str">
        <f t="shared" si="84"/>
        <v/>
      </c>
      <c r="S449" s="38" t="str">
        <f t="shared" si="85"/>
        <v/>
      </c>
      <c r="T449" s="39" t="str">
        <f t="shared" si="86"/>
        <v/>
      </c>
      <c r="U449" s="40" t="str">
        <f t="shared" si="87"/>
        <v/>
      </c>
      <c r="V449" s="33" t="str">
        <f t="shared" si="88"/>
        <v/>
      </c>
      <c r="W449" s="33" t="str">
        <f t="shared" si="89"/>
        <v/>
      </c>
      <c r="X449" s="41" t="str">
        <f>IF($A449="","",IFERROR(MATCH($A449,Comenzi!$A$9:$A$108,0)+8,""))</f>
        <v/>
      </c>
      <c r="Y449" s="41" t="str">
        <f t="shared" si="90"/>
        <v/>
      </c>
      <c r="Z449" s="42" t="str">
        <f>IF($A449="","",IF($A449="?","Lipseste ID-ul comenzii (col. A din PI Furnizor)",IF(NOT(ISNUMBER($X449)),"ID comanda negasit in foaia Comenzi",IF(N($E449)&lt;=0,"Lipseste cantitatea",IF(N($G449)=0,"Pret unitar lipsa",IF($Y449&lt;&gt;1,"Curs sau moneda marfa lipsa (foaia Comenzi)",IF(INDEX(Comenzi!$AT:$AT,$X449)&lt;&gt;"OK","Avertisment comanda: "&amp;INDEX(Comenzi!$AT:$AT,$X449),"OK")))))))</f>
        <v/>
      </c>
      <c r="AA449" s="43" t="str">
        <f>IF(ISNUMBER($X449),INDEX(Comenzi!$H:$H,$X449),"")</f>
        <v/>
      </c>
      <c r="AB449" s="43" t="str">
        <f>IF(ISNUMBER($X449),INDEX(Comenzi!$I:$I,$X449),"")</f>
        <v/>
      </c>
      <c r="AC449" s="44" t="str">
        <f>IF(ISNUMBER($X449),IF(INDEX(Comenzi!$V:$V,$X449)="",Comenzi!$D$3,INDEX(Comenzi!$V:$V,$X449)),"")</f>
        <v/>
      </c>
      <c r="AD449" s="44" t="str">
        <f>IF(ISNUMBER($X449),IF(INDEX(Comenzi!$U:$U,$X449)="",Comenzi!$D$4,INDEX(Comenzi!$U:$U,$X449)),"")</f>
        <v/>
      </c>
      <c r="AE449" s="45" t="str">
        <f>IF($Y449&lt;&gt;1,"",IF(INDEX(Comenzi!$AM:$AM,$X449)="Greutate",INDEX('PI Furnizor'!$O:$O,ROW()-3),IF(INDEX(Comenzi!$AM:$AM,$X449)="Volum (CBM)",INDEX('PI Furnizor'!$Q:$Q,ROW()-3),IF(INDEX(Comenzi!$AM:$AM,$X449)="Valoare marfa",INDEX('PI Furnizor'!$N:$N,ROW()-3),$E449))))</f>
        <v/>
      </c>
    </row>
    <row r="450" spans="1:31" x14ac:dyDescent="0.3">
      <c r="A450" s="28" t="str">
        <f>IF(COUNTA(INDEX('PI Furnizor'!$A:$E,ROW()-3,0))=0,"",IF(INDEX('PI Furnizor'!$A:$A,ROW()-3)="","?",INDEX('PI Furnizor'!$A:$A,ROW()-3)))</f>
        <v/>
      </c>
      <c r="B450" s="29" t="str">
        <f>IF(ISNUMBER($X450),INDEX(Comenzi!$B:$B,$X450),"")</f>
        <v/>
      </c>
      <c r="C450" s="28" t="str">
        <f>IF($A450="","",INDEX('PI Furnizor'!$B:$B,ROW()-3)&amp;"")</f>
        <v/>
      </c>
      <c r="D450" s="28" t="str">
        <f>IF($A450="","",INDEX('PI Furnizor'!$C:$C,ROW()-3)&amp;"")</f>
        <v/>
      </c>
      <c r="E450" s="30" t="str">
        <f>IF($A450="","",N(INDEX('PI Furnizor'!$D:$D,ROW()-3)))</f>
        <v/>
      </c>
      <c r="F450" s="31" t="str">
        <f>IF(ISNUMBER($X450),INDEX(Comenzi!$G:$G,$X450),"")</f>
        <v/>
      </c>
      <c r="G450" s="32" t="str">
        <f>IF($A450="","",N(INDEX('PI Furnizor'!$E:$E,ROW()-3)))</f>
        <v/>
      </c>
      <c r="H450" s="33" t="str">
        <f t="shared" si="78"/>
        <v/>
      </c>
      <c r="I450" s="34" t="str">
        <f>IF($Y450&lt;&gt;1,"",IFERROR($AE450/INDEX(Comenzi!$AN:$AN,$X450),0))</f>
        <v/>
      </c>
      <c r="J450" s="33" t="str">
        <f>IF($Y450&lt;&gt;1,"",INDEX(Comenzi!$AG:$AG,$X450)*$I450/$E450)</f>
        <v/>
      </c>
      <c r="K450" s="33" t="str">
        <f t="shared" si="79"/>
        <v/>
      </c>
      <c r="L450" s="33" t="str">
        <f>IF($Y450&lt;&gt;1,"",$K450*$AD450+INDEX(Comenzi!$AJ:$AJ,$X450)*$I450/$E450)</f>
        <v/>
      </c>
      <c r="M450" s="33" t="str">
        <f t="shared" si="80"/>
        <v/>
      </c>
      <c r="N450" s="33" t="str">
        <f t="shared" si="81"/>
        <v/>
      </c>
      <c r="O450" s="33" t="str">
        <f>IF($Y450&lt;&gt;1,"",(INDEX(Comenzi!$AK:$AK,$X450)+N(INDEX(Comenzi!$T:$T,$X450)))*$I450/$E450)</f>
        <v/>
      </c>
      <c r="P450" s="35" t="str">
        <f t="shared" si="82"/>
        <v/>
      </c>
      <c r="Q450" s="36" t="str">
        <f t="shared" si="83"/>
        <v/>
      </c>
      <c r="R450" s="37" t="str">
        <f t="shared" si="84"/>
        <v/>
      </c>
      <c r="S450" s="38" t="str">
        <f t="shared" si="85"/>
        <v/>
      </c>
      <c r="T450" s="39" t="str">
        <f t="shared" si="86"/>
        <v/>
      </c>
      <c r="U450" s="40" t="str">
        <f t="shared" si="87"/>
        <v/>
      </c>
      <c r="V450" s="33" t="str">
        <f t="shared" si="88"/>
        <v/>
      </c>
      <c r="W450" s="33" t="str">
        <f t="shared" si="89"/>
        <v/>
      </c>
      <c r="X450" s="41" t="str">
        <f>IF($A450="","",IFERROR(MATCH($A450,Comenzi!$A$9:$A$108,0)+8,""))</f>
        <v/>
      </c>
      <c r="Y450" s="41" t="str">
        <f t="shared" si="90"/>
        <v/>
      </c>
      <c r="Z450" s="42" t="str">
        <f>IF($A450="","",IF($A450="?","Lipseste ID-ul comenzii (col. A din PI Furnizor)",IF(NOT(ISNUMBER($X450)),"ID comanda negasit in foaia Comenzi",IF(N($E450)&lt;=0,"Lipseste cantitatea",IF(N($G450)=0,"Pret unitar lipsa",IF($Y450&lt;&gt;1,"Curs sau moneda marfa lipsa (foaia Comenzi)",IF(INDEX(Comenzi!$AT:$AT,$X450)&lt;&gt;"OK","Avertisment comanda: "&amp;INDEX(Comenzi!$AT:$AT,$X450),"OK")))))))</f>
        <v/>
      </c>
      <c r="AA450" s="43" t="str">
        <f>IF(ISNUMBER($X450),INDEX(Comenzi!$H:$H,$X450),"")</f>
        <v/>
      </c>
      <c r="AB450" s="43" t="str">
        <f>IF(ISNUMBER($X450),INDEX(Comenzi!$I:$I,$X450),"")</f>
        <v/>
      </c>
      <c r="AC450" s="44" t="str">
        <f>IF(ISNUMBER($X450),IF(INDEX(Comenzi!$V:$V,$X450)="",Comenzi!$D$3,INDEX(Comenzi!$V:$V,$X450)),"")</f>
        <v/>
      </c>
      <c r="AD450" s="44" t="str">
        <f>IF(ISNUMBER($X450),IF(INDEX(Comenzi!$U:$U,$X450)="",Comenzi!$D$4,INDEX(Comenzi!$U:$U,$X450)),"")</f>
        <v/>
      </c>
      <c r="AE450" s="45" t="str">
        <f>IF($Y450&lt;&gt;1,"",IF(INDEX(Comenzi!$AM:$AM,$X450)="Greutate",INDEX('PI Furnizor'!$O:$O,ROW()-3),IF(INDEX(Comenzi!$AM:$AM,$X450)="Volum (CBM)",INDEX('PI Furnizor'!$Q:$Q,ROW()-3),IF(INDEX(Comenzi!$AM:$AM,$X450)="Valoare marfa",INDEX('PI Furnizor'!$N:$N,ROW()-3),$E450))))</f>
        <v/>
      </c>
    </row>
    <row r="451" spans="1:31" x14ac:dyDescent="0.3">
      <c r="A451" s="28" t="str">
        <f>IF(COUNTA(INDEX('PI Furnizor'!$A:$E,ROW()-3,0))=0,"",IF(INDEX('PI Furnizor'!$A:$A,ROW()-3)="","?",INDEX('PI Furnizor'!$A:$A,ROW()-3)))</f>
        <v/>
      </c>
      <c r="B451" s="29" t="str">
        <f>IF(ISNUMBER($X451),INDEX(Comenzi!$B:$B,$X451),"")</f>
        <v/>
      </c>
      <c r="C451" s="28" t="str">
        <f>IF($A451="","",INDEX('PI Furnizor'!$B:$B,ROW()-3)&amp;"")</f>
        <v/>
      </c>
      <c r="D451" s="28" t="str">
        <f>IF($A451="","",INDEX('PI Furnizor'!$C:$C,ROW()-3)&amp;"")</f>
        <v/>
      </c>
      <c r="E451" s="30" t="str">
        <f>IF($A451="","",N(INDEX('PI Furnizor'!$D:$D,ROW()-3)))</f>
        <v/>
      </c>
      <c r="F451" s="31" t="str">
        <f>IF(ISNUMBER($X451),INDEX(Comenzi!$G:$G,$X451),"")</f>
        <v/>
      </c>
      <c r="G451" s="32" t="str">
        <f>IF($A451="","",N(INDEX('PI Furnizor'!$E:$E,ROW()-3)))</f>
        <v/>
      </c>
      <c r="H451" s="33" t="str">
        <f t="shared" si="78"/>
        <v/>
      </c>
      <c r="I451" s="34" t="str">
        <f>IF($Y451&lt;&gt;1,"",IFERROR($AE451/INDEX(Comenzi!$AN:$AN,$X451),0))</f>
        <v/>
      </c>
      <c r="J451" s="33" t="str">
        <f>IF($Y451&lt;&gt;1,"",INDEX(Comenzi!$AG:$AG,$X451)*$I451/$E451)</f>
        <v/>
      </c>
      <c r="K451" s="33" t="str">
        <f t="shared" si="79"/>
        <v/>
      </c>
      <c r="L451" s="33" t="str">
        <f>IF($Y451&lt;&gt;1,"",$K451*$AD451+INDEX(Comenzi!$AJ:$AJ,$X451)*$I451/$E451)</f>
        <v/>
      </c>
      <c r="M451" s="33" t="str">
        <f t="shared" si="80"/>
        <v/>
      </c>
      <c r="N451" s="33" t="str">
        <f t="shared" si="81"/>
        <v/>
      </c>
      <c r="O451" s="33" t="str">
        <f>IF($Y451&lt;&gt;1,"",(INDEX(Comenzi!$AK:$AK,$X451)+N(INDEX(Comenzi!$T:$T,$X451)))*$I451/$E451)</f>
        <v/>
      </c>
      <c r="P451" s="35" t="str">
        <f t="shared" si="82"/>
        <v/>
      </c>
      <c r="Q451" s="36" t="str">
        <f t="shared" si="83"/>
        <v/>
      </c>
      <c r="R451" s="37" t="str">
        <f t="shared" si="84"/>
        <v/>
      </c>
      <c r="S451" s="38" t="str">
        <f t="shared" si="85"/>
        <v/>
      </c>
      <c r="T451" s="39" t="str">
        <f t="shared" si="86"/>
        <v/>
      </c>
      <c r="U451" s="40" t="str">
        <f t="shared" si="87"/>
        <v/>
      </c>
      <c r="V451" s="33" t="str">
        <f t="shared" si="88"/>
        <v/>
      </c>
      <c r="W451" s="33" t="str">
        <f t="shared" si="89"/>
        <v/>
      </c>
      <c r="X451" s="41" t="str">
        <f>IF($A451="","",IFERROR(MATCH($A451,Comenzi!$A$9:$A$108,0)+8,""))</f>
        <v/>
      </c>
      <c r="Y451" s="41" t="str">
        <f t="shared" si="90"/>
        <v/>
      </c>
      <c r="Z451" s="42" t="str">
        <f>IF($A451="","",IF($A451="?","Lipseste ID-ul comenzii (col. A din PI Furnizor)",IF(NOT(ISNUMBER($X451)),"ID comanda negasit in foaia Comenzi",IF(N($E451)&lt;=0,"Lipseste cantitatea",IF(N($G451)=0,"Pret unitar lipsa",IF($Y451&lt;&gt;1,"Curs sau moneda marfa lipsa (foaia Comenzi)",IF(INDEX(Comenzi!$AT:$AT,$X451)&lt;&gt;"OK","Avertisment comanda: "&amp;INDEX(Comenzi!$AT:$AT,$X451),"OK")))))))</f>
        <v/>
      </c>
      <c r="AA451" s="43" t="str">
        <f>IF(ISNUMBER($X451),INDEX(Comenzi!$H:$H,$X451),"")</f>
        <v/>
      </c>
      <c r="AB451" s="43" t="str">
        <f>IF(ISNUMBER($X451),INDEX(Comenzi!$I:$I,$X451),"")</f>
        <v/>
      </c>
      <c r="AC451" s="44" t="str">
        <f>IF(ISNUMBER($X451),IF(INDEX(Comenzi!$V:$V,$X451)="",Comenzi!$D$3,INDEX(Comenzi!$V:$V,$X451)),"")</f>
        <v/>
      </c>
      <c r="AD451" s="44" t="str">
        <f>IF(ISNUMBER($X451),IF(INDEX(Comenzi!$U:$U,$X451)="",Comenzi!$D$4,INDEX(Comenzi!$U:$U,$X451)),"")</f>
        <v/>
      </c>
      <c r="AE451" s="45" t="str">
        <f>IF($Y451&lt;&gt;1,"",IF(INDEX(Comenzi!$AM:$AM,$X451)="Greutate",INDEX('PI Furnizor'!$O:$O,ROW()-3),IF(INDEX(Comenzi!$AM:$AM,$X451)="Volum (CBM)",INDEX('PI Furnizor'!$Q:$Q,ROW()-3),IF(INDEX(Comenzi!$AM:$AM,$X451)="Valoare marfa",INDEX('PI Furnizor'!$N:$N,ROW()-3),$E451))))</f>
        <v/>
      </c>
    </row>
    <row r="452" spans="1:31" x14ac:dyDescent="0.3">
      <c r="A452" s="28" t="str">
        <f>IF(COUNTA(INDEX('PI Furnizor'!$A:$E,ROW()-3,0))=0,"",IF(INDEX('PI Furnizor'!$A:$A,ROW()-3)="","?",INDEX('PI Furnizor'!$A:$A,ROW()-3)))</f>
        <v/>
      </c>
      <c r="B452" s="29" t="str">
        <f>IF(ISNUMBER($X452),INDEX(Comenzi!$B:$B,$X452),"")</f>
        <v/>
      </c>
      <c r="C452" s="28" t="str">
        <f>IF($A452="","",INDEX('PI Furnizor'!$B:$B,ROW()-3)&amp;"")</f>
        <v/>
      </c>
      <c r="D452" s="28" t="str">
        <f>IF($A452="","",INDEX('PI Furnizor'!$C:$C,ROW()-3)&amp;"")</f>
        <v/>
      </c>
      <c r="E452" s="30" t="str">
        <f>IF($A452="","",N(INDEX('PI Furnizor'!$D:$D,ROW()-3)))</f>
        <v/>
      </c>
      <c r="F452" s="31" t="str">
        <f>IF(ISNUMBER($X452),INDEX(Comenzi!$G:$G,$X452),"")</f>
        <v/>
      </c>
      <c r="G452" s="32" t="str">
        <f>IF($A452="","",N(INDEX('PI Furnizor'!$E:$E,ROW()-3)))</f>
        <v/>
      </c>
      <c r="H452" s="33" t="str">
        <f t="shared" si="78"/>
        <v/>
      </c>
      <c r="I452" s="34" t="str">
        <f>IF($Y452&lt;&gt;1,"",IFERROR($AE452/INDEX(Comenzi!$AN:$AN,$X452),0))</f>
        <v/>
      </c>
      <c r="J452" s="33" t="str">
        <f>IF($Y452&lt;&gt;1,"",INDEX(Comenzi!$AG:$AG,$X452)*$I452/$E452)</f>
        <v/>
      </c>
      <c r="K452" s="33" t="str">
        <f t="shared" si="79"/>
        <v/>
      </c>
      <c r="L452" s="33" t="str">
        <f>IF($Y452&lt;&gt;1,"",$K452*$AD452+INDEX(Comenzi!$AJ:$AJ,$X452)*$I452/$E452)</f>
        <v/>
      </c>
      <c r="M452" s="33" t="str">
        <f t="shared" si="80"/>
        <v/>
      </c>
      <c r="N452" s="33" t="str">
        <f t="shared" si="81"/>
        <v/>
      </c>
      <c r="O452" s="33" t="str">
        <f>IF($Y452&lt;&gt;1,"",(INDEX(Comenzi!$AK:$AK,$X452)+N(INDEX(Comenzi!$T:$T,$X452)))*$I452/$E452)</f>
        <v/>
      </c>
      <c r="P452" s="35" t="str">
        <f t="shared" si="82"/>
        <v/>
      </c>
      <c r="Q452" s="36" t="str">
        <f t="shared" si="83"/>
        <v/>
      </c>
      <c r="R452" s="37" t="str">
        <f t="shared" si="84"/>
        <v/>
      </c>
      <c r="S452" s="38" t="str">
        <f t="shared" si="85"/>
        <v/>
      </c>
      <c r="T452" s="39" t="str">
        <f t="shared" si="86"/>
        <v/>
      </c>
      <c r="U452" s="40" t="str">
        <f t="shared" si="87"/>
        <v/>
      </c>
      <c r="V452" s="33" t="str">
        <f t="shared" si="88"/>
        <v/>
      </c>
      <c r="W452" s="33" t="str">
        <f t="shared" si="89"/>
        <v/>
      </c>
      <c r="X452" s="41" t="str">
        <f>IF($A452="","",IFERROR(MATCH($A452,Comenzi!$A$9:$A$108,0)+8,""))</f>
        <v/>
      </c>
      <c r="Y452" s="41" t="str">
        <f t="shared" si="90"/>
        <v/>
      </c>
      <c r="Z452" s="42" t="str">
        <f>IF($A452="","",IF($A452="?","Lipseste ID-ul comenzii (col. A din PI Furnizor)",IF(NOT(ISNUMBER($X452)),"ID comanda negasit in foaia Comenzi",IF(N($E452)&lt;=0,"Lipseste cantitatea",IF(N($G452)=0,"Pret unitar lipsa",IF($Y452&lt;&gt;1,"Curs sau moneda marfa lipsa (foaia Comenzi)",IF(INDEX(Comenzi!$AT:$AT,$X452)&lt;&gt;"OK","Avertisment comanda: "&amp;INDEX(Comenzi!$AT:$AT,$X452),"OK")))))))</f>
        <v/>
      </c>
      <c r="AA452" s="43" t="str">
        <f>IF(ISNUMBER($X452),INDEX(Comenzi!$H:$H,$X452),"")</f>
        <v/>
      </c>
      <c r="AB452" s="43" t="str">
        <f>IF(ISNUMBER($X452),INDEX(Comenzi!$I:$I,$X452),"")</f>
        <v/>
      </c>
      <c r="AC452" s="44" t="str">
        <f>IF(ISNUMBER($X452),IF(INDEX(Comenzi!$V:$V,$X452)="",Comenzi!$D$3,INDEX(Comenzi!$V:$V,$X452)),"")</f>
        <v/>
      </c>
      <c r="AD452" s="44" t="str">
        <f>IF(ISNUMBER($X452),IF(INDEX(Comenzi!$U:$U,$X452)="",Comenzi!$D$4,INDEX(Comenzi!$U:$U,$X452)),"")</f>
        <v/>
      </c>
      <c r="AE452" s="45" t="str">
        <f>IF($Y452&lt;&gt;1,"",IF(INDEX(Comenzi!$AM:$AM,$X452)="Greutate",INDEX('PI Furnizor'!$O:$O,ROW()-3),IF(INDEX(Comenzi!$AM:$AM,$X452)="Volum (CBM)",INDEX('PI Furnizor'!$Q:$Q,ROW()-3),IF(INDEX(Comenzi!$AM:$AM,$X452)="Valoare marfa",INDEX('PI Furnizor'!$N:$N,ROW()-3),$E452))))</f>
        <v/>
      </c>
    </row>
    <row r="453" spans="1:31" x14ac:dyDescent="0.3">
      <c r="A453" s="28" t="str">
        <f>IF(COUNTA(INDEX('PI Furnizor'!$A:$E,ROW()-3,0))=0,"",IF(INDEX('PI Furnizor'!$A:$A,ROW()-3)="","?",INDEX('PI Furnizor'!$A:$A,ROW()-3)))</f>
        <v/>
      </c>
      <c r="B453" s="29" t="str">
        <f>IF(ISNUMBER($X453),INDEX(Comenzi!$B:$B,$X453),"")</f>
        <v/>
      </c>
      <c r="C453" s="28" t="str">
        <f>IF($A453="","",INDEX('PI Furnizor'!$B:$B,ROW()-3)&amp;"")</f>
        <v/>
      </c>
      <c r="D453" s="28" t="str">
        <f>IF($A453="","",INDEX('PI Furnizor'!$C:$C,ROW()-3)&amp;"")</f>
        <v/>
      </c>
      <c r="E453" s="30" t="str">
        <f>IF($A453="","",N(INDEX('PI Furnizor'!$D:$D,ROW()-3)))</f>
        <v/>
      </c>
      <c r="F453" s="31" t="str">
        <f>IF(ISNUMBER($X453),INDEX(Comenzi!$G:$G,$X453),"")</f>
        <v/>
      </c>
      <c r="G453" s="32" t="str">
        <f>IF($A453="","",N(INDEX('PI Furnizor'!$E:$E,ROW()-3)))</f>
        <v/>
      </c>
      <c r="H453" s="33" t="str">
        <f t="shared" si="78"/>
        <v/>
      </c>
      <c r="I453" s="34" t="str">
        <f>IF($Y453&lt;&gt;1,"",IFERROR($AE453/INDEX(Comenzi!$AN:$AN,$X453),0))</f>
        <v/>
      </c>
      <c r="J453" s="33" t="str">
        <f>IF($Y453&lt;&gt;1,"",INDEX(Comenzi!$AG:$AG,$X453)*$I453/$E453)</f>
        <v/>
      </c>
      <c r="K453" s="33" t="str">
        <f t="shared" si="79"/>
        <v/>
      </c>
      <c r="L453" s="33" t="str">
        <f>IF($Y453&lt;&gt;1,"",$K453*$AD453+INDEX(Comenzi!$AJ:$AJ,$X453)*$I453/$E453)</f>
        <v/>
      </c>
      <c r="M453" s="33" t="str">
        <f t="shared" si="80"/>
        <v/>
      </c>
      <c r="N453" s="33" t="str">
        <f t="shared" si="81"/>
        <v/>
      </c>
      <c r="O453" s="33" t="str">
        <f>IF($Y453&lt;&gt;1,"",(INDEX(Comenzi!$AK:$AK,$X453)+N(INDEX(Comenzi!$T:$T,$X453)))*$I453/$E453)</f>
        <v/>
      </c>
      <c r="P453" s="35" t="str">
        <f t="shared" si="82"/>
        <v/>
      </c>
      <c r="Q453" s="36" t="str">
        <f t="shared" si="83"/>
        <v/>
      </c>
      <c r="R453" s="37" t="str">
        <f t="shared" si="84"/>
        <v/>
      </c>
      <c r="S453" s="38" t="str">
        <f t="shared" si="85"/>
        <v/>
      </c>
      <c r="T453" s="39" t="str">
        <f t="shared" si="86"/>
        <v/>
      </c>
      <c r="U453" s="40" t="str">
        <f t="shared" si="87"/>
        <v/>
      </c>
      <c r="V453" s="33" t="str">
        <f t="shared" si="88"/>
        <v/>
      </c>
      <c r="W453" s="33" t="str">
        <f t="shared" si="89"/>
        <v/>
      </c>
      <c r="X453" s="41" t="str">
        <f>IF($A453="","",IFERROR(MATCH($A453,Comenzi!$A$9:$A$108,0)+8,""))</f>
        <v/>
      </c>
      <c r="Y453" s="41" t="str">
        <f t="shared" si="90"/>
        <v/>
      </c>
      <c r="Z453" s="42" t="str">
        <f>IF($A453="","",IF($A453="?","Lipseste ID-ul comenzii (col. A din PI Furnizor)",IF(NOT(ISNUMBER($X453)),"ID comanda negasit in foaia Comenzi",IF(N($E453)&lt;=0,"Lipseste cantitatea",IF(N($G453)=0,"Pret unitar lipsa",IF($Y453&lt;&gt;1,"Curs sau moneda marfa lipsa (foaia Comenzi)",IF(INDEX(Comenzi!$AT:$AT,$X453)&lt;&gt;"OK","Avertisment comanda: "&amp;INDEX(Comenzi!$AT:$AT,$X453),"OK")))))))</f>
        <v/>
      </c>
      <c r="AA453" s="43" t="str">
        <f>IF(ISNUMBER($X453),INDEX(Comenzi!$H:$H,$X453),"")</f>
        <v/>
      </c>
      <c r="AB453" s="43" t="str">
        <f>IF(ISNUMBER($X453),INDEX(Comenzi!$I:$I,$X453),"")</f>
        <v/>
      </c>
      <c r="AC453" s="44" t="str">
        <f>IF(ISNUMBER($X453),IF(INDEX(Comenzi!$V:$V,$X453)="",Comenzi!$D$3,INDEX(Comenzi!$V:$V,$X453)),"")</f>
        <v/>
      </c>
      <c r="AD453" s="44" t="str">
        <f>IF(ISNUMBER($X453),IF(INDEX(Comenzi!$U:$U,$X453)="",Comenzi!$D$4,INDEX(Comenzi!$U:$U,$X453)),"")</f>
        <v/>
      </c>
      <c r="AE453" s="45" t="str">
        <f>IF($Y453&lt;&gt;1,"",IF(INDEX(Comenzi!$AM:$AM,$X453)="Greutate",INDEX('PI Furnizor'!$O:$O,ROW()-3),IF(INDEX(Comenzi!$AM:$AM,$X453)="Volum (CBM)",INDEX('PI Furnizor'!$Q:$Q,ROW()-3),IF(INDEX(Comenzi!$AM:$AM,$X453)="Valoare marfa",INDEX('PI Furnizor'!$N:$N,ROW()-3),$E453))))</f>
        <v/>
      </c>
    </row>
    <row r="454" spans="1:31" x14ac:dyDescent="0.3">
      <c r="A454" s="28" t="str">
        <f>IF(COUNTA(INDEX('PI Furnizor'!$A:$E,ROW()-3,0))=0,"",IF(INDEX('PI Furnizor'!$A:$A,ROW()-3)="","?",INDEX('PI Furnizor'!$A:$A,ROW()-3)))</f>
        <v/>
      </c>
      <c r="B454" s="29" t="str">
        <f>IF(ISNUMBER($X454),INDEX(Comenzi!$B:$B,$X454),"")</f>
        <v/>
      </c>
      <c r="C454" s="28" t="str">
        <f>IF($A454="","",INDEX('PI Furnizor'!$B:$B,ROW()-3)&amp;"")</f>
        <v/>
      </c>
      <c r="D454" s="28" t="str">
        <f>IF($A454="","",INDEX('PI Furnizor'!$C:$C,ROW()-3)&amp;"")</f>
        <v/>
      </c>
      <c r="E454" s="30" t="str">
        <f>IF($A454="","",N(INDEX('PI Furnizor'!$D:$D,ROW()-3)))</f>
        <v/>
      </c>
      <c r="F454" s="31" t="str">
        <f>IF(ISNUMBER($X454),INDEX(Comenzi!$G:$G,$X454),"")</f>
        <v/>
      </c>
      <c r="G454" s="32" t="str">
        <f>IF($A454="","",N(INDEX('PI Furnizor'!$E:$E,ROW()-3)))</f>
        <v/>
      </c>
      <c r="H454" s="33" t="str">
        <f t="shared" si="78"/>
        <v/>
      </c>
      <c r="I454" s="34" t="str">
        <f>IF($Y454&lt;&gt;1,"",IFERROR($AE454/INDEX(Comenzi!$AN:$AN,$X454),0))</f>
        <v/>
      </c>
      <c r="J454" s="33" t="str">
        <f>IF($Y454&lt;&gt;1,"",INDEX(Comenzi!$AG:$AG,$X454)*$I454/$E454)</f>
        <v/>
      </c>
      <c r="K454" s="33" t="str">
        <f t="shared" si="79"/>
        <v/>
      </c>
      <c r="L454" s="33" t="str">
        <f>IF($Y454&lt;&gt;1,"",$K454*$AD454+INDEX(Comenzi!$AJ:$AJ,$X454)*$I454/$E454)</f>
        <v/>
      </c>
      <c r="M454" s="33" t="str">
        <f t="shared" si="80"/>
        <v/>
      </c>
      <c r="N454" s="33" t="str">
        <f t="shared" si="81"/>
        <v/>
      </c>
      <c r="O454" s="33" t="str">
        <f>IF($Y454&lt;&gt;1,"",(INDEX(Comenzi!$AK:$AK,$X454)+N(INDEX(Comenzi!$T:$T,$X454)))*$I454/$E454)</f>
        <v/>
      </c>
      <c r="P454" s="35" t="str">
        <f t="shared" si="82"/>
        <v/>
      </c>
      <c r="Q454" s="36" t="str">
        <f t="shared" si="83"/>
        <v/>
      </c>
      <c r="R454" s="37" t="str">
        <f t="shared" si="84"/>
        <v/>
      </c>
      <c r="S454" s="38" t="str">
        <f t="shared" si="85"/>
        <v/>
      </c>
      <c r="T454" s="39" t="str">
        <f t="shared" si="86"/>
        <v/>
      </c>
      <c r="U454" s="40" t="str">
        <f t="shared" si="87"/>
        <v/>
      </c>
      <c r="V454" s="33" t="str">
        <f t="shared" si="88"/>
        <v/>
      </c>
      <c r="W454" s="33" t="str">
        <f t="shared" si="89"/>
        <v/>
      </c>
      <c r="X454" s="41" t="str">
        <f>IF($A454="","",IFERROR(MATCH($A454,Comenzi!$A$9:$A$108,0)+8,""))</f>
        <v/>
      </c>
      <c r="Y454" s="41" t="str">
        <f t="shared" si="90"/>
        <v/>
      </c>
      <c r="Z454" s="42" t="str">
        <f>IF($A454="","",IF($A454="?","Lipseste ID-ul comenzii (col. A din PI Furnizor)",IF(NOT(ISNUMBER($X454)),"ID comanda negasit in foaia Comenzi",IF(N($E454)&lt;=0,"Lipseste cantitatea",IF(N($G454)=0,"Pret unitar lipsa",IF($Y454&lt;&gt;1,"Curs sau moneda marfa lipsa (foaia Comenzi)",IF(INDEX(Comenzi!$AT:$AT,$X454)&lt;&gt;"OK","Avertisment comanda: "&amp;INDEX(Comenzi!$AT:$AT,$X454),"OK")))))))</f>
        <v/>
      </c>
      <c r="AA454" s="43" t="str">
        <f>IF(ISNUMBER($X454),INDEX(Comenzi!$H:$H,$X454),"")</f>
        <v/>
      </c>
      <c r="AB454" s="43" t="str">
        <f>IF(ISNUMBER($X454),INDEX(Comenzi!$I:$I,$X454),"")</f>
        <v/>
      </c>
      <c r="AC454" s="44" t="str">
        <f>IF(ISNUMBER($X454),IF(INDEX(Comenzi!$V:$V,$X454)="",Comenzi!$D$3,INDEX(Comenzi!$V:$V,$X454)),"")</f>
        <v/>
      </c>
      <c r="AD454" s="44" t="str">
        <f>IF(ISNUMBER($X454),IF(INDEX(Comenzi!$U:$U,$X454)="",Comenzi!$D$4,INDEX(Comenzi!$U:$U,$X454)),"")</f>
        <v/>
      </c>
      <c r="AE454" s="45" t="str">
        <f>IF($Y454&lt;&gt;1,"",IF(INDEX(Comenzi!$AM:$AM,$X454)="Greutate",INDEX('PI Furnizor'!$O:$O,ROW()-3),IF(INDEX(Comenzi!$AM:$AM,$X454)="Volum (CBM)",INDEX('PI Furnizor'!$Q:$Q,ROW()-3),IF(INDEX(Comenzi!$AM:$AM,$X454)="Valoare marfa",INDEX('PI Furnizor'!$N:$N,ROW()-3),$E454))))</f>
        <v/>
      </c>
    </row>
    <row r="455" spans="1:31" x14ac:dyDescent="0.3">
      <c r="A455" s="28" t="str">
        <f>IF(COUNTA(INDEX('PI Furnizor'!$A:$E,ROW()-3,0))=0,"",IF(INDEX('PI Furnizor'!$A:$A,ROW()-3)="","?",INDEX('PI Furnizor'!$A:$A,ROW()-3)))</f>
        <v/>
      </c>
      <c r="B455" s="29" t="str">
        <f>IF(ISNUMBER($X455),INDEX(Comenzi!$B:$B,$X455),"")</f>
        <v/>
      </c>
      <c r="C455" s="28" t="str">
        <f>IF($A455="","",INDEX('PI Furnizor'!$B:$B,ROW()-3)&amp;"")</f>
        <v/>
      </c>
      <c r="D455" s="28" t="str">
        <f>IF($A455="","",INDEX('PI Furnizor'!$C:$C,ROW()-3)&amp;"")</f>
        <v/>
      </c>
      <c r="E455" s="30" t="str">
        <f>IF($A455="","",N(INDEX('PI Furnizor'!$D:$D,ROW()-3)))</f>
        <v/>
      </c>
      <c r="F455" s="31" t="str">
        <f>IF(ISNUMBER($X455),INDEX(Comenzi!$G:$G,$X455),"")</f>
        <v/>
      </c>
      <c r="G455" s="32" t="str">
        <f>IF($A455="","",N(INDEX('PI Furnizor'!$E:$E,ROW()-3)))</f>
        <v/>
      </c>
      <c r="H455" s="33" t="str">
        <f t="shared" si="78"/>
        <v/>
      </c>
      <c r="I455" s="34" t="str">
        <f>IF($Y455&lt;&gt;1,"",IFERROR($AE455/INDEX(Comenzi!$AN:$AN,$X455),0))</f>
        <v/>
      </c>
      <c r="J455" s="33" t="str">
        <f>IF($Y455&lt;&gt;1,"",INDEX(Comenzi!$AG:$AG,$X455)*$I455/$E455)</f>
        <v/>
      </c>
      <c r="K455" s="33" t="str">
        <f t="shared" si="79"/>
        <v/>
      </c>
      <c r="L455" s="33" t="str">
        <f>IF($Y455&lt;&gt;1,"",$K455*$AD455+INDEX(Comenzi!$AJ:$AJ,$X455)*$I455/$E455)</f>
        <v/>
      </c>
      <c r="M455" s="33" t="str">
        <f t="shared" si="80"/>
        <v/>
      </c>
      <c r="N455" s="33" t="str">
        <f t="shared" si="81"/>
        <v/>
      </c>
      <c r="O455" s="33" t="str">
        <f>IF($Y455&lt;&gt;1,"",(INDEX(Comenzi!$AK:$AK,$X455)+N(INDEX(Comenzi!$T:$T,$X455)))*$I455/$E455)</f>
        <v/>
      </c>
      <c r="P455" s="35" t="str">
        <f t="shared" si="82"/>
        <v/>
      </c>
      <c r="Q455" s="36" t="str">
        <f t="shared" si="83"/>
        <v/>
      </c>
      <c r="R455" s="37" t="str">
        <f t="shared" si="84"/>
        <v/>
      </c>
      <c r="S455" s="38" t="str">
        <f t="shared" si="85"/>
        <v/>
      </c>
      <c r="T455" s="39" t="str">
        <f t="shared" si="86"/>
        <v/>
      </c>
      <c r="U455" s="40" t="str">
        <f t="shared" si="87"/>
        <v/>
      </c>
      <c r="V455" s="33" t="str">
        <f t="shared" si="88"/>
        <v/>
      </c>
      <c r="W455" s="33" t="str">
        <f t="shared" si="89"/>
        <v/>
      </c>
      <c r="X455" s="41" t="str">
        <f>IF($A455="","",IFERROR(MATCH($A455,Comenzi!$A$9:$A$108,0)+8,""))</f>
        <v/>
      </c>
      <c r="Y455" s="41" t="str">
        <f t="shared" si="90"/>
        <v/>
      </c>
      <c r="Z455" s="42" t="str">
        <f>IF($A455="","",IF($A455="?","Lipseste ID-ul comenzii (col. A din PI Furnizor)",IF(NOT(ISNUMBER($X455)),"ID comanda negasit in foaia Comenzi",IF(N($E455)&lt;=0,"Lipseste cantitatea",IF(N($G455)=0,"Pret unitar lipsa",IF($Y455&lt;&gt;1,"Curs sau moneda marfa lipsa (foaia Comenzi)",IF(INDEX(Comenzi!$AT:$AT,$X455)&lt;&gt;"OK","Avertisment comanda: "&amp;INDEX(Comenzi!$AT:$AT,$X455),"OK")))))))</f>
        <v/>
      </c>
      <c r="AA455" s="43" t="str">
        <f>IF(ISNUMBER($X455),INDEX(Comenzi!$H:$H,$X455),"")</f>
        <v/>
      </c>
      <c r="AB455" s="43" t="str">
        <f>IF(ISNUMBER($X455),INDEX(Comenzi!$I:$I,$X455),"")</f>
        <v/>
      </c>
      <c r="AC455" s="44" t="str">
        <f>IF(ISNUMBER($X455),IF(INDEX(Comenzi!$V:$V,$X455)="",Comenzi!$D$3,INDEX(Comenzi!$V:$V,$X455)),"")</f>
        <v/>
      </c>
      <c r="AD455" s="44" t="str">
        <f>IF(ISNUMBER($X455),IF(INDEX(Comenzi!$U:$U,$X455)="",Comenzi!$D$4,INDEX(Comenzi!$U:$U,$X455)),"")</f>
        <v/>
      </c>
      <c r="AE455" s="45" t="str">
        <f>IF($Y455&lt;&gt;1,"",IF(INDEX(Comenzi!$AM:$AM,$X455)="Greutate",INDEX('PI Furnizor'!$O:$O,ROW()-3),IF(INDEX(Comenzi!$AM:$AM,$X455)="Volum (CBM)",INDEX('PI Furnizor'!$Q:$Q,ROW()-3),IF(INDEX(Comenzi!$AM:$AM,$X455)="Valoare marfa",INDEX('PI Furnizor'!$N:$N,ROW()-3),$E455))))</f>
        <v/>
      </c>
    </row>
    <row r="456" spans="1:31" x14ac:dyDescent="0.3">
      <c r="A456" s="28" t="str">
        <f>IF(COUNTA(INDEX('PI Furnizor'!$A:$E,ROW()-3,0))=0,"",IF(INDEX('PI Furnizor'!$A:$A,ROW()-3)="","?",INDEX('PI Furnizor'!$A:$A,ROW()-3)))</f>
        <v/>
      </c>
      <c r="B456" s="29" t="str">
        <f>IF(ISNUMBER($X456),INDEX(Comenzi!$B:$B,$X456),"")</f>
        <v/>
      </c>
      <c r="C456" s="28" t="str">
        <f>IF($A456="","",INDEX('PI Furnizor'!$B:$B,ROW()-3)&amp;"")</f>
        <v/>
      </c>
      <c r="D456" s="28" t="str">
        <f>IF($A456="","",INDEX('PI Furnizor'!$C:$C,ROW()-3)&amp;"")</f>
        <v/>
      </c>
      <c r="E456" s="30" t="str">
        <f>IF($A456="","",N(INDEX('PI Furnizor'!$D:$D,ROW()-3)))</f>
        <v/>
      </c>
      <c r="F456" s="31" t="str">
        <f>IF(ISNUMBER($X456),INDEX(Comenzi!$G:$G,$X456),"")</f>
        <v/>
      </c>
      <c r="G456" s="32" t="str">
        <f>IF($A456="","",N(INDEX('PI Furnizor'!$E:$E,ROW()-3)))</f>
        <v/>
      </c>
      <c r="H456" s="33" t="str">
        <f t="shared" si="78"/>
        <v/>
      </c>
      <c r="I456" s="34" t="str">
        <f>IF($Y456&lt;&gt;1,"",IFERROR($AE456/INDEX(Comenzi!$AN:$AN,$X456),0))</f>
        <v/>
      </c>
      <c r="J456" s="33" t="str">
        <f>IF($Y456&lt;&gt;1,"",INDEX(Comenzi!$AG:$AG,$X456)*$I456/$E456)</f>
        <v/>
      </c>
      <c r="K456" s="33" t="str">
        <f t="shared" si="79"/>
        <v/>
      </c>
      <c r="L456" s="33" t="str">
        <f>IF($Y456&lt;&gt;1,"",$K456*$AD456+INDEX(Comenzi!$AJ:$AJ,$X456)*$I456/$E456)</f>
        <v/>
      </c>
      <c r="M456" s="33" t="str">
        <f t="shared" si="80"/>
        <v/>
      </c>
      <c r="N456" s="33" t="str">
        <f t="shared" si="81"/>
        <v/>
      </c>
      <c r="O456" s="33" t="str">
        <f>IF($Y456&lt;&gt;1,"",(INDEX(Comenzi!$AK:$AK,$X456)+N(INDEX(Comenzi!$T:$T,$X456)))*$I456/$E456)</f>
        <v/>
      </c>
      <c r="P456" s="35" t="str">
        <f t="shared" si="82"/>
        <v/>
      </c>
      <c r="Q456" s="36" t="str">
        <f t="shared" si="83"/>
        <v/>
      </c>
      <c r="R456" s="37" t="str">
        <f t="shared" si="84"/>
        <v/>
      </c>
      <c r="S456" s="38" t="str">
        <f t="shared" si="85"/>
        <v/>
      </c>
      <c r="T456" s="39" t="str">
        <f t="shared" si="86"/>
        <v/>
      </c>
      <c r="U456" s="40" t="str">
        <f t="shared" si="87"/>
        <v/>
      </c>
      <c r="V456" s="33" t="str">
        <f t="shared" si="88"/>
        <v/>
      </c>
      <c r="W456" s="33" t="str">
        <f t="shared" si="89"/>
        <v/>
      </c>
      <c r="X456" s="41" t="str">
        <f>IF($A456="","",IFERROR(MATCH($A456,Comenzi!$A$9:$A$108,0)+8,""))</f>
        <v/>
      </c>
      <c r="Y456" s="41" t="str">
        <f t="shared" si="90"/>
        <v/>
      </c>
      <c r="Z456" s="42" t="str">
        <f>IF($A456="","",IF($A456="?","Lipseste ID-ul comenzii (col. A din PI Furnizor)",IF(NOT(ISNUMBER($X456)),"ID comanda negasit in foaia Comenzi",IF(N($E456)&lt;=0,"Lipseste cantitatea",IF(N($G456)=0,"Pret unitar lipsa",IF($Y456&lt;&gt;1,"Curs sau moneda marfa lipsa (foaia Comenzi)",IF(INDEX(Comenzi!$AT:$AT,$X456)&lt;&gt;"OK","Avertisment comanda: "&amp;INDEX(Comenzi!$AT:$AT,$X456),"OK")))))))</f>
        <v/>
      </c>
      <c r="AA456" s="43" t="str">
        <f>IF(ISNUMBER($X456),INDEX(Comenzi!$H:$H,$X456),"")</f>
        <v/>
      </c>
      <c r="AB456" s="43" t="str">
        <f>IF(ISNUMBER($X456),INDEX(Comenzi!$I:$I,$X456),"")</f>
        <v/>
      </c>
      <c r="AC456" s="44" t="str">
        <f>IF(ISNUMBER($X456),IF(INDEX(Comenzi!$V:$V,$X456)="",Comenzi!$D$3,INDEX(Comenzi!$V:$V,$X456)),"")</f>
        <v/>
      </c>
      <c r="AD456" s="44" t="str">
        <f>IF(ISNUMBER($X456),IF(INDEX(Comenzi!$U:$U,$X456)="",Comenzi!$D$4,INDEX(Comenzi!$U:$U,$X456)),"")</f>
        <v/>
      </c>
      <c r="AE456" s="45" t="str">
        <f>IF($Y456&lt;&gt;1,"",IF(INDEX(Comenzi!$AM:$AM,$X456)="Greutate",INDEX('PI Furnizor'!$O:$O,ROW()-3),IF(INDEX(Comenzi!$AM:$AM,$X456)="Volum (CBM)",INDEX('PI Furnizor'!$Q:$Q,ROW()-3),IF(INDEX(Comenzi!$AM:$AM,$X456)="Valoare marfa",INDEX('PI Furnizor'!$N:$N,ROW()-3),$E456))))</f>
        <v/>
      </c>
    </row>
    <row r="457" spans="1:31" x14ac:dyDescent="0.3">
      <c r="A457" s="28" t="str">
        <f>IF(COUNTA(INDEX('PI Furnizor'!$A:$E,ROW()-3,0))=0,"",IF(INDEX('PI Furnizor'!$A:$A,ROW()-3)="","?",INDEX('PI Furnizor'!$A:$A,ROW()-3)))</f>
        <v/>
      </c>
      <c r="B457" s="29" t="str">
        <f>IF(ISNUMBER($X457),INDEX(Comenzi!$B:$B,$X457),"")</f>
        <v/>
      </c>
      <c r="C457" s="28" t="str">
        <f>IF($A457="","",INDEX('PI Furnizor'!$B:$B,ROW()-3)&amp;"")</f>
        <v/>
      </c>
      <c r="D457" s="28" t="str">
        <f>IF($A457="","",INDEX('PI Furnizor'!$C:$C,ROW()-3)&amp;"")</f>
        <v/>
      </c>
      <c r="E457" s="30" t="str">
        <f>IF($A457="","",N(INDEX('PI Furnizor'!$D:$D,ROW()-3)))</f>
        <v/>
      </c>
      <c r="F457" s="31" t="str">
        <f>IF(ISNUMBER($X457),INDEX(Comenzi!$G:$G,$X457),"")</f>
        <v/>
      </c>
      <c r="G457" s="32" t="str">
        <f>IF($A457="","",N(INDEX('PI Furnizor'!$E:$E,ROW()-3)))</f>
        <v/>
      </c>
      <c r="H457" s="33" t="str">
        <f t="shared" si="78"/>
        <v/>
      </c>
      <c r="I457" s="34" t="str">
        <f>IF($Y457&lt;&gt;1,"",IFERROR($AE457/INDEX(Comenzi!$AN:$AN,$X457),0))</f>
        <v/>
      </c>
      <c r="J457" s="33" t="str">
        <f>IF($Y457&lt;&gt;1,"",INDEX(Comenzi!$AG:$AG,$X457)*$I457/$E457)</f>
        <v/>
      </c>
      <c r="K457" s="33" t="str">
        <f t="shared" si="79"/>
        <v/>
      </c>
      <c r="L457" s="33" t="str">
        <f>IF($Y457&lt;&gt;1,"",$K457*$AD457+INDEX(Comenzi!$AJ:$AJ,$X457)*$I457/$E457)</f>
        <v/>
      </c>
      <c r="M457" s="33" t="str">
        <f t="shared" si="80"/>
        <v/>
      </c>
      <c r="N457" s="33" t="str">
        <f t="shared" si="81"/>
        <v/>
      </c>
      <c r="O457" s="33" t="str">
        <f>IF($Y457&lt;&gt;1,"",(INDEX(Comenzi!$AK:$AK,$X457)+N(INDEX(Comenzi!$T:$T,$X457)))*$I457/$E457)</f>
        <v/>
      </c>
      <c r="P457" s="35" t="str">
        <f t="shared" si="82"/>
        <v/>
      </c>
      <c r="Q457" s="36" t="str">
        <f t="shared" si="83"/>
        <v/>
      </c>
      <c r="R457" s="37" t="str">
        <f t="shared" si="84"/>
        <v/>
      </c>
      <c r="S457" s="38" t="str">
        <f t="shared" si="85"/>
        <v/>
      </c>
      <c r="T457" s="39" t="str">
        <f t="shared" si="86"/>
        <v/>
      </c>
      <c r="U457" s="40" t="str">
        <f t="shared" si="87"/>
        <v/>
      </c>
      <c r="V457" s="33" t="str">
        <f t="shared" si="88"/>
        <v/>
      </c>
      <c r="W457" s="33" t="str">
        <f t="shared" si="89"/>
        <v/>
      </c>
      <c r="X457" s="41" t="str">
        <f>IF($A457="","",IFERROR(MATCH($A457,Comenzi!$A$9:$A$108,0)+8,""))</f>
        <v/>
      </c>
      <c r="Y457" s="41" t="str">
        <f t="shared" si="90"/>
        <v/>
      </c>
      <c r="Z457" s="42" t="str">
        <f>IF($A457="","",IF($A457="?","Lipseste ID-ul comenzii (col. A din PI Furnizor)",IF(NOT(ISNUMBER($X457)),"ID comanda negasit in foaia Comenzi",IF(N($E457)&lt;=0,"Lipseste cantitatea",IF(N($G457)=0,"Pret unitar lipsa",IF($Y457&lt;&gt;1,"Curs sau moneda marfa lipsa (foaia Comenzi)",IF(INDEX(Comenzi!$AT:$AT,$X457)&lt;&gt;"OK","Avertisment comanda: "&amp;INDEX(Comenzi!$AT:$AT,$X457),"OK")))))))</f>
        <v/>
      </c>
      <c r="AA457" s="43" t="str">
        <f>IF(ISNUMBER($X457),INDEX(Comenzi!$H:$H,$X457),"")</f>
        <v/>
      </c>
      <c r="AB457" s="43" t="str">
        <f>IF(ISNUMBER($X457),INDEX(Comenzi!$I:$I,$X457),"")</f>
        <v/>
      </c>
      <c r="AC457" s="44" t="str">
        <f>IF(ISNUMBER($X457),IF(INDEX(Comenzi!$V:$V,$X457)="",Comenzi!$D$3,INDEX(Comenzi!$V:$V,$X457)),"")</f>
        <v/>
      </c>
      <c r="AD457" s="44" t="str">
        <f>IF(ISNUMBER($X457),IF(INDEX(Comenzi!$U:$U,$X457)="",Comenzi!$D$4,INDEX(Comenzi!$U:$U,$X457)),"")</f>
        <v/>
      </c>
      <c r="AE457" s="45" t="str">
        <f>IF($Y457&lt;&gt;1,"",IF(INDEX(Comenzi!$AM:$AM,$X457)="Greutate",INDEX('PI Furnizor'!$O:$O,ROW()-3),IF(INDEX(Comenzi!$AM:$AM,$X457)="Volum (CBM)",INDEX('PI Furnizor'!$Q:$Q,ROW()-3),IF(INDEX(Comenzi!$AM:$AM,$X457)="Valoare marfa",INDEX('PI Furnizor'!$N:$N,ROW()-3),$E457))))</f>
        <v/>
      </c>
    </row>
    <row r="458" spans="1:31" x14ac:dyDescent="0.3">
      <c r="A458" s="28" t="str">
        <f>IF(COUNTA(INDEX('PI Furnizor'!$A:$E,ROW()-3,0))=0,"",IF(INDEX('PI Furnizor'!$A:$A,ROW()-3)="","?",INDEX('PI Furnizor'!$A:$A,ROW()-3)))</f>
        <v/>
      </c>
      <c r="B458" s="29" t="str">
        <f>IF(ISNUMBER($X458),INDEX(Comenzi!$B:$B,$X458),"")</f>
        <v/>
      </c>
      <c r="C458" s="28" t="str">
        <f>IF($A458="","",INDEX('PI Furnizor'!$B:$B,ROW()-3)&amp;"")</f>
        <v/>
      </c>
      <c r="D458" s="28" t="str">
        <f>IF($A458="","",INDEX('PI Furnizor'!$C:$C,ROW()-3)&amp;"")</f>
        <v/>
      </c>
      <c r="E458" s="30" t="str">
        <f>IF($A458="","",N(INDEX('PI Furnizor'!$D:$D,ROW()-3)))</f>
        <v/>
      </c>
      <c r="F458" s="31" t="str">
        <f>IF(ISNUMBER($X458),INDEX(Comenzi!$G:$G,$X458),"")</f>
        <v/>
      </c>
      <c r="G458" s="32" t="str">
        <f>IF($A458="","",N(INDEX('PI Furnizor'!$E:$E,ROW()-3)))</f>
        <v/>
      </c>
      <c r="H458" s="33" t="str">
        <f t="shared" ref="H458:H509" si="91">IF($Y458&lt;&gt;1,"",$G458*IF($F458="USD",$AA458,IF($F458="EUR",$AB458,1)))</f>
        <v/>
      </c>
      <c r="I458" s="34" t="str">
        <f>IF($Y458&lt;&gt;1,"",IFERROR($AE458/INDEX(Comenzi!$AN:$AN,$X458),0))</f>
        <v/>
      </c>
      <c r="J458" s="33" t="str">
        <f>IF($Y458&lt;&gt;1,"",INDEX(Comenzi!$AG:$AG,$X458)*$I458/$E458)</f>
        <v/>
      </c>
      <c r="K458" s="33" t="str">
        <f t="shared" ref="K458:K509" si="92">IF($Y458&lt;&gt;1,"",$H458+$J458)</f>
        <v/>
      </c>
      <c r="L458" s="33" t="str">
        <f>IF($Y458&lt;&gt;1,"",$K458*$AD458+INDEX(Comenzi!$AJ:$AJ,$X458)*$I458/$E458)</f>
        <v/>
      </c>
      <c r="M458" s="33" t="str">
        <f t="shared" ref="M458:M509" si="93">IF($Y458&lt;&gt;1,"",$K458+$L458)</f>
        <v/>
      </c>
      <c r="N458" s="33" t="str">
        <f t="shared" ref="N458:N509" si="94">IF($Y458&lt;&gt;1,"",$M458*$AC458)</f>
        <v/>
      </c>
      <c r="O458" s="33" t="str">
        <f>IF($Y458&lt;&gt;1,"",(INDEX(Comenzi!$AK:$AK,$X458)+N(INDEX(Comenzi!$T:$T,$X458)))*$I458/$E458)</f>
        <v/>
      </c>
      <c r="P458" s="35" t="str">
        <f t="shared" ref="P458:P509" si="95">IF($Y458&lt;&gt;1,"",$M458+$O458)</f>
        <v/>
      </c>
      <c r="Q458" s="36" t="str">
        <f t="shared" ref="Q458:Q509" si="96">IF($Y458&lt;&gt;1,"",$P458/$AB458)</f>
        <v/>
      </c>
      <c r="R458" s="37" t="str">
        <f t="shared" ref="R458:R509" si="97">IF($Y458&lt;&gt;1,"",$P458/$AA458)</f>
        <v/>
      </c>
      <c r="S458" s="38" t="str">
        <f t="shared" ref="S458:S509" si="98">IF($Y458&lt;&gt;1,"",$P458+$N458)</f>
        <v/>
      </c>
      <c r="T458" s="39" t="str">
        <f t="shared" ref="T458:T509" si="99">IF($Y458&lt;&gt;1,"",$S458/$AB458)</f>
        <v/>
      </c>
      <c r="U458" s="40" t="str">
        <f t="shared" ref="U458:U509" si="100">IF($Y458&lt;&gt;1,"",$S458/$AA458)</f>
        <v/>
      </c>
      <c r="V458" s="33" t="str">
        <f t="shared" ref="V458:V509" si="101">IF($Y458&lt;&gt;1,"",$P458*$E458)</f>
        <v/>
      </c>
      <c r="W458" s="33" t="str">
        <f t="shared" ref="W458:W509" si="102">IF($Y458&lt;&gt;1,"",$S458*$E458)</f>
        <v/>
      </c>
      <c r="X458" s="41" t="str">
        <f>IF($A458="","",IFERROR(MATCH($A458,Comenzi!$A$9:$A$108,0)+8,""))</f>
        <v/>
      </c>
      <c r="Y458" s="41" t="str">
        <f t="shared" ref="Y458:Y509" si="103">IF($A458="","",IF(AND(ISNUMBER($X458),N($E458)&gt;0,N($AA458)&gt;0,N($AB458)&gt;0,OR($F458="USD",$F458="EUR",$F458="RON")),1,0))</f>
        <v/>
      </c>
      <c r="Z458" s="42" t="str">
        <f>IF($A458="","",IF($A458="?","Lipseste ID-ul comenzii (col. A din PI Furnizor)",IF(NOT(ISNUMBER($X458)),"ID comanda negasit in foaia Comenzi",IF(N($E458)&lt;=0,"Lipseste cantitatea",IF(N($G458)=0,"Pret unitar lipsa",IF($Y458&lt;&gt;1,"Curs sau moneda marfa lipsa (foaia Comenzi)",IF(INDEX(Comenzi!$AT:$AT,$X458)&lt;&gt;"OK","Avertisment comanda: "&amp;INDEX(Comenzi!$AT:$AT,$X458),"OK")))))))</f>
        <v/>
      </c>
      <c r="AA458" s="43" t="str">
        <f>IF(ISNUMBER($X458),INDEX(Comenzi!$H:$H,$X458),"")</f>
        <v/>
      </c>
      <c r="AB458" s="43" t="str">
        <f>IF(ISNUMBER($X458),INDEX(Comenzi!$I:$I,$X458),"")</f>
        <v/>
      </c>
      <c r="AC458" s="44" t="str">
        <f>IF(ISNUMBER($X458),IF(INDEX(Comenzi!$V:$V,$X458)="",Comenzi!$D$3,INDEX(Comenzi!$V:$V,$X458)),"")</f>
        <v/>
      </c>
      <c r="AD458" s="44" t="str">
        <f>IF(ISNUMBER($X458),IF(INDEX(Comenzi!$U:$U,$X458)="",Comenzi!$D$4,INDEX(Comenzi!$U:$U,$X458)),"")</f>
        <v/>
      </c>
      <c r="AE458" s="45" t="str">
        <f>IF($Y458&lt;&gt;1,"",IF(INDEX(Comenzi!$AM:$AM,$X458)="Greutate",INDEX('PI Furnizor'!$O:$O,ROW()-3),IF(INDEX(Comenzi!$AM:$AM,$X458)="Volum (CBM)",INDEX('PI Furnizor'!$Q:$Q,ROW()-3),IF(INDEX(Comenzi!$AM:$AM,$X458)="Valoare marfa",INDEX('PI Furnizor'!$N:$N,ROW()-3),$E458))))</f>
        <v/>
      </c>
    </row>
    <row r="459" spans="1:31" x14ac:dyDescent="0.3">
      <c r="A459" s="28" t="str">
        <f>IF(COUNTA(INDEX('PI Furnizor'!$A:$E,ROW()-3,0))=0,"",IF(INDEX('PI Furnizor'!$A:$A,ROW()-3)="","?",INDEX('PI Furnizor'!$A:$A,ROW()-3)))</f>
        <v/>
      </c>
      <c r="B459" s="29" t="str">
        <f>IF(ISNUMBER($X459),INDEX(Comenzi!$B:$B,$X459),"")</f>
        <v/>
      </c>
      <c r="C459" s="28" t="str">
        <f>IF($A459="","",INDEX('PI Furnizor'!$B:$B,ROW()-3)&amp;"")</f>
        <v/>
      </c>
      <c r="D459" s="28" t="str">
        <f>IF($A459="","",INDEX('PI Furnizor'!$C:$C,ROW()-3)&amp;"")</f>
        <v/>
      </c>
      <c r="E459" s="30" t="str">
        <f>IF($A459="","",N(INDEX('PI Furnizor'!$D:$D,ROW()-3)))</f>
        <v/>
      </c>
      <c r="F459" s="31" t="str">
        <f>IF(ISNUMBER($X459),INDEX(Comenzi!$G:$G,$X459),"")</f>
        <v/>
      </c>
      <c r="G459" s="32" t="str">
        <f>IF($A459="","",N(INDEX('PI Furnizor'!$E:$E,ROW()-3)))</f>
        <v/>
      </c>
      <c r="H459" s="33" t="str">
        <f t="shared" si="91"/>
        <v/>
      </c>
      <c r="I459" s="34" t="str">
        <f>IF($Y459&lt;&gt;1,"",IFERROR($AE459/INDEX(Comenzi!$AN:$AN,$X459),0))</f>
        <v/>
      </c>
      <c r="J459" s="33" t="str">
        <f>IF($Y459&lt;&gt;1,"",INDEX(Comenzi!$AG:$AG,$X459)*$I459/$E459)</f>
        <v/>
      </c>
      <c r="K459" s="33" t="str">
        <f t="shared" si="92"/>
        <v/>
      </c>
      <c r="L459" s="33" t="str">
        <f>IF($Y459&lt;&gt;1,"",$K459*$AD459+INDEX(Comenzi!$AJ:$AJ,$X459)*$I459/$E459)</f>
        <v/>
      </c>
      <c r="M459" s="33" t="str">
        <f t="shared" si="93"/>
        <v/>
      </c>
      <c r="N459" s="33" t="str">
        <f t="shared" si="94"/>
        <v/>
      </c>
      <c r="O459" s="33" t="str">
        <f>IF($Y459&lt;&gt;1,"",(INDEX(Comenzi!$AK:$AK,$X459)+N(INDEX(Comenzi!$T:$T,$X459)))*$I459/$E459)</f>
        <v/>
      </c>
      <c r="P459" s="35" t="str">
        <f t="shared" si="95"/>
        <v/>
      </c>
      <c r="Q459" s="36" t="str">
        <f t="shared" si="96"/>
        <v/>
      </c>
      <c r="R459" s="37" t="str">
        <f t="shared" si="97"/>
        <v/>
      </c>
      <c r="S459" s="38" t="str">
        <f t="shared" si="98"/>
        <v/>
      </c>
      <c r="T459" s="39" t="str">
        <f t="shared" si="99"/>
        <v/>
      </c>
      <c r="U459" s="40" t="str">
        <f t="shared" si="100"/>
        <v/>
      </c>
      <c r="V459" s="33" t="str">
        <f t="shared" si="101"/>
        <v/>
      </c>
      <c r="W459" s="33" t="str">
        <f t="shared" si="102"/>
        <v/>
      </c>
      <c r="X459" s="41" t="str">
        <f>IF($A459="","",IFERROR(MATCH($A459,Comenzi!$A$9:$A$108,0)+8,""))</f>
        <v/>
      </c>
      <c r="Y459" s="41" t="str">
        <f t="shared" si="103"/>
        <v/>
      </c>
      <c r="Z459" s="42" t="str">
        <f>IF($A459="","",IF($A459="?","Lipseste ID-ul comenzii (col. A din PI Furnizor)",IF(NOT(ISNUMBER($X459)),"ID comanda negasit in foaia Comenzi",IF(N($E459)&lt;=0,"Lipseste cantitatea",IF(N($G459)=0,"Pret unitar lipsa",IF($Y459&lt;&gt;1,"Curs sau moneda marfa lipsa (foaia Comenzi)",IF(INDEX(Comenzi!$AT:$AT,$X459)&lt;&gt;"OK","Avertisment comanda: "&amp;INDEX(Comenzi!$AT:$AT,$X459),"OK")))))))</f>
        <v/>
      </c>
      <c r="AA459" s="43" t="str">
        <f>IF(ISNUMBER($X459),INDEX(Comenzi!$H:$H,$X459),"")</f>
        <v/>
      </c>
      <c r="AB459" s="43" t="str">
        <f>IF(ISNUMBER($X459),INDEX(Comenzi!$I:$I,$X459),"")</f>
        <v/>
      </c>
      <c r="AC459" s="44" t="str">
        <f>IF(ISNUMBER($X459),IF(INDEX(Comenzi!$V:$V,$X459)="",Comenzi!$D$3,INDEX(Comenzi!$V:$V,$X459)),"")</f>
        <v/>
      </c>
      <c r="AD459" s="44" t="str">
        <f>IF(ISNUMBER($X459),IF(INDEX(Comenzi!$U:$U,$X459)="",Comenzi!$D$4,INDEX(Comenzi!$U:$U,$X459)),"")</f>
        <v/>
      </c>
      <c r="AE459" s="45" t="str">
        <f>IF($Y459&lt;&gt;1,"",IF(INDEX(Comenzi!$AM:$AM,$X459)="Greutate",INDEX('PI Furnizor'!$O:$O,ROW()-3),IF(INDEX(Comenzi!$AM:$AM,$X459)="Volum (CBM)",INDEX('PI Furnizor'!$Q:$Q,ROW()-3),IF(INDEX(Comenzi!$AM:$AM,$X459)="Valoare marfa",INDEX('PI Furnizor'!$N:$N,ROW()-3),$E459))))</f>
        <v/>
      </c>
    </row>
    <row r="460" spans="1:31" x14ac:dyDescent="0.3">
      <c r="A460" s="28" t="str">
        <f>IF(COUNTA(INDEX('PI Furnizor'!$A:$E,ROW()-3,0))=0,"",IF(INDEX('PI Furnizor'!$A:$A,ROW()-3)="","?",INDEX('PI Furnizor'!$A:$A,ROW()-3)))</f>
        <v/>
      </c>
      <c r="B460" s="29" t="str">
        <f>IF(ISNUMBER($X460),INDEX(Comenzi!$B:$B,$X460),"")</f>
        <v/>
      </c>
      <c r="C460" s="28" t="str">
        <f>IF($A460="","",INDEX('PI Furnizor'!$B:$B,ROW()-3)&amp;"")</f>
        <v/>
      </c>
      <c r="D460" s="28" t="str">
        <f>IF($A460="","",INDEX('PI Furnizor'!$C:$C,ROW()-3)&amp;"")</f>
        <v/>
      </c>
      <c r="E460" s="30" t="str">
        <f>IF($A460="","",N(INDEX('PI Furnizor'!$D:$D,ROW()-3)))</f>
        <v/>
      </c>
      <c r="F460" s="31" t="str">
        <f>IF(ISNUMBER($X460),INDEX(Comenzi!$G:$G,$X460),"")</f>
        <v/>
      </c>
      <c r="G460" s="32" t="str">
        <f>IF($A460="","",N(INDEX('PI Furnizor'!$E:$E,ROW()-3)))</f>
        <v/>
      </c>
      <c r="H460" s="33" t="str">
        <f t="shared" si="91"/>
        <v/>
      </c>
      <c r="I460" s="34" t="str">
        <f>IF($Y460&lt;&gt;1,"",IFERROR($AE460/INDEX(Comenzi!$AN:$AN,$X460),0))</f>
        <v/>
      </c>
      <c r="J460" s="33" t="str">
        <f>IF($Y460&lt;&gt;1,"",INDEX(Comenzi!$AG:$AG,$X460)*$I460/$E460)</f>
        <v/>
      </c>
      <c r="K460" s="33" t="str">
        <f t="shared" si="92"/>
        <v/>
      </c>
      <c r="L460" s="33" t="str">
        <f>IF($Y460&lt;&gt;1,"",$K460*$AD460+INDEX(Comenzi!$AJ:$AJ,$X460)*$I460/$E460)</f>
        <v/>
      </c>
      <c r="M460" s="33" t="str">
        <f t="shared" si="93"/>
        <v/>
      </c>
      <c r="N460" s="33" t="str">
        <f t="shared" si="94"/>
        <v/>
      </c>
      <c r="O460" s="33" t="str">
        <f>IF($Y460&lt;&gt;1,"",(INDEX(Comenzi!$AK:$AK,$X460)+N(INDEX(Comenzi!$T:$T,$X460)))*$I460/$E460)</f>
        <v/>
      </c>
      <c r="P460" s="35" t="str">
        <f t="shared" si="95"/>
        <v/>
      </c>
      <c r="Q460" s="36" t="str">
        <f t="shared" si="96"/>
        <v/>
      </c>
      <c r="R460" s="37" t="str">
        <f t="shared" si="97"/>
        <v/>
      </c>
      <c r="S460" s="38" t="str">
        <f t="shared" si="98"/>
        <v/>
      </c>
      <c r="T460" s="39" t="str">
        <f t="shared" si="99"/>
        <v/>
      </c>
      <c r="U460" s="40" t="str">
        <f t="shared" si="100"/>
        <v/>
      </c>
      <c r="V460" s="33" t="str">
        <f t="shared" si="101"/>
        <v/>
      </c>
      <c r="W460" s="33" t="str">
        <f t="shared" si="102"/>
        <v/>
      </c>
      <c r="X460" s="41" t="str">
        <f>IF($A460="","",IFERROR(MATCH($A460,Comenzi!$A$9:$A$108,0)+8,""))</f>
        <v/>
      </c>
      <c r="Y460" s="41" t="str">
        <f t="shared" si="103"/>
        <v/>
      </c>
      <c r="Z460" s="42" t="str">
        <f>IF($A460="","",IF($A460="?","Lipseste ID-ul comenzii (col. A din PI Furnizor)",IF(NOT(ISNUMBER($X460)),"ID comanda negasit in foaia Comenzi",IF(N($E460)&lt;=0,"Lipseste cantitatea",IF(N($G460)=0,"Pret unitar lipsa",IF($Y460&lt;&gt;1,"Curs sau moneda marfa lipsa (foaia Comenzi)",IF(INDEX(Comenzi!$AT:$AT,$X460)&lt;&gt;"OK","Avertisment comanda: "&amp;INDEX(Comenzi!$AT:$AT,$X460),"OK")))))))</f>
        <v/>
      </c>
      <c r="AA460" s="43" t="str">
        <f>IF(ISNUMBER($X460),INDEX(Comenzi!$H:$H,$X460),"")</f>
        <v/>
      </c>
      <c r="AB460" s="43" t="str">
        <f>IF(ISNUMBER($X460),INDEX(Comenzi!$I:$I,$X460),"")</f>
        <v/>
      </c>
      <c r="AC460" s="44" t="str">
        <f>IF(ISNUMBER($X460),IF(INDEX(Comenzi!$V:$V,$X460)="",Comenzi!$D$3,INDEX(Comenzi!$V:$V,$X460)),"")</f>
        <v/>
      </c>
      <c r="AD460" s="44" t="str">
        <f>IF(ISNUMBER($X460),IF(INDEX(Comenzi!$U:$U,$X460)="",Comenzi!$D$4,INDEX(Comenzi!$U:$U,$X460)),"")</f>
        <v/>
      </c>
      <c r="AE460" s="45" t="str">
        <f>IF($Y460&lt;&gt;1,"",IF(INDEX(Comenzi!$AM:$AM,$X460)="Greutate",INDEX('PI Furnizor'!$O:$O,ROW()-3),IF(INDEX(Comenzi!$AM:$AM,$X460)="Volum (CBM)",INDEX('PI Furnizor'!$Q:$Q,ROW()-3),IF(INDEX(Comenzi!$AM:$AM,$X460)="Valoare marfa",INDEX('PI Furnizor'!$N:$N,ROW()-3),$E460))))</f>
        <v/>
      </c>
    </row>
    <row r="461" spans="1:31" x14ac:dyDescent="0.3">
      <c r="A461" s="28" t="str">
        <f>IF(COUNTA(INDEX('PI Furnizor'!$A:$E,ROW()-3,0))=0,"",IF(INDEX('PI Furnizor'!$A:$A,ROW()-3)="","?",INDEX('PI Furnizor'!$A:$A,ROW()-3)))</f>
        <v/>
      </c>
      <c r="B461" s="29" t="str">
        <f>IF(ISNUMBER($X461),INDEX(Comenzi!$B:$B,$X461),"")</f>
        <v/>
      </c>
      <c r="C461" s="28" t="str">
        <f>IF($A461="","",INDEX('PI Furnizor'!$B:$B,ROW()-3)&amp;"")</f>
        <v/>
      </c>
      <c r="D461" s="28" t="str">
        <f>IF($A461="","",INDEX('PI Furnizor'!$C:$C,ROW()-3)&amp;"")</f>
        <v/>
      </c>
      <c r="E461" s="30" t="str">
        <f>IF($A461="","",N(INDEX('PI Furnizor'!$D:$D,ROW()-3)))</f>
        <v/>
      </c>
      <c r="F461" s="31" t="str">
        <f>IF(ISNUMBER($X461),INDEX(Comenzi!$G:$G,$X461),"")</f>
        <v/>
      </c>
      <c r="G461" s="32" t="str">
        <f>IF($A461="","",N(INDEX('PI Furnizor'!$E:$E,ROW()-3)))</f>
        <v/>
      </c>
      <c r="H461" s="33" t="str">
        <f t="shared" si="91"/>
        <v/>
      </c>
      <c r="I461" s="34" t="str">
        <f>IF($Y461&lt;&gt;1,"",IFERROR($AE461/INDEX(Comenzi!$AN:$AN,$X461),0))</f>
        <v/>
      </c>
      <c r="J461" s="33" t="str">
        <f>IF($Y461&lt;&gt;1,"",INDEX(Comenzi!$AG:$AG,$X461)*$I461/$E461)</f>
        <v/>
      </c>
      <c r="K461" s="33" t="str">
        <f t="shared" si="92"/>
        <v/>
      </c>
      <c r="L461" s="33" t="str">
        <f>IF($Y461&lt;&gt;1,"",$K461*$AD461+INDEX(Comenzi!$AJ:$AJ,$X461)*$I461/$E461)</f>
        <v/>
      </c>
      <c r="M461" s="33" t="str">
        <f t="shared" si="93"/>
        <v/>
      </c>
      <c r="N461" s="33" t="str">
        <f t="shared" si="94"/>
        <v/>
      </c>
      <c r="O461" s="33" t="str">
        <f>IF($Y461&lt;&gt;1,"",(INDEX(Comenzi!$AK:$AK,$X461)+N(INDEX(Comenzi!$T:$T,$X461)))*$I461/$E461)</f>
        <v/>
      </c>
      <c r="P461" s="35" t="str">
        <f t="shared" si="95"/>
        <v/>
      </c>
      <c r="Q461" s="36" t="str">
        <f t="shared" si="96"/>
        <v/>
      </c>
      <c r="R461" s="37" t="str">
        <f t="shared" si="97"/>
        <v/>
      </c>
      <c r="S461" s="38" t="str">
        <f t="shared" si="98"/>
        <v/>
      </c>
      <c r="T461" s="39" t="str">
        <f t="shared" si="99"/>
        <v/>
      </c>
      <c r="U461" s="40" t="str">
        <f t="shared" si="100"/>
        <v/>
      </c>
      <c r="V461" s="33" t="str">
        <f t="shared" si="101"/>
        <v/>
      </c>
      <c r="W461" s="33" t="str">
        <f t="shared" si="102"/>
        <v/>
      </c>
      <c r="X461" s="41" t="str">
        <f>IF($A461="","",IFERROR(MATCH($A461,Comenzi!$A$9:$A$108,0)+8,""))</f>
        <v/>
      </c>
      <c r="Y461" s="41" t="str">
        <f t="shared" si="103"/>
        <v/>
      </c>
      <c r="Z461" s="42" t="str">
        <f>IF($A461="","",IF($A461="?","Lipseste ID-ul comenzii (col. A din PI Furnizor)",IF(NOT(ISNUMBER($X461)),"ID comanda negasit in foaia Comenzi",IF(N($E461)&lt;=0,"Lipseste cantitatea",IF(N($G461)=0,"Pret unitar lipsa",IF($Y461&lt;&gt;1,"Curs sau moneda marfa lipsa (foaia Comenzi)",IF(INDEX(Comenzi!$AT:$AT,$X461)&lt;&gt;"OK","Avertisment comanda: "&amp;INDEX(Comenzi!$AT:$AT,$X461),"OK")))))))</f>
        <v/>
      </c>
      <c r="AA461" s="43" t="str">
        <f>IF(ISNUMBER($X461),INDEX(Comenzi!$H:$H,$X461),"")</f>
        <v/>
      </c>
      <c r="AB461" s="43" t="str">
        <f>IF(ISNUMBER($X461),INDEX(Comenzi!$I:$I,$X461),"")</f>
        <v/>
      </c>
      <c r="AC461" s="44" t="str">
        <f>IF(ISNUMBER($X461),IF(INDEX(Comenzi!$V:$V,$X461)="",Comenzi!$D$3,INDEX(Comenzi!$V:$V,$X461)),"")</f>
        <v/>
      </c>
      <c r="AD461" s="44" t="str">
        <f>IF(ISNUMBER($X461),IF(INDEX(Comenzi!$U:$U,$X461)="",Comenzi!$D$4,INDEX(Comenzi!$U:$U,$X461)),"")</f>
        <v/>
      </c>
      <c r="AE461" s="45" t="str">
        <f>IF($Y461&lt;&gt;1,"",IF(INDEX(Comenzi!$AM:$AM,$X461)="Greutate",INDEX('PI Furnizor'!$O:$O,ROW()-3),IF(INDEX(Comenzi!$AM:$AM,$X461)="Volum (CBM)",INDEX('PI Furnizor'!$Q:$Q,ROW()-3),IF(INDEX(Comenzi!$AM:$AM,$X461)="Valoare marfa",INDEX('PI Furnizor'!$N:$N,ROW()-3),$E461))))</f>
        <v/>
      </c>
    </row>
    <row r="462" spans="1:31" x14ac:dyDescent="0.3">
      <c r="A462" s="28" t="str">
        <f>IF(COUNTA(INDEX('PI Furnizor'!$A:$E,ROW()-3,0))=0,"",IF(INDEX('PI Furnizor'!$A:$A,ROW()-3)="","?",INDEX('PI Furnizor'!$A:$A,ROW()-3)))</f>
        <v/>
      </c>
      <c r="B462" s="29" t="str">
        <f>IF(ISNUMBER($X462),INDEX(Comenzi!$B:$B,$X462),"")</f>
        <v/>
      </c>
      <c r="C462" s="28" t="str">
        <f>IF($A462="","",INDEX('PI Furnizor'!$B:$B,ROW()-3)&amp;"")</f>
        <v/>
      </c>
      <c r="D462" s="28" t="str">
        <f>IF($A462="","",INDEX('PI Furnizor'!$C:$C,ROW()-3)&amp;"")</f>
        <v/>
      </c>
      <c r="E462" s="30" t="str">
        <f>IF($A462="","",N(INDEX('PI Furnizor'!$D:$D,ROW()-3)))</f>
        <v/>
      </c>
      <c r="F462" s="31" t="str">
        <f>IF(ISNUMBER($X462),INDEX(Comenzi!$G:$G,$X462),"")</f>
        <v/>
      </c>
      <c r="G462" s="32" t="str">
        <f>IF($A462="","",N(INDEX('PI Furnizor'!$E:$E,ROW()-3)))</f>
        <v/>
      </c>
      <c r="H462" s="33" t="str">
        <f t="shared" si="91"/>
        <v/>
      </c>
      <c r="I462" s="34" t="str">
        <f>IF($Y462&lt;&gt;1,"",IFERROR($AE462/INDEX(Comenzi!$AN:$AN,$X462),0))</f>
        <v/>
      </c>
      <c r="J462" s="33" t="str">
        <f>IF($Y462&lt;&gt;1,"",INDEX(Comenzi!$AG:$AG,$X462)*$I462/$E462)</f>
        <v/>
      </c>
      <c r="K462" s="33" t="str">
        <f t="shared" si="92"/>
        <v/>
      </c>
      <c r="L462" s="33" t="str">
        <f>IF($Y462&lt;&gt;1,"",$K462*$AD462+INDEX(Comenzi!$AJ:$AJ,$X462)*$I462/$E462)</f>
        <v/>
      </c>
      <c r="M462" s="33" t="str">
        <f t="shared" si="93"/>
        <v/>
      </c>
      <c r="N462" s="33" t="str">
        <f t="shared" si="94"/>
        <v/>
      </c>
      <c r="O462" s="33" t="str">
        <f>IF($Y462&lt;&gt;1,"",(INDEX(Comenzi!$AK:$AK,$X462)+N(INDEX(Comenzi!$T:$T,$X462)))*$I462/$E462)</f>
        <v/>
      </c>
      <c r="P462" s="35" t="str">
        <f t="shared" si="95"/>
        <v/>
      </c>
      <c r="Q462" s="36" t="str">
        <f t="shared" si="96"/>
        <v/>
      </c>
      <c r="R462" s="37" t="str">
        <f t="shared" si="97"/>
        <v/>
      </c>
      <c r="S462" s="38" t="str">
        <f t="shared" si="98"/>
        <v/>
      </c>
      <c r="T462" s="39" t="str">
        <f t="shared" si="99"/>
        <v/>
      </c>
      <c r="U462" s="40" t="str">
        <f t="shared" si="100"/>
        <v/>
      </c>
      <c r="V462" s="33" t="str">
        <f t="shared" si="101"/>
        <v/>
      </c>
      <c r="W462" s="33" t="str">
        <f t="shared" si="102"/>
        <v/>
      </c>
      <c r="X462" s="41" t="str">
        <f>IF($A462="","",IFERROR(MATCH($A462,Comenzi!$A$9:$A$108,0)+8,""))</f>
        <v/>
      </c>
      <c r="Y462" s="41" t="str">
        <f t="shared" si="103"/>
        <v/>
      </c>
      <c r="Z462" s="42" t="str">
        <f>IF($A462="","",IF($A462="?","Lipseste ID-ul comenzii (col. A din PI Furnizor)",IF(NOT(ISNUMBER($X462)),"ID comanda negasit in foaia Comenzi",IF(N($E462)&lt;=0,"Lipseste cantitatea",IF(N($G462)=0,"Pret unitar lipsa",IF($Y462&lt;&gt;1,"Curs sau moneda marfa lipsa (foaia Comenzi)",IF(INDEX(Comenzi!$AT:$AT,$X462)&lt;&gt;"OK","Avertisment comanda: "&amp;INDEX(Comenzi!$AT:$AT,$X462),"OK")))))))</f>
        <v/>
      </c>
      <c r="AA462" s="43" t="str">
        <f>IF(ISNUMBER($X462),INDEX(Comenzi!$H:$H,$X462),"")</f>
        <v/>
      </c>
      <c r="AB462" s="43" t="str">
        <f>IF(ISNUMBER($X462),INDEX(Comenzi!$I:$I,$X462),"")</f>
        <v/>
      </c>
      <c r="AC462" s="44" t="str">
        <f>IF(ISNUMBER($X462),IF(INDEX(Comenzi!$V:$V,$X462)="",Comenzi!$D$3,INDEX(Comenzi!$V:$V,$X462)),"")</f>
        <v/>
      </c>
      <c r="AD462" s="44" t="str">
        <f>IF(ISNUMBER($X462),IF(INDEX(Comenzi!$U:$U,$X462)="",Comenzi!$D$4,INDEX(Comenzi!$U:$U,$X462)),"")</f>
        <v/>
      </c>
      <c r="AE462" s="45" t="str">
        <f>IF($Y462&lt;&gt;1,"",IF(INDEX(Comenzi!$AM:$AM,$X462)="Greutate",INDEX('PI Furnizor'!$O:$O,ROW()-3),IF(INDEX(Comenzi!$AM:$AM,$X462)="Volum (CBM)",INDEX('PI Furnizor'!$Q:$Q,ROW()-3),IF(INDEX(Comenzi!$AM:$AM,$X462)="Valoare marfa",INDEX('PI Furnizor'!$N:$N,ROW()-3),$E462))))</f>
        <v/>
      </c>
    </row>
    <row r="463" spans="1:31" x14ac:dyDescent="0.3">
      <c r="A463" s="28" t="str">
        <f>IF(COUNTA(INDEX('PI Furnizor'!$A:$E,ROW()-3,0))=0,"",IF(INDEX('PI Furnizor'!$A:$A,ROW()-3)="","?",INDEX('PI Furnizor'!$A:$A,ROW()-3)))</f>
        <v/>
      </c>
      <c r="B463" s="29" t="str">
        <f>IF(ISNUMBER($X463),INDEX(Comenzi!$B:$B,$X463),"")</f>
        <v/>
      </c>
      <c r="C463" s="28" t="str">
        <f>IF($A463="","",INDEX('PI Furnizor'!$B:$B,ROW()-3)&amp;"")</f>
        <v/>
      </c>
      <c r="D463" s="28" t="str">
        <f>IF($A463="","",INDEX('PI Furnizor'!$C:$C,ROW()-3)&amp;"")</f>
        <v/>
      </c>
      <c r="E463" s="30" t="str">
        <f>IF($A463="","",N(INDEX('PI Furnizor'!$D:$D,ROW()-3)))</f>
        <v/>
      </c>
      <c r="F463" s="31" t="str">
        <f>IF(ISNUMBER($X463),INDEX(Comenzi!$G:$G,$X463),"")</f>
        <v/>
      </c>
      <c r="G463" s="32" t="str">
        <f>IF($A463="","",N(INDEX('PI Furnizor'!$E:$E,ROW()-3)))</f>
        <v/>
      </c>
      <c r="H463" s="33" t="str">
        <f t="shared" si="91"/>
        <v/>
      </c>
      <c r="I463" s="34" t="str">
        <f>IF($Y463&lt;&gt;1,"",IFERROR($AE463/INDEX(Comenzi!$AN:$AN,$X463),0))</f>
        <v/>
      </c>
      <c r="J463" s="33" t="str">
        <f>IF($Y463&lt;&gt;1,"",INDEX(Comenzi!$AG:$AG,$X463)*$I463/$E463)</f>
        <v/>
      </c>
      <c r="K463" s="33" t="str">
        <f t="shared" si="92"/>
        <v/>
      </c>
      <c r="L463" s="33" t="str">
        <f>IF($Y463&lt;&gt;1,"",$K463*$AD463+INDEX(Comenzi!$AJ:$AJ,$X463)*$I463/$E463)</f>
        <v/>
      </c>
      <c r="M463" s="33" t="str">
        <f t="shared" si="93"/>
        <v/>
      </c>
      <c r="N463" s="33" t="str">
        <f t="shared" si="94"/>
        <v/>
      </c>
      <c r="O463" s="33" t="str">
        <f>IF($Y463&lt;&gt;1,"",(INDEX(Comenzi!$AK:$AK,$X463)+N(INDEX(Comenzi!$T:$T,$X463)))*$I463/$E463)</f>
        <v/>
      </c>
      <c r="P463" s="35" t="str">
        <f t="shared" si="95"/>
        <v/>
      </c>
      <c r="Q463" s="36" t="str">
        <f t="shared" si="96"/>
        <v/>
      </c>
      <c r="R463" s="37" t="str">
        <f t="shared" si="97"/>
        <v/>
      </c>
      <c r="S463" s="38" t="str">
        <f t="shared" si="98"/>
        <v/>
      </c>
      <c r="T463" s="39" t="str">
        <f t="shared" si="99"/>
        <v/>
      </c>
      <c r="U463" s="40" t="str">
        <f t="shared" si="100"/>
        <v/>
      </c>
      <c r="V463" s="33" t="str">
        <f t="shared" si="101"/>
        <v/>
      </c>
      <c r="W463" s="33" t="str">
        <f t="shared" si="102"/>
        <v/>
      </c>
      <c r="X463" s="41" t="str">
        <f>IF($A463="","",IFERROR(MATCH($A463,Comenzi!$A$9:$A$108,0)+8,""))</f>
        <v/>
      </c>
      <c r="Y463" s="41" t="str">
        <f t="shared" si="103"/>
        <v/>
      </c>
      <c r="Z463" s="42" t="str">
        <f>IF($A463="","",IF($A463="?","Lipseste ID-ul comenzii (col. A din PI Furnizor)",IF(NOT(ISNUMBER($X463)),"ID comanda negasit in foaia Comenzi",IF(N($E463)&lt;=0,"Lipseste cantitatea",IF(N($G463)=0,"Pret unitar lipsa",IF($Y463&lt;&gt;1,"Curs sau moneda marfa lipsa (foaia Comenzi)",IF(INDEX(Comenzi!$AT:$AT,$X463)&lt;&gt;"OK","Avertisment comanda: "&amp;INDEX(Comenzi!$AT:$AT,$X463),"OK")))))))</f>
        <v/>
      </c>
      <c r="AA463" s="43" t="str">
        <f>IF(ISNUMBER($X463),INDEX(Comenzi!$H:$H,$X463),"")</f>
        <v/>
      </c>
      <c r="AB463" s="43" t="str">
        <f>IF(ISNUMBER($X463),INDEX(Comenzi!$I:$I,$X463),"")</f>
        <v/>
      </c>
      <c r="AC463" s="44" t="str">
        <f>IF(ISNUMBER($X463),IF(INDEX(Comenzi!$V:$V,$X463)="",Comenzi!$D$3,INDEX(Comenzi!$V:$V,$X463)),"")</f>
        <v/>
      </c>
      <c r="AD463" s="44" t="str">
        <f>IF(ISNUMBER($X463),IF(INDEX(Comenzi!$U:$U,$X463)="",Comenzi!$D$4,INDEX(Comenzi!$U:$U,$X463)),"")</f>
        <v/>
      </c>
      <c r="AE463" s="45" t="str">
        <f>IF($Y463&lt;&gt;1,"",IF(INDEX(Comenzi!$AM:$AM,$X463)="Greutate",INDEX('PI Furnizor'!$O:$O,ROW()-3),IF(INDEX(Comenzi!$AM:$AM,$X463)="Volum (CBM)",INDEX('PI Furnizor'!$Q:$Q,ROW()-3),IF(INDEX(Comenzi!$AM:$AM,$X463)="Valoare marfa",INDEX('PI Furnizor'!$N:$N,ROW()-3),$E463))))</f>
        <v/>
      </c>
    </row>
    <row r="464" spans="1:31" x14ac:dyDescent="0.3">
      <c r="A464" s="28" t="str">
        <f>IF(COUNTA(INDEX('PI Furnizor'!$A:$E,ROW()-3,0))=0,"",IF(INDEX('PI Furnizor'!$A:$A,ROW()-3)="","?",INDEX('PI Furnizor'!$A:$A,ROW()-3)))</f>
        <v/>
      </c>
      <c r="B464" s="29" t="str">
        <f>IF(ISNUMBER($X464),INDEX(Comenzi!$B:$B,$X464),"")</f>
        <v/>
      </c>
      <c r="C464" s="28" t="str">
        <f>IF($A464="","",INDEX('PI Furnizor'!$B:$B,ROW()-3)&amp;"")</f>
        <v/>
      </c>
      <c r="D464" s="28" t="str">
        <f>IF($A464="","",INDEX('PI Furnizor'!$C:$C,ROW()-3)&amp;"")</f>
        <v/>
      </c>
      <c r="E464" s="30" t="str">
        <f>IF($A464="","",N(INDEX('PI Furnizor'!$D:$D,ROW()-3)))</f>
        <v/>
      </c>
      <c r="F464" s="31" t="str">
        <f>IF(ISNUMBER($X464),INDEX(Comenzi!$G:$G,$X464),"")</f>
        <v/>
      </c>
      <c r="G464" s="32" t="str">
        <f>IF($A464="","",N(INDEX('PI Furnizor'!$E:$E,ROW()-3)))</f>
        <v/>
      </c>
      <c r="H464" s="33" t="str">
        <f t="shared" si="91"/>
        <v/>
      </c>
      <c r="I464" s="34" t="str">
        <f>IF($Y464&lt;&gt;1,"",IFERROR($AE464/INDEX(Comenzi!$AN:$AN,$X464),0))</f>
        <v/>
      </c>
      <c r="J464" s="33" t="str">
        <f>IF($Y464&lt;&gt;1,"",INDEX(Comenzi!$AG:$AG,$X464)*$I464/$E464)</f>
        <v/>
      </c>
      <c r="K464" s="33" t="str">
        <f t="shared" si="92"/>
        <v/>
      </c>
      <c r="L464" s="33" t="str">
        <f>IF($Y464&lt;&gt;1,"",$K464*$AD464+INDEX(Comenzi!$AJ:$AJ,$X464)*$I464/$E464)</f>
        <v/>
      </c>
      <c r="M464" s="33" t="str">
        <f t="shared" si="93"/>
        <v/>
      </c>
      <c r="N464" s="33" t="str">
        <f t="shared" si="94"/>
        <v/>
      </c>
      <c r="O464" s="33" t="str">
        <f>IF($Y464&lt;&gt;1,"",(INDEX(Comenzi!$AK:$AK,$X464)+N(INDEX(Comenzi!$T:$T,$X464)))*$I464/$E464)</f>
        <v/>
      </c>
      <c r="P464" s="35" t="str">
        <f t="shared" si="95"/>
        <v/>
      </c>
      <c r="Q464" s="36" t="str">
        <f t="shared" si="96"/>
        <v/>
      </c>
      <c r="R464" s="37" t="str">
        <f t="shared" si="97"/>
        <v/>
      </c>
      <c r="S464" s="38" t="str">
        <f t="shared" si="98"/>
        <v/>
      </c>
      <c r="T464" s="39" t="str">
        <f t="shared" si="99"/>
        <v/>
      </c>
      <c r="U464" s="40" t="str">
        <f t="shared" si="100"/>
        <v/>
      </c>
      <c r="V464" s="33" t="str">
        <f t="shared" si="101"/>
        <v/>
      </c>
      <c r="W464" s="33" t="str">
        <f t="shared" si="102"/>
        <v/>
      </c>
      <c r="X464" s="41" t="str">
        <f>IF($A464="","",IFERROR(MATCH($A464,Comenzi!$A$9:$A$108,0)+8,""))</f>
        <v/>
      </c>
      <c r="Y464" s="41" t="str">
        <f t="shared" si="103"/>
        <v/>
      </c>
      <c r="Z464" s="42" t="str">
        <f>IF($A464="","",IF($A464="?","Lipseste ID-ul comenzii (col. A din PI Furnizor)",IF(NOT(ISNUMBER($X464)),"ID comanda negasit in foaia Comenzi",IF(N($E464)&lt;=0,"Lipseste cantitatea",IF(N($G464)=0,"Pret unitar lipsa",IF($Y464&lt;&gt;1,"Curs sau moneda marfa lipsa (foaia Comenzi)",IF(INDEX(Comenzi!$AT:$AT,$X464)&lt;&gt;"OK","Avertisment comanda: "&amp;INDEX(Comenzi!$AT:$AT,$X464),"OK")))))))</f>
        <v/>
      </c>
      <c r="AA464" s="43" t="str">
        <f>IF(ISNUMBER($X464),INDEX(Comenzi!$H:$H,$X464),"")</f>
        <v/>
      </c>
      <c r="AB464" s="43" t="str">
        <f>IF(ISNUMBER($X464),INDEX(Comenzi!$I:$I,$X464),"")</f>
        <v/>
      </c>
      <c r="AC464" s="44" t="str">
        <f>IF(ISNUMBER($X464),IF(INDEX(Comenzi!$V:$V,$X464)="",Comenzi!$D$3,INDEX(Comenzi!$V:$V,$X464)),"")</f>
        <v/>
      </c>
      <c r="AD464" s="44" t="str">
        <f>IF(ISNUMBER($X464),IF(INDEX(Comenzi!$U:$U,$X464)="",Comenzi!$D$4,INDEX(Comenzi!$U:$U,$X464)),"")</f>
        <v/>
      </c>
      <c r="AE464" s="45" t="str">
        <f>IF($Y464&lt;&gt;1,"",IF(INDEX(Comenzi!$AM:$AM,$X464)="Greutate",INDEX('PI Furnizor'!$O:$O,ROW()-3),IF(INDEX(Comenzi!$AM:$AM,$X464)="Volum (CBM)",INDEX('PI Furnizor'!$Q:$Q,ROW()-3),IF(INDEX(Comenzi!$AM:$AM,$X464)="Valoare marfa",INDEX('PI Furnizor'!$N:$N,ROW()-3),$E464))))</f>
        <v/>
      </c>
    </row>
    <row r="465" spans="1:31" x14ac:dyDescent="0.3">
      <c r="A465" s="28" t="str">
        <f>IF(COUNTA(INDEX('PI Furnizor'!$A:$E,ROW()-3,0))=0,"",IF(INDEX('PI Furnizor'!$A:$A,ROW()-3)="","?",INDEX('PI Furnizor'!$A:$A,ROW()-3)))</f>
        <v/>
      </c>
      <c r="B465" s="29" t="str">
        <f>IF(ISNUMBER($X465),INDEX(Comenzi!$B:$B,$X465),"")</f>
        <v/>
      </c>
      <c r="C465" s="28" t="str">
        <f>IF($A465="","",INDEX('PI Furnizor'!$B:$B,ROW()-3)&amp;"")</f>
        <v/>
      </c>
      <c r="D465" s="28" t="str">
        <f>IF($A465="","",INDEX('PI Furnizor'!$C:$C,ROW()-3)&amp;"")</f>
        <v/>
      </c>
      <c r="E465" s="30" t="str">
        <f>IF($A465="","",N(INDEX('PI Furnizor'!$D:$D,ROW()-3)))</f>
        <v/>
      </c>
      <c r="F465" s="31" t="str">
        <f>IF(ISNUMBER($X465),INDEX(Comenzi!$G:$G,$X465),"")</f>
        <v/>
      </c>
      <c r="G465" s="32" t="str">
        <f>IF($A465="","",N(INDEX('PI Furnizor'!$E:$E,ROW()-3)))</f>
        <v/>
      </c>
      <c r="H465" s="33" t="str">
        <f t="shared" si="91"/>
        <v/>
      </c>
      <c r="I465" s="34" t="str">
        <f>IF($Y465&lt;&gt;1,"",IFERROR($AE465/INDEX(Comenzi!$AN:$AN,$X465),0))</f>
        <v/>
      </c>
      <c r="J465" s="33" t="str">
        <f>IF($Y465&lt;&gt;1,"",INDEX(Comenzi!$AG:$AG,$X465)*$I465/$E465)</f>
        <v/>
      </c>
      <c r="K465" s="33" t="str">
        <f t="shared" si="92"/>
        <v/>
      </c>
      <c r="L465" s="33" t="str">
        <f>IF($Y465&lt;&gt;1,"",$K465*$AD465+INDEX(Comenzi!$AJ:$AJ,$X465)*$I465/$E465)</f>
        <v/>
      </c>
      <c r="M465" s="33" t="str">
        <f t="shared" si="93"/>
        <v/>
      </c>
      <c r="N465" s="33" t="str">
        <f t="shared" si="94"/>
        <v/>
      </c>
      <c r="O465" s="33" t="str">
        <f>IF($Y465&lt;&gt;1,"",(INDEX(Comenzi!$AK:$AK,$X465)+N(INDEX(Comenzi!$T:$T,$X465)))*$I465/$E465)</f>
        <v/>
      </c>
      <c r="P465" s="35" t="str">
        <f t="shared" si="95"/>
        <v/>
      </c>
      <c r="Q465" s="36" t="str">
        <f t="shared" si="96"/>
        <v/>
      </c>
      <c r="R465" s="37" t="str">
        <f t="shared" si="97"/>
        <v/>
      </c>
      <c r="S465" s="38" t="str">
        <f t="shared" si="98"/>
        <v/>
      </c>
      <c r="T465" s="39" t="str">
        <f t="shared" si="99"/>
        <v/>
      </c>
      <c r="U465" s="40" t="str">
        <f t="shared" si="100"/>
        <v/>
      </c>
      <c r="V465" s="33" t="str">
        <f t="shared" si="101"/>
        <v/>
      </c>
      <c r="W465" s="33" t="str">
        <f t="shared" si="102"/>
        <v/>
      </c>
      <c r="X465" s="41" t="str">
        <f>IF($A465="","",IFERROR(MATCH($A465,Comenzi!$A$9:$A$108,0)+8,""))</f>
        <v/>
      </c>
      <c r="Y465" s="41" t="str">
        <f t="shared" si="103"/>
        <v/>
      </c>
      <c r="Z465" s="42" t="str">
        <f>IF($A465="","",IF($A465="?","Lipseste ID-ul comenzii (col. A din PI Furnizor)",IF(NOT(ISNUMBER($X465)),"ID comanda negasit in foaia Comenzi",IF(N($E465)&lt;=0,"Lipseste cantitatea",IF(N($G465)=0,"Pret unitar lipsa",IF($Y465&lt;&gt;1,"Curs sau moneda marfa lipsa (foaia Comenzi)",IF(INDEX(Comenzi!$AT:$AT,$X465)&lt;&gt;"OK","Avertisment comanda: "&amp;INDEX(Comenzi!$AT:$AT,$X465),"OK")))))))</f>
        <v/>
      </c>
      <c r="AA465" s="43" t="str">
        <f>IF(ISNUMBER($X465),INDEX(Comenzi!$H:$H,$X465),"")</f>
        <v/>
      </c>
      <c r="AB465" s="43" t="str">
        <f>IF(ISNUMBER($X465),INDEX(Comenzi!$I:$I,$X465),"")</f>
        <v/>
      </c>
      <c r="AC465" s="44" t="str">
        <f>IF(ISNUMBER($X465),IF(INDEX(Comenzi!$V:$V,$X465)="",Comenzi!$D$3,INDEX(Comenzi!$V:$V,$X465)),"")</f>
        <v/>
      </c>
      <c r="AD465" s="44" t="str">
        <f>IF(ISNUMBER($X465),IF(INDEX(Comenzi!$U:$U,$X465)="",Comenzi!$D$4,INDEX(Comenzi!$U:$U,$X465)),"")</f>
        <v/>
      </c>
      <c r="AE465" s="45" t="str">
        <f>IF($Y465&lt;&gt;1,"",IF(INDEX(Comenzi!$AM:$AM,$X465)="Greutate",INDEX('PI Furnizor'!$O:$O,ROW()-3),IF(INDEX(Comenzi!$AM:$AM,$X465)="Volum (CBM)",INDEX('PI Furnizor'!$Q:$Q,ROW()-3),IF(INDEX(Comenzi!$AM:$AM,$X465)="Valoare marfa",INDEX('PI Furnizor'!$N:$N,ROW()-3),$E465))))</f>
        <v/>
      </c>
    </row>
    <row r="466" spans="1:31" x14ac:dyDescent="0.3">
      <c r="A466" s="28" t="str">
        <f>IF(COUNTA(INDEX('PI Furnizor'!$A:$E,ROW()-3,0))=0,"",IF(INDEX('PI Furnizor'!$A:$A,ROW()-3)="","?",INDEX('PI Furnizor'!$A:$A,ROW()-3)))</f>
        <v/>
      </c>
      <c r="B466" s="29" t="str">
        <f>IF(ISNUMBER($X466),INDEX(Comenzi!$B:$B,$X466),"")</f>
        <v/>
      </c>
      <c r="C466" s="28" t="str">
        <f>IF($A466="","",INDEX('PI Furnizor'!$B:$B,ROW()-3)&amp;"")</f>
        <v/>
      </c>
      <c r="D466" s="28" t="str">
        <f>IF($A466="","",INDEX('PI Furnizor'!$C:$C,ROW()-3)&amp;"")</f>
        <v/>
      </c>
      <c r="E466" s="30" t="str">
        <f>IF($A466="","",N(INDEX('PI Furnizor'!$D:$D,ROW()-3)))</f>
        <v/>
      </c>
      <c r="F466" s="31" t="str">
        <f>IF(ISNUMBER($X466),INDEX(Comenzi!$G:$G,$X466),"")</f>
        <v/>
      </c>
      <c r="G466" s="32" t="str">
        <f>IF($A466="","",N(INDEX('PI Furnizor'!$E:$E,ROW()-3)))</f>
        <v/>
      </c>
      <c r="H466" s="33" t="str">
        <f t="shared" si="91"/>
        <v/>
      </c>
      <c r="I466" s="34" t="str">
        <f>IF($Y466&lt;&gt;1,"",IFERROR($AE466/INDEX(Comenzi!$AN:$AN,$X466),0))</f>
        <v/>
      </c>
      <c r="J466" s="33" t="str">
        <f>IF($Y466&lt;&gt;1,"",INDEX(Comenzi!$AG:$AG,$X466)*$I466/$E466)</f>
        <v/>
      </c>
      <c r="K466" s="33" t="str">
        <f t="shared" si="92"/>
        <v/>
      </c>
      <c r="L466" s="33" t="str">
        <f>IF($Y466&lt;&gt;1,"",$K466*$AD466+INDEX(Comenzi!$AJ:$AJ,$X466)*$I466/$E466)</f>
        <v/>
      </c>
      <c r="M466" s="33" t="str">
        <f t="shared" si="93"/>
        <v/>
      </c>
      <c r="N466" s="33" t="str">
        <f t="shared" si="94"/>
        <v/>
      </c>
      <c r="O466" s="33" t="str">
        <f>IF($Y466&lt;&gt;1,"",(INDEX(Comenzi!$AK:$AK,$X466)+N(INDEX(Comenzi!$T:$T,$X466)))*$I466/$E466)</f>
        <v/>
      </c>
      <c r="P466" s="35" t="str">
        <f t="shared" si="95"/>
        <v/>
      </c>
      <c r="Q466" s="36" t="str">
        <f t="shared" si="96"/>
        <v/>
      </c>
      <c r="R466" s="37" t="str">
        <f t="shared" si="97"/>
        <v/>
      </c>
      <c r="S466" s="38" t="str">
        <f t="shared" si="98"/>
        <v/>
      </c>
      <c r="T466" s="39" t="str">
        <f t="shared" si="99"/>
        <v/>
      </c>
      <c r="U466" s="40" t="str">
        <f t="shared" si="100"/>
        <v/>
      </c>
      <c r="V466" s="33" t="str">
        <f t="shared" si="101"/>
        <v/>
      </c>
      <c r="W466" s="33" t="str">
        <f t="shared" si="102"/>
        <v/>
      </c>
      <c r="X466" s="41" t="str">
        <f>IF($A466="","",IFERROR(MATCH($A466,Comenzi!$A$9:$A$108,0)+8,""))</f>
        <v/>
      </c>
      <c r="Y466" s="41" t="str">
        <f t="shared" si="103"/>
        <v/>
      </c>
      <c r="Z466" s="42" t="str">
        <f>IF($A466="","",IF($A466="?","Lipseste ID-ul comenzii (col. A din PI Furnizor)",IF(NOT(ISNUMBER($X466)),"ID comanda negasit in foaia Comenzi",IF(N($E466)&lt;=0,"Lipseste cantitatea",IF(N($G466)=0,"Pret unitar lipsa",IF($Y466&lt;&gt;1,"Curs sau moneda marfa lipsa (foaia Comenzi)",IF(INDEX(Comenzi!$AT:$AT,$X466)&lt;&gt;"OK","Avertisment comanda: "&amp;INDEX(Comenzi!$AT:$AT,$X466),"OK")))))))</f>
        <v/>
      </c>
      <c r="AA466" s="43" t="str">
        <f>IF(ISNUMBER($X466),INDEX(Comenzi!$H:$H,$X466),"")</f>
        <v/>
      </c>
      <c r="AB466" s="43" t="str">
        <f>IF(ISNUMBER($X466),INDEX(Comenzi!$I:$I,$X466),"")</f>
        <v/>
      </c>
      <c r="AC466" s="44" t="str">
        <f>IF(ISNUMBER($X466),IF(INDEX(Comenzi!$V:$V,$X466)="",Comenzi!$D$3,INDEX(Comenzi!$V:$V,$X466)),"")</f>
        <v/>
      </c>
      <c r="AD466" s="44" t="str">
        <f>IF(ISNUMBER($X466),IF(INDEX(Comenzi!$U:$U,$X466)="",Comenzi!$D$4,INDEX(Comenzi!$U:$U,$X466)),"")</f>
        <v/>
      </c>
      <c r="AE466" s="45" t="str">
        <f>IF($Y466&lt;&gt;1,"",IF(INDEX(Comenzi!$AM:$AM,$X466)="Greutate",INDEX('PI Furnizor'!$O:$O,ROW()-3),IF(INDEX(Comenzi!$AM:$AM,$X466)="Volum (CBM)",INDEX('PI Furnizor'!$Q:$Q,ROW()-3),IF(INDEX(Comenzi!$AM:$AM,$X466)="Valoare marfa",INDEX('PI Furnizor'!$N:$N,ROW()-3),$E466))))</f>
        <v/>
      </c>
    </row>
    <row r="467" spans="1:31" x14ac:dyDescent="0.3">
      <c r="A467" s="28" t="str">
        <f>IF(COUNTA(INDEX('PI Furnizor'!$A:$E,ROW()-3,0))=0,"",IF(INDEX('PI Furnizor'!$A:$A,ROW()-3)="","?",INDEX('PI Furnizor'!$A:$A,ROW()-3)))</f>
        <v/>
      </c>
      <c r="B467" s="29" t="str">
        <f>IF(ISNUMBER($X467),INDEX(Comenzi!$B:$B,$X467),"")</f>
        <v/>
      </c>
      <c r="C467" s="28" t="str">
        <f>IF($A467="","",INDEX('PI Furnizor'!$B:$B,ROW()-3)&amp;"")</f>
        <v/>
      </c>
      <c r="D467" s="28" t="str">
        <f>IF($A467="","",INDEX('PI Furnizor'!$C:$C,ROW()-3)&amp;"")</f>
        <v/>
      </c>
      <c r="E467" s="30" t="str">
        <f>IF($A467="","",N(INDEX('PI Furnizor'!$D:$D,ROW()-3)))</f>
        <v/>
      </c>
      <c r="F467" s="31" t="str">
        <f>IF(ISNUMBER($X467),INDEX(Comenzi!$G:$G,$X467),"")</f>
        <v/>
      </c>
      <c r="G467" s="32" t="str">
        <f>IF($A467="","",N(INDEX('PI Furnizor'!$E:$E,ROW()-3)))</f>
        <v/>
      </c>
      <c r="H467" s="33" t="str">
        <f t="shared" si="91"/>
        <v/>
      </c>
      <c r="I467" s="34" t="str">
        <f>IF($Y467&lt;&gt;1,"",IFERROR($AE467/INDEX(Comenzi!$AN:$AN,$X467),0))</f>
        <v/>
      </c>
      <c r="J467" s="33" t="str">
        <f>IF($Y467&lt;&gt;1,"",INDEX(Comenzi!$AG:$AG,$X467)*$I467/$E467)</f>
        <v/>
      </c>
      <c r="K467" s="33" t="str">
        <f t="shared" si="92"/>
        <v/>
      </c>
      <c r="L467" s="33" t="str">
        <f>IF($Y467&lt;&gt;1,"",$K467*$AD467+INDEX(Comenzi!$AJ:$AJ,$X467)*$I467/$E467)</f>
        <v/>
      </c>
      <c r="M467" s="33" t="str">
        <f t="shared" si="93"/>
        <v/>
      </c>
      <c r="N467" s="33" t="str">
        <f t="shared" si="94"/>
        <v/>
      </c>
      <c r="O467" s="33" t="str">
        <f>IF($Y467&lt;&gt;1,"",(INDEX(Comenzi!$AK:$AK,$X467)+N(INDEX(Comenzi!$T:$T,$X467)))*$I467/$E467)</f>
        <v/>
      </c>
      <c r="P467" s="35" t="str">
        <f t="shared" si="95"/>
        <v/>
      </c>
      <c r="Q467" s="36" t="str">
        <f t="shared" si="96"/>
        <v/>
      </c>
      <c r="R467" s="37" t="str">
        <f t="shared" si="97"/>
        <v/>
      </c>
      <c r="S467" s="38" t="str">
        <f t="shared" si="98"/>
        <v/>
      </c>
      <c r="T467" s="39" t="str">
        <f t="shared" si="99"/>
        <v/>
      </c>
      <c r="U467" s="40" t="str">
        <f t="shared" si="100"/>
        <v/>
      </c>
      <c r="V467" s="33" t="str">
        <f t="shared" si="101"/>
        <v/>
      </c>
      <c r="W467" s="33" t="str">
        <f t="shared" si="102"/>
        <v/>
      </c>
      <c r="X467" s="41" t="str">
        <f>IF($A467="","",IFERROR(MATCH($A467,Comenzi!$A$9:$A$108,0)+8,""))</f>
        <v/>
      </c>
      <c r="Y467" s="41" t="str">
        <f t="shared" si="103"/>
        <v/>
      </c>
      <c r="Z467" s="42" t="str">
        <f>IF($A467="","",IF($A467="?","Lipseste ID-ul comenzii (col. A din PI Furnizor)",IF(NOT(ISNUMBER($X467)),"ID comanda negasit in foaia Comenzi",IF(N($E467)&lt;=0,"Lipseste cantitatea",IF(N($G467)=0,"Pret unitar lipsa",IF($Y467&lt;&gt;1,"Curs sau moneda marfa lipsa (foaia Comenzi)",IF(INDEX(Comenzi!$AT:$AT,$X467)&lt;&gt;"OK","Avertisment comanda: "&amp;INDEX(Comenzi!$AT:$AT,$X467),"OK")))))))</f>
        <v/>
      </c>
      <c r="AA467" s="43" t="str">
        <f>IF(ISNUMBER($X467),INDEX(Comenzi!$H:$H,$X467),"")</f>
        <v/>
      </c>
      <c r="AB467" s="43" t="str">
        <f>IF(ISNUMBER($X467),INDEX(Comenzi!$I:$I,$X467),"")</f>
        <v/>
      </c>
      <c r="AC467" s="44" t="str">
        <f>IF(ISNUMBER($X467),IF(INDEX(Comenzi!$V:$V,$X467)="",Comenzi!$D$3,INDEX(Comenzi!$V:$V,$X467)),"")</f>
        <v/>
      </c>
      <c r="AD467" s="44" t="str">
        <f>IF(ISNUMBER($X467),IF(INDEX(Comenzi!$U:$U,$X467)="",Comenzi!$D$4,INDEX(Comenzi!$U:$U,$X467)),"")</f>
        <v/>
      </c>
      <c r="AE467" s="45" t="str">
        <f>IF($Y467&lt;&gt;1,"",IF(INDEX(Comenzi!$AM:$AM,$X467)="Greutate",INDEX('PI Furnizor'!$O:$O,ROW()-3),IF(INDEX(Comenzi!$AM:$AM,$X467)="Volum (CBM)",INDEX('PI Furnizor'!$Q:$Q,ROW()-3),IF(INDEX(Comenzi!$AM:$AM,$X467)="Valoare marfa",INDEX('PI Furnizor'!$N:$N,ROW()-3),$E467))))</f>
        <v/>
      </c>
    </row>
    <row r="468" spans="1:31" x14ac:dyDescent="0.3">
      <c r="A468" s="28" t="str">
        <f>IF(COUNTA(INDEX('PI Furnizor'!$A:$E,ROW()-3,0))=0,"",IF(INDEX('PI Furnizor'!$A:$A,ROW()-3)="","?",INDEX('PI Furnizor'!$A:$A,ROW()-3)))</f>
        <v/>
      </c>
      <c r="B468" s="29" t="str">
        <f>IF(ISNUMBER($X468),INDEX(Comenzi!$B:$B,$X468),"")</f>
        <v/>
      </c>
      <c r="C468" s="28" t="str">
        <f>IF($A468="","",INDEX('PI Furnizor'!$B:$B,ROW()-3)&amp;"")</f>
        <v/>
      </c>
      <c r="D468" s="28" t="str">
        <f>IF($A468="","",INDEX('PI Furnizor'!$C:$C,ROW()-3)&amp;"")</f>
        <v/>
      </c>
      <c r="E468" s="30" t="str">
        <f>IF($A468="","",N(INDEX('PI Furnizor'!$D:$D,ROW()-3)))</f>
        <v/>
      </c>
      <c r="F468" s="31" t="str">
        <f>IF(ISNUMBER($X468),INDEX(Comenzi!$G:$G,$X468),"")</f>
        <v/>
      </c>
      <c r="G468" s="32" t="str">
        <f>IF($A468="","",N(INDEX('PI Furnizor'!$E:$E,ROW()-3)))</f>
        <v/>
      </c>
      <c r="H468" s="33" t="str">
        <f t="shared" si="91"/>
        <v/>
      </c>
      <c r="I468" s="34" t="str">
        <f>IF($Y468&lt;&gt;1,"",IFERROR($AE468/INDEX(Comenzi!$AN:$AN,$X468),0))</f>
        <v/>
      </c>
      <c r="J468" s="33" t="str">
        <f>IF($Y468&lt;&gt;1,"",INDEX(Comenzi!$AG:$AG,$X468)*$I468/$E468)</f>
        <v/>
      </c>
      <c r="K468" s="33" t="str">
        <f t="shared" si="92"/>
        <v/>
      </c>
      <c r="L468" s="33" t="str">
        <f>IF($Y468&lt;&gt;1,"",$K468*$AD468+INDEX(Comenzi!$AJ:$AJ,$X468)*$I468/$E468)</f>
        <v/>
      </c>
      <c r="M468" s="33" t="str">
        <f t="shared" si="93"/>
        <v/>
      </c>
      <c r="N468" s="33" t="str">
        <f t="shared" si="94"/>
        <v/>
      </c>
      <c r="O468" s="33" t="str">
        <f>IF($Y468&lt;&gt;1,"",(INDEX(Comenzi!$AK:$AK,$X468)+N(INDEX(Comenzi!$T:$T,$X468)))*$I468/$E468)</f>
        <v/>
      </c>
      <c r="P468" s="35" t="str">
        <f t="shared" si="95"/>
        <v/>
      </c>
      <c r="Q468" s="36" t="str">
        <f t="shared" si="96"/>
        <v/>
      </c>
      <c r="R468" s="37" t="str">
        <f t="shared" si="97"/>
        <v/>
      </c>
      <c r="S468" s="38" t="str">
        <f t="shared" si="98"/>
        <v/>
      </c>
      <c r="T468" s="39" t="str">
        <f t="shared" si="99"/>
        <v/>
      </c>
      <c r="U468" s="40" t="str">
        <f t="shared" si="100"/>
        <v/>
      </c>
      <c r="V468" s="33" t="str">
        <f t="shared" si="101"/>
        <v/>
      </c>
      <c r="W468" s="33" t="str">
        <f t="shared" si="102"/>
        <v/>
      </c>
      <c r="X468" s="41" t="str">
        <f>IF($A468="","",IFERROR(MATCH($A468,Comenzi!$A$9:$A$108,0)+8,""))</f>
        <v/>
      </c>
      <c r="Y468" s="41" t="str">
        <f t="shared" si="103"/>
        <v/>
      </c>
      <c r="Z468" s="42" t="str">
        <f>IF($A468="","",IF($A468="?","Lipseste ID-ul comenzii (col. A din PI Furnizor)",IF(NOT(ISNUMBER($X468)),"ID comanda negasit in foaia Comenzi",IF(N($E468)&lt;=0,"Lipseste cantitatea",IF(N($G468)=0,"Pret unitar lipsa",IF($Y468&lt;&gt;1,"Curs sau moneda marfa lipsa (foaia Comenzi)",IF(INDEX(Comenzi!$AT:$AT,$X468)&lt;&gt;"OK","Avertisment comanda: "&amp;INDEX(Comenzi!$AT:$AT,$X468),"OK")))))))</f>
        <v/>
      </c>
      <c r="AA468" s="43" t="str">
        <f>IF(ISNUMBER($X468),INDEX(Comenzi!$H:$H,$X468),"")</f>
        <v/>
      </c>
      <c r="AB468" s="43" t="str">
        <f>IF(ISNUMBER($X468),INDEX(Comenzi!$I:$I,$X468),"")</f>
        <v/>
      </c>
      <c r="AC468" s="44" t="str">
        <f>IF(ISNUMBER($X468),IF(INDEX(Comenzi!$V:$V,$X468)="",Comenzi!$D$3,INDEX(Comenzi!$V:$V,$X468)),"")</f>
        <v/>
      </c>
      <c r="AD468" s="44" t="str">
        <f>IF(ISNUMBER($X468),IF(INDEX(Comenzi!$U:$U,$X468)="",Comenzi!$D$4,INDEX(Comenzi!$U:$U,$X468)),"")</f>
        <v/>
      </c>
      <c r="AE468" s="45" t="str">
        <f>IF($Y468&lt;&gt;1,"",IF(INDEX(Comenzi!$AM:$AM,$X468)="Greutate",INDEX('PI Furnizor'!$O:$O,ROW()-3),IF(INDEX(Comenzi!$AM:$AM,$X468)="Volum (CBM)",INDEX('PI Furnizor'!$Q:$Q,ROW()-3),IF(INDEX(Comenzi!$AM:$AM,$X468)="Valoare marfa",INDEX('PI Furnizor'!$N:$N,ROW()-3),$E468))))</f>
        <v/>
      </c>
    </row>
    <row r="469" spans="1:31" x14ac:dyDescent="0.3">
      <c r="A469" s="28" t="str">
        <f>IF(COUNTA(INDEX('PI Furnizor'!$A:$E,ROW()-3,0))=0,"",IF(INDEX('PI Furnizor'!$A:$A,ROW()-3)="","?",INDEX('PI Furnizor'!$A:$A,ROW()-3)))</f>
        <v/>
      </c>
      <c r="B469" s="29" t="str">
        <f>IF(ISNUMBER($X469),INDEX(Comenzi!$B:$B,$X469),"")</f>
        <v/>
      </c>
      <c r="C469" s="28" t="str">
        <f>IF($A469="","",INDEX('PI Furnizor'!$B:$B,ROW()-3)&amp;"")</f>
        <v/>
      </c>
      <c r="D469" s="28" t="str">
        <f>IF($A469="","",INDEX('PI Furnizor'!$C:$C,ROW()-3)&amp;"")</f>
        <v/>
      </c>
      <c r="E469" s="30" t="str">
        <f>IF($A469="","",N(INDEX('PI Furnizor'!$D:$D,ROW()-3)))</f>
        <v/>
      </c>
      <c r="F469" s="31" t="str">
        <f>IF(ISNUMBER($X469),INDEX(Comenzi!$G:$G,$X469),"")</f>
        <v/>
      </c>
      <c r="G469" s="32" t="str">
        <f>IF($A469="","",N(INDEX('PI Furnizor'!$E:$E,ROW()-3)))</f>
        <v/>
      </c>
      <c r="H469" s="33" t="str">
        <f t="shared" si="91"/>
        <v/>
      </c>
      <c r="I469" s="34" t="str">
        <f>IF($Y469&lt;&gt;1,"",IFERROR($AE469/INDEX(Comenzi!$AN:$AN,$X469),0))</f>
        <v/>
      </c>
      <c r="J469" s="33" t="str">
        <f>IF($Y469&lt;&gt;1,"",INDEX(Comenzi!$AG:$AG,$X469)*$I469/$E469)</f>
        <v/>
      </c>
      <c r="K469" s="33" t="str">
        <f t="shared" si="92"/>
        <v/>
      </c>
      <c r="L469" s="33" t="str">
        <f>IF($Y469&lt;&gt;1,"",$K469*$AD469+INDEX(Comenzi!$AJ:$AJ,$X469)*$I469/$E469)</f>
        <v/>
      </c>
      <c r="M469" s="33" t="str">
        <f t="shared" si="93"/>
        <v/>
      </c>
      <c r="N469" s="33" t="str">
        <f t="shared" si="94"/>
        <v/>
      </c>
      <c r="O469" s="33" t="str">
        <f>IF($Y469&lt;&gt;1,"",(INDEX(Comenzi!$AK:$AK,$X469)+N(INDEX(Comenzi!$T:$T,$X469)))*$I469/$E469)</f>
        <v/>
      </c>
      <c r="P469" s="35" t="str">
        <f t="shared" si="95"/>
        <v/>
      </c>
      <c r="Q469" s="36" t="str">
        <f t="shared" si="96"/>
        <v/>
      </c>
      <c r="R469" s="37" t="str">
        <f t="shared" si="97"/>
        <v/>
      </c>
      <c r="S469" s="38" t="str">
        <f t="shared" si="98"/>
        <v/>
      </c>
      <c r="T469" s="39" t="str">
        <f t="shared" si="99"/>
        <v/>
      </c>
      <c r="U469" s="40" t="str">
        <f t="shared" si="100"/>
        <v/>
      </c>
      <c r="V469" s="33" t="str">
        <f t="shared" si="101"/>
        <v/>
      </c>
      <c r="W469" s="33" t="str">
        <f t="shared" si="102"/>
        <v/>
      </c>
      <c r="X469" s="41" t="str">
        <f>IF($A469="","",IFERROR(MATCH($A469,Comenzi!$A$9:$A$108,0)+8,""))</f>
        <v/>
      </c>
      <c r="Y469" s="41" t="str">
        <f t="shared" si="103"/>
        <v/>
      </c>
      <c r="Z469" s="42" t="str">
        <f>IF($A469="","",IF($A469="?","Lipseste ID-ul comenzii (col. A din PI Furnizor)",IF(NOT(ISNUMBER($X469)),"ID comanda negasit in foaia Comenzi",IF(N($E469)&lt;=0,"Lipseste cantitatea",IF(N($G469)=0,"Pret unitar lipsa",IF($Y469&lt;&gt;1,"Curs sau moneda marfa lipsa (foaia Comenzi)",IF(INDEX(Comenzi!$AT:$AT,$X469)&lt;&gt;"OK","Avertisment comanda: "&amp;INDEX(Comenzi!$AT:$AT,$X469),"OK")))))))</f>
        <v/>
      </c>
      <c r="AA469" s="43" t="str">
        <f>IF(ISNUMBER($X469),INDEX(Comenzi!$H:$H,$X469),"")</f>
        <v/>
      </c>
      <c r="AB469" s="43" t="str">
        <f>IF(ISNUMBER($X469),INDEX(Comenzi!$I:$I,$X469),"")</f>
        <v/>
      </c>
      <c r="AC469" s="44" t="str">
        <f>IF(ISNUMBER($X469),IF(INDEX(Comenzi!$V:$V,$X469)="",Comenzi!$D$3,INDEX(Comenzi!$V:$V,$X469)),"")</f>
        <v/>
      </c>
      <c r="AD469" s="44" t="str">
        <f>IF(ISNUMBER($X469),IF(INDEX(Comenzi!$U:$U,$X469)="",Comenzi!$D$4,INDEX(Comenzi!$U:$U,$X469)),"")</f>
        <v/>
      </c>
      <c r="AE469" s="45" t="str">
        <f>IF($Y469&lt;&gt;1,"",IF(INDEX(Comenzi!$AM:$AM,$X469)="Greutate",INDEX('PI Furnizor'!$O:$O,ROW()-3),IF(INDEX(Comenzi!$AM:$AM,$X469)="Volum (CBM)",INDEX('PI Furnizor'!$Q:$Q,ROW()-3),IF(INDEX(Comenzi!$AM:$AM,$X469)="Valoare marfa",INDEX('PI Furnizor'!$N:$N,ROW()-3),$E469))))</f>
        <v/>
      </c>
    </row>
    <row r="470" spans="1:31" x14ac:dyDescent="0.3">
      <c r="A470" s="28" t="str">
        <f>IF(COUNTA(INDEX('PI Furnizor'!$A:$E,ROW()-3,0))=0,"",IF(INDEX('PI Furnizor'!$A:$A,ROW()-3)="","?",INDEX('PI Furnizor'!$A:$A,ROW()-3)))</f>
        <v/>
      </c>
      <c r="B470" s="29" t="str">
        <f>IF(ISNUMBER($X470),INDEX(Comenzi!$B:$B,$X470),"")</f>
        <v/>
      </c>
      <c r="C470" s="28" t="str">
        <f>IF($A470="","",INDEX('PI Furnizor'!$B:$B,ROW()-3)&amp;"")</f>
        <v/>
      </c>
      <c r="D470" s="28" t="str">
        <f>IF($A470="","",INDEX('PI Furnizor'!$C:$C,ROW()-3)&amp;"")</f>
        <v/>
      </c>
      <c r="E470" s="30" t="str">
        <f>IF($A470="","",N(INDEX('PI Furnizor'!$D:$D,ROW()-3)))</f>
        <v/>
      </c>
      <c r="F470" s="31" t="str">
        <f>IF(ISNUMBER($X470),INDEX(Comenzi!$G:$G,$X470),"")</f>
        <v/>
      </c>
      <c r="G470" s="32" t="str">
        <f>IF($A470="","",N(INDEX('PI Furnizor'!$E:$E,ROW()-3)))</f>
        <v/>
      </c>
      <c r="H470" s="33" t="str">
        <f t="shared" si="91"/>
        <v/>
      </c>
      <c r="I470" s="34" t="str">
        <f>IF($Y470&lt;&gt;1,"",IFERROR($AE470/INDEX(Comenzi!$AN:$AN,$X470),0))</f>
        <v/>
      </c>
      <c r="J470" s="33" t="str">
        <f>IF($Y470&lt;&gt;1,"",INDEX(Comenzi!$AG:$AG,$X470)*$I470/$E470)</f>
        <v/>
      </c>
      <c r="K470" s="33" t="str">
        <f t="shared" si="92"/>
        <v/>
      </c>
      <c r="L470" s="33" t="str">
        <f>IF($Y470&lt;&gt;1,"",$K470*$AD470+INDEX(Comenzi!$AJ:$AJ,$X470)*$I470/$E470)</f>
        <v/>
      </c>
      <c r="M470" s="33" t="str">
        <f t="shared" si="93"/>
        <v/>
      </c>
      <c r="N470" s="33" t="str">
        <f t="shared" si="94"/>
        <v/>
      </c>
      <c r="O470" s="33" t="str">
        <f>IF($Y470&lt;&gt;1,"",(INDEX(Comenzi!$AK:$AK,$X470)+N(INDEX(Comenzi!$T:$T,$X470)))*$I470/$E470)</f>
        <v/>
      </c>
      <c r="P470" s="35" t="str">
        <f t="shared" si="95"/>
        <v/>
      </c>
      <c r="Q470" s="36" t="str">
        <f t="shared" si="96"/>
        <v/>
      </c>
      <c r="R470" s="37" t="str">
        <f t="shared" si="97"/>
        <v/>
      </c>
      <c r="S470" s="38" t="str">
        <f t="shared" si="98"/>
        <v/>
      </c>
      <c r="T470" s="39" t="str">
        <f t="shared" si="99"/>
        <v/>
      </c>
      <c r="U470" s="40" t="str">
        <f t="shared" si="100"/>
        <v/>
      </c>
      <c r="V470" s="33" t="str">
        <f t="shared" si="101"/>
        <v/>
      </c>
      <c r="W470" s="33" t="str">
        <f t="shared" si="102"/>
        <v/>
      </c>
      <c r="X470" s="41" t="str">
        <f>IF($A470="","",IFERROR(MATCH($A470,Comenzi!$A$9:$A$108,0)+8,""))</f>
        <v/>
      </c>
      <c r="Y470" s="41" t="str">
        <f t="shared" si="103"/>
        <v/>
      </c>
      <c r="Z470" s="42" t="str">
        <f>IF($A470="","",IF($A470="?","Lipseste ID-ul comenzii (col. A din PI Furnizor)",IF(NOT(ISNUMBER($X470)),"ID comanda negasit in foaia Comenzi",IF(N($E470)&lt;=0,"Lipseste cantitatea",IF(N($G470)=0,"Pret unitar lipsa",IF($Y470&lt;&gt;1,"Curs sau moneda marfa lipsa (foaia Comenzi)",IF(INDEX(Comenzi!$AT:$AT,$X470)&lt;&gt;"OK","Avertisment comanda: "&amp;INDEX(Comenzi!$AT:$AT,$X470),"OK")))))))</f>
        <v/>
      </c>
      <c r="AA470" s="43" t="str">
        <f>IF(ISNUMBER($X470),INDEX(Comenzi!$H:$H,$X470),"")</f>
        <v/>
      </c>
      <c r="AB470" s="43" t="str">
        <f>IF(ISNUMBER($X470),INDEX(Comenzi!$I:$I,$X470),"")</f>
        <v/>
      </c>
      <c r="AC470" s="44" t="str">
        <f>IF(ISNUMBER($X470),IF(INDEX(Comenzi!$V:$V,$X470)="",Comenzi!$D$3,INDEX(Comenzi!$V:$V,$X470)),"")</f>
        <v/>
      </c>
      <c r="AD470" s="44" t="str">
        <f>IF(ISNUMBER($X470),IF(INDEX(Comenzi!$U:$U,$X470)="",Comenzi!$D$4,INDEX(Comenzi!$U:$U,$X470)),"")</f>
        <v/>
      </c>
      <c r="AE470" s="45" t="str">
        <f>IF($Y470&lt;&gt;1,"",IF(INDEX(Comenzi!$AM:$AM,$X470)="Greutate",INDEX('PI Furnizor'!$O:$O,ROW()-3),IF(INDEX(Comenzi!$AM:$AM,$X470)="Volum (CBM)",INDEX('PI Furnizor'!$Q:$Q,ROW()-3),IF(INDEX(Comenzi!$AM:$AM,$X470)="Valoare marfa",INDEX('PI Furnizor'!$N:$N,ROW()-3),$E470))))</f>
        <v/>
      </c>
    </row>
    <row r="471" spans="1:31" x14ac:dyDescent="0.3">
      <c r="A471" s="28" t="str">
        <f>IF(COUNTA(INDEX('PI Furnizor'!$A:$E,ROW()-3,0))=0,"",IF(INDEX('PI Furnizor'!$A:$A,ROW()-3)="","?",INDEX('PI Furnizor'!$A:$A,ROW()-3)))</f>
        <v/>
      </c>
      <c r="B471" s="29" t="str">
        <f>IF(ISNUMBER($X471),INDEX(Comenzi!$B:$B,$X471),"")</f>
        <v/>
      </c>
      <c r="C471" s="28" t="str">
        <f>IF($A471="","",INDEX('PI Furnizor'!$B:$B,ROW()-3)&amp;"")</f>
        <v/>
      </c>
      <c r="D471" s="28" t="str">
        <f>IF($A471="","",INDEX('PI Furnizor'!$C:$C,ROW()-3)&amp;"")</f>
        <v/>
      </c>
      <c r="E471" s="30" t="str">
        <f>IF($A471="","",N(INDEX('PI Furnizor'!$D:$D,ROW()-3)))</f>
        <v/>
      </c>
      <c r="F471" s="31" t="str">
        <f>IF(ISNUMBER($X471),INDEX(Comenzi!$G:$G,$X471),"")</f>
        <v/>
      </c>
      <c r="G471" s="32" t="str">
        <f>IF($A471="","",N(INDEX('PI Furnizor'!$E:$E,ROW()-3)))</f>
        <v/>
      </c>
      <c r="H471" s="33" t="str">
        <f t="shared" si="91"/>
        <v/>
      </c>
      <c r="I471" s="34" t="str">
        <f>IF($Y471&lt;&gt;1,"",IFERROR($AE471/INDEX(Comenzi!$AN:$AN,$X471),0))</f>
        <v/>
      </c>
      <c r="J471" s="33" t="str">
        <f>IF($Y471&lt;&gt;1,"",INDEX(Comenzi!$AG:$AG,$X471)*$I471/$E471)</f>
        <v/>
      </c>
      <c r="K471" s="33" t="str">
        <f t="shared" si="92"/>
        <v/>
      </c>
      <c r="L471" s="33" t="str">
        <f>IF($Y471&lt;&gt;1,"",$K471*$AD471+INDEX(Comenzi!$AJ:$AJ,$X471)*$I471/$E471)</f>
        <v/>
      </c>
      <c r="M471" s="33" t="str">
        <f t="shared" si="93"/>
        <v/>
      </c>
      <c r="N471" s="33" t="str">
        <f t="shared" si="94"/>
        <v/>
      </c>
      <c r="O471" s="33" t="str">
        <f>IF($Y471&lt;&gt;1,"",(INDEX(Comenzi!$AK:$AK,$X471)+N(INDEX(Comenzi!$T:$T,$X471)))*$I471/$E471)</f>
        <v/>
      </c>
      <c r="P471" s="35" t="str">
        <f t="shared" si="95"/>
        <v/>
      </c>
      <c r="Q471" s="36" t="str">
        <f t="shared" si="96"/>
        <v/>
      </c>
      <c r="R471" s="37" t="str">
        <f t="shared" si="97"/>
        <v/>
      </c>
      <c r="S471" s="38" t="str">
        <f t="shared" si="98"/>
        <v/>
      </c>
      <c r="T471" s="39" t="str">
        <f t="shared" si="99"/>
        <v/>
      </c>
      <c r="U471" s="40" t="str">
        <f t="shared" si="100"/>
        <v/>
      </c>
      <c r="V471" s="33" t="str">
        <f t="shared" si="101"/>
        <v/>
      </c>
      <c r="W471" s="33" t="str">
        <f t="shared" si="102"/>
        <v/>
      </c>
      <c r="X471" s="41" t="str">
        <f>IF($A471="","",IFERROR(MATCH($A471,Comenzi!$A$9:$A$108,0)+8,""))</f>
        <v/>
      </c>
      <c r="Y471" s="41" t="str">
        <f t="shared" si="103"/>
        <v/>
      </c>
      <c r="Z471" s="42" t="str">
        <f>IF($A471="","",IF($A471="?","Lipseste ID-ul comenzii (col. A din PI Furnizor)",IF(NOT(ISNUMBER($X471)),"ID comanda negasit in foaia Comenzi",IF(N($E471)&lt;=0,"Lipseste cantitatea",IF(N($G471)=0,"Pret unitar lipsa",IF($Y471&lt;&gt;1,"Curs sau moneda marfa lipsa (foaia Comenzi)",IF(INDEX(Comenzi!$AT:$AT,$X471)&lt;&gt;"OK","Avertisment comanda: "&amp;INDEX(Comenzi!$AT:$AT,$X471),"OK")))))))</f>
        <v/>
      </c>
      <c r="AA471" s="43" t="str">
        <f>IF(ISNUMBER($X471),INDEX(Comenzi!$H:$H,$X471),"")</f>
        <v/>
      </c>
      <c r="AB471" s="43" t="str">
        <f>IF(ISNUMBER($X471),INDEX(Comenzi!$I:$I,$X471),"")</f>
        <v/>
      </c>
      <c r="AC471" s="44" t="str">
        <f>IF(ISNUMBER($X471),IF(INDEX(Comenzi!$V:$V,$X471)="",Comenzi!$D$3,INDEX(Comenzi!$V:$V,$X471)),"")</f>
        <v/>
      </c>
      <c r="AD471" s="44" t="str">
        <f>IF(ISNUMBER($X471),IF(INDEX(Comenzi!$U:$U,$X471)="",Comenzi!$D$4,INDEX(Comenzi!$U:$U,$X471)),"")</f>
        <v/>
      </c>
      <c r="AE471" s="45" t="str">
        <f>IF($Y471&lt;&gt;1,"",IF(INDEX(Comenzi!$AM:$AM,$X471)="Greutate",INDEX('PI Furnizor'!$O:$O,ROW()-3),IF(INDEX(Comenzi!$AM:$AM,$X471)="Volum (CBM)",INDEX('PI Furnizor'!$Q:$Q,ROW()-3),IF(INDEX(Comenzi!$AM:$AM,$X471)="Valoare marfa",INDEX('PI Furnizor'!$N:$N,ROW()-3),$E471))))</f>
        <v/>
      </c>
    </row>
    <row r="472" spans="1:31" x14ac:dyDescent="0.3">
      <c r="A472" s="28" t="str">
        <f>IF(COUNTA(INDEX('PI Furnizor'!$A:$E,ROW()-3,0))=0,"",IF(INDEX('PI Furnizor'!$A:$A,ROW()-3)="","?",INDEX('PI Furnizor'!$A:$A,ROW()-3)))</f>
        <v/>
      </c>
      <c r="B472" s="29" t="str">
        <f>IF(ISNUMBER($X472),INDEX(Comenzi!$B:$B,$X472),"")</f>
        <v/>
      </c>
      <c r="C472" s="28" t="str">
        <f>IF($A472="","",INDEX('PI Furnizor'!$B:$B,ROW()-3)&amp;"")</f>
        <v/>
      </c>
      <c r="D472" s="28" t="str">
        <f>IF($A472="","",INDEX('PI Furnizor'!$C:$C,ROW()-3)&amp;"")</f>
        <v/>
      </c>
      <c r="E472" s="30" t="str">
        <f>IF($A472="","",N(INDEX('PI Furnizor'!$D:$D,ROW()-3)))</f>
        <v/>
      </c>
      <c r="F472" s="31" t="str">
        <f>IF(ISNUMBER($X472),INDEX(Comenzi!$G:$G,$X472),"")</f>
        <v/>
      </c>
      <c r="G472" s="32" t="str">
        <f>IF($A472="","",N(INDEX('PI Furnizor'!$E:$E,ROW()-3)))</f>
        <v/>
      </c>
      <c r="H472" s="33" t="str">
        <f t="shared" si="91"/>
        <v/>
      </c>
      <c r="I472" s="34" t="str">
        <f>IF($Y472&lt;&gt;1,"",IFERROR($AE472/INDEX(Comenzi!$AN:$AN,$X472),0))</f>
        <v/>
      </c>
      <c r="J472" s="33" t="str">
        <f>IF($Y472&lt;&gt;1,"",INDEX(Comenzi!$AG:$AG,$X472)*$I472/$E472)</f>
        <v/>
      </c>
      <c r="K472" s="33" t="str">
        <f t="shared" si="92"/>
        <v/>
      </c>
      <c r="L472" s="33" t="str">
        <f>IF($Y472&lt;&gt;1,"",$K472*$AD472+INDEX(Comenzi!$AJ:$AJ,$X472)*$I472/$E472)</f>
        <v/>
      </c>
      <c r="M472" s="33" t="str">
        <f t="shared" si="93"/>
        <v/>
      </c>
      <c r="N472" s="33" t="str">
        <f t="shared" si="94"/>
        <v/>
      </c>
      <c r="O472" s="33" t="str">
        <f>IF($Y472&lt;&gt;1,"",(INDEX(Comenzi!$AK:$AK,$X472)+N(INDEX(Comenzi!$T:$T,$X472)))*$I472/$E472)</f>
        <v/>
      </c>
      <c r="P472" s="35" t="str">
        <f t="shared" si="95"/>
        <v/>
      </c>
      <c r="Q472" s="36" t="str">
        <f t="shared" si="96"/>
        <v/>
      </c>
      <c r="R472" s="37" t="str">
        <f t="shared" si="97"/>
        <v/>
      </c>
      <c r="S472" s="38" t="str">
        <f t="shared" si="98"/>
        <v/>
      </c>
      <c r="T472" s="39" t="str">
        <f t="shared" si="99"/>
        <v/>
      </c>
      <c r="U472" s="40" t="str">
        <f t="shared" si="100"/>
        <v/>
      </c>
      <c r="V472" s="33" t="str">
        <f t="shared" si="101"/>
        <v/>
      </c>
      <c r="W472" s="33" t="str">
        <f t="shared" si="102"/>
        <v/>
      </c>
      <c r="X472" s="41" t="str">
        <f>IF($A472="","",IFERROR(MATCH($A472,Comenzi!$A$9:$A$108,0)+8,""))</f>
        <v/>
      </c>
      <c r="Y472" s="41" t="str">
        <f t="shared" si="103"/>
        <v/>
      </c>
      <c r="Z472" s="42" t="str">
        <f>IF($A472="","",IF($A472="?","Lipseste ID-ul comenzii (col. A din PI Furnizor)",IF(NOT(ISNUMBER($X472)),"ID comanda negasit in foaia Comenzi",IF(N($E472)&lt;=0,"Lipseste cantitatea",IF(N($G472)=0,"Pret unitar lipsa",IF($Y472&lt;&gt;1,"Curs sau moneda marfa lipsa (foaia Comenzi)",IF(INDEX(Comenzi!$AT:$AT,$X472)&lt;&gt;"OK","Avertisment comanda: "&amp;INDEX(Comenzi!$AT:$AT,$X472),"OK")))))))</f>
        <v/>
      </c>
      <c r="AA472" s="43" t="str">
        <f>IF(ISNUMBER($X472),INDEX(Comenzi!$H:$H,$X472),"")</f>
        <v/>
      </c>
      <c r="AB472" s="43" t="str">
        <f>IF(ISNUMBER($X472),INDEX(Comenzi!$I:$I,$X472),"")</f>
        <v/>
      </c>
      <c r="AC472" s="44" t="str">
        <f>IF(ISNUMBER($X472),IF(INDEX(Comenzi!$V:$V,$X472)="",Comenzi!$D$3,INDEX(Comenzi!$V:$V,$X472)),"")</f>
        <v/>
      </c>
      <c r="AD472" s="44" t="str">
        <f>IF(ISNUMBER($X472),IF(INDEX(Comenzi!$U:$U,$X472)="",Comenzi!$D$4,INDEX(Comenzi!$U:$U,$X472)),"")</f>
        <v/>
      </c>
      <c r="AE472" s="45" t="str">
        <f>IF($Y472&lt;&gt;1,"",IF(INDEX(Comenzi!$AM:$AM,$X472)="Greutate",INDEX('PI Furnizor'!$O:$O,ROW()-3),IF(INDEX(Comenzi!$AM:$AM,$X472)="Volum (CBM)",INDEX('PI Furnizor'!$Q:$Q,ROW()-3),IF(INDEX(Comenzi!$AM:$AM,$X472)="Valoare marfa",INDEX('PI Furnizor'!$N:$N,ROW()-3),$E472))))</f>
        <v/>
      </c>
    </row>
    <row r="473" spans="1:31" x14ac:dyDescent="0.3">
      <c r="A473" s="28" t="str">
        <f>IF(COUNTA(INDEX('PI Furnizor'!$A:$E,ROW()-3,0))=0,"",IF(INDEX('PI Furnizor'!$A:$A,ROW()-3)="","?",INDEX('PI Furnizor'!$A:$A,ROW()-3)))</f>
        <v/>
      </c>
      <c r="B473" s="29" t="str">
        <f>IF(ISNUMBER($X473),INDEX(Comenzi!$B:$B,$X473),"")</f>
        <v/>
      </c>
      <c r="C473" s="28" t="str">
        <f>IF($A473="","",INDEX('PI Furnizor'!$B:$B,ROW()-3)&amp;"")</f>
        <v/>
      </c>
      <c r="D473" s="28" t="str">
        <f>IF($A473="","",INDEX('PI Furnizor'!$C:$C,ROW()-3)&amp;"")</f>
        <v/>
      </c>
      <c r="E473" s="30" t="str">
        <f>IF($A473="","",N(INDEX('PI Furnizor'!$D:$D,ROW()-3)))</f>
        <v/>
      </c>
      <c r="F473" s="31" t="str">
        <f>IF(ISNUMBER($X473),INDEX(Comenzi!$G:$G,$X473),"")</f>
        <v/>
      </c>
      <c r="G473" s="32" t="str">
        <f>IF($A473="","",N(INDEX('PI Furnizor'!$E:$E,ROW()-3)))</f>
        <v/>
      </c>
      <c r="H473" s="33" t="str">
        <f t="shared" si="91"/>
        <v/>
      </c>
      <c r="I473" s="34" t="str">
        <f>IF($Y473&lt;&gt;1,"",IFERROR($AE473/INDEX(Comenzi!$AN:$AN,$X473),0))</f>
        <v/>
      </c>
      <c r="J473" s="33" t="str">
        <f>IF($Y473&lt;&gt;1,"",INDEX(Comenzi!$AG:$AG,$X473)*$I473/$E473)</f>
        <v/>
      </c>
      <c r="K473" s="33" t="str">
        <f t="shared" si="92"/>
        <v/>
      </c>
      <c r="L473" s="33" t="str">
        <f>IF($Y473&lt;&gt;1,"",$K473*$AD473+INDEX(Comenzi!$AJ:$AJ,$X473)*$I473/$E473)</f>
        <v/>
      </c>
      <c r="M473" s="33" t="str">
        <f t="shared" si="93"/>
        <v/>
      </c>
      <c r="N473" s="33" t="str">
        <f t="shared" si="94"/>
        <v/>
      </c>
      <c r="O473" s="33" t="str">
        <f>IF($Y473&lt;&gt;1,"",(INDEX(Comenzi!$AK:$AK,$X473)+N(INDEX(Comenzi!$T:$T,$X473)))*$I473/$E473)</f>
        <v/>
      </c>
      <c r="P473" s="35" t="str">
        <f t="shared" si="95"/>
        <v/>
      </c>
      <c r="Q473" s="36" t="str">
        <f t="shared" si="96"/>
        <v/>
      </c>
      <c r="R473" s="37" t="str">
        <f t="shared" si="97"/>
        <v/>
      </c>
      <c r="S473" s="38" t="str">
        <f t="shared" si="98"/>
        <v/>
      </c>
      <c r="T473" s="39" t="str">
        <f t="shared" si="99"/>
        <v/>
      </c>
      <c r="U473" s="40" t="str">
        <f t="shared" si="100"/>
        <v/>
      </c>
      <c r="V473" s="33" t="str">
        <f t="shared" si="101"/>
        <v/>
      </c>
      <c r="W473" s="33" t="str">
        <f t="shared" si="102"/>
        <v/>
      </c>
      <c r="X473" s="41" t="str">
        <f>IF($A473="","",IFERROR(MATCH($A473,Comenzi!$A$9:$A$108,0)+8,""))</f>
        <v/>
      </c>
      <c r="Y473" s="41" t="str">
        <f t="shared" si="103"/>
        <v/>
      </c>
      <c r="Z473" s="42" t="str">
        <f>IF($A473="","",IF($A473="?","Lipseste ID-ul comenzii (col. A din PI Furnizor)",IF(NOT(ISNUMBER($X473)),"ID comanda negasit in foaia Comenzi",IF(N($E473)&lt;=0,"Lipseste cantitatea",IF(N($G473)=0,"Pret unitar lipsa",IF($Y473&lt;&gt;1,"Curs sau moneda marfa lipsa (foaia Comenzi)",IF(INDEX(Comenzi!$AT:$AT,$X473)&lt;&gt;"OK","Avertisment comanda: "&amp;INDEX(Comenzi!$AT:$AT,$X473),"OK")))))))</f>
        <v/>
      </c>
      <c r="AA473" s="43" t="str">
        <f>IF(ISNUMBER($X473),INDEX(Comenzi!$H:$H,$X473),"")</f>
        <v/>
      </c>
      <c r="AB473" s="43" t="str">
        <f>IF(ISNUMBER($X473),INDEX(Comenzi!$I:$I,$X473),"")</f>
        <v/>
      </c>
      <c r="AC473" s="44" t="str">
        <f>IF(ISNUMBER($X473),IF(INDEX(Comenzi!$V:$V,$X473)="",Comenzi!$D$3,INDEX(Comenzi!$V:$V,$X473)),"")</f>
        <v/>
      </c>
      <c r="AD473" s="44" t="str">
        <f>IF(ISNUMBER($X473),IF(INDEX(Comenzi!$U:$U,$X473)="",Comenzi!$D$4,INDEX(Comenzi!$U:$U,$X473)),"")</f>
        <v/>
      </c>
      <c r="AE473" s="45" t="str">
        <f>IF($Y473&lt;&gt;1,"",IF(INDEX(Comenzi!$AM:$AM,$X473)="Greutate",INDEX('PI Furnizor'!$O:$O,ROW()-3),IF(INDEX(Comenzi!$AM:$AM,$X473)="Volum (CBM)",INDEX('PI Furnizor'!$Q:$Q,ROW()-3),IF(INDEX(Comenzi!$AM:$AM,$X473)="Valoare marfa",INDEX('PI Furnizor'!$N:$N,ROW()-3),$E473))))</f>
        <v/>
      </c>
    </row>
    <row r="474" spans="1:31" x14ac:dyDescent="0.3">
      <c r="A474" s="28" t="str">
        <f>IF(COUNTA(INDEX('PI Furnizor'!$A:$E,ROW()-3,0))=0,"",IF(INDEX('PI Furnizor'!$A:$A,ROW()-3)="","?",INDEX('PI Furnizor'!$A:$A,ROW()-3)))</f>
        <v/>
      </c>
      <c r="B474" s="29" t="str">
        <f>IF(ISNUMBER($X474),INDEX(Comenzi!$B:$B,$X474),"")</f>
        <v/>
      </c>
      <c r="C474" s="28" t="str">
        <f>IF($A474="","",INDEX('PI Furnizor'!$B:$B,ROW()-3)&amp;"")</f>
        <v/>
      </c>
      <c r="D474" s="28" t="str">
        <f>IF($A474="","",INDEX('PI Furnizor'!$C:$C,ROW()-3)&amp;"")</f>
        <v/>
      </c>
      <c r="E474" s="30" t="str">
        <f>IF($A474="","",N(INDEX('PI Furnizor'!$D:$D,ROW()-3)))</f>
        <v/>
      </c>
      <c r="F474" s="31" t="str">
        <f>IF(ISNUMBER($X474),INDEX(Comenzi!$G:$G,$X474),"")</f>
        <v/>
      </c>
      <c r="G474" s="32" t="str">
        <f>IF($A474="","",N(INDEX('PI Furnizor'!$E:$E,ROW()-3)))</f>
        <v/>
      </c>
      <c r="H474" s="33" t="str">
        <f t="shared" si="91"/>
        <v/>
      </c>
      <c r="I474" s="34" t="str">
        <f>IF($Y474&lt;&gt;1,"",IFERROR($AE474/INDEX(Comenzi!$AN:$AN,$X474),0))</f>
        <v/>
      </c>
      <c r="J474" s="33" t="str">
        <f>IF($Y474&lt;&gt;1,"",INDEX(Comenzi!$AG:$AG,$X474)*$I474/$E474)</f>
        <v/>
      </c>
      <c r="K474" s="33" t="str">
        <f t="shared" si="92"/>
        <v/>
      </c>
      <c r="L474" s="33" t="str">
        <f>IF($Y474&lt;&gt;1,"",$K474*$AD474+INDEX(Comenzi!$AJ:$AJ,$X474)*$I474/$E474)</f>
        <v/>
      </c>
      <c r="M474" s="33" t="str">
        <f t="shared" si="93"/>
        <v/>
      </c>
      <c r="N474" s="33" t="str">
        <f t="shared" si="94"/>
        <v/>
      </c>
      <c r="O474" s="33" t="str">
        <f>IF($Y474&lt;&gt;1,"",(INDEX(Comenzi!$AK:$AK,$X474)+N(INDEX(Comenzi!$T:$T,$X474)))*$I474/$E474)</f>
        <v/>
      </c>
      <c r="P474" s="35" t="str">
        <f t="shared" si="95"/>
        <v/>
      </c>
      <c r="Q474" s="36" t="str">
        <f t="shared" si="96"/>
        <v/>
      </c>
      <c r="R474" s="37" t="str">
        <f t="shared" si="97"/>
        <v/>
      </c>
      <c r="S474" s="38" t="str">
        <f t="shared" si="98"/>
        <v/>
      </c>
      <c r="T474" s="39" t="str">
        <f t="shared" si="99"/>
        <v/>
      </c>
      <c r="U474" s="40" t="str">
        <f t="shared" si="100"/>
        <v/>
      </c>
      <c r="V474" s="33" t="str">
        <f t="shared" si="101"/>
        <v/>
      </c>
      <c r="W474" s="33" t="str">
        <f t="shared" si="102"/>
        <v/>
      </c>
      <c r="X474" s="41" t="str">
        <f>IF($A474="","",IFERROR(MATCH($A474,Comenzi!$A$9:$A$108,0)+8,""))</f>
        <v/>
      </c>
      <c r="Y474" s="41" t="str">
        <f t="shared" si="103"/>
        <v/>
      </c>
      <c r="Z474" s="42" t="str">
        <f>IF($A474="","",IF($A474="?","Lipseste ID-ul comenzii (col. A din PI Furnizor)",IF(NOT(ISNUMBER($X474)),"ID comanda negasit in foaia Comenzi",IF(N($E474)&lt;=0,"Lipseste cantitatea",IF(N($G474)=0,"Pret unitar lipsa",IF($Y474&lt;&gt;1,"Curs sau moneda marfa lipsa (foaia Comenzi)",IF(INDEX(Comenzi!$AT:$AT,$X474)&lt;&gt;"OK","Avertisment comanda: "&amp;INDEX(Comenzi!$AT:$AT,$X474),"OK")))))))</f>
        <v/>
      </c>
      <c r="AA474" s="43" t="str">
        <f>IF(ISNUMBER($X474),INDEX(Comenzi!$H:$H,$X474),"")</f>
        <v/>
      </c>
      <c r="AB474" s="43" t="str">
        <f>IF(ISNUMBER($X474),INDEX(Comenzi!$I:$I,$X474),"")</f>
        <v/>
      </c>
      <c r="AC474" s="44" t="str">
        <f>IF(ISNUMBER($X474),IF(INDEX(Comenzi!$V:$V,$X474)="",Comenzi!$D$3,INDEX(Comenzi!$V:$V,$X474)),"")</f>
        <v/>
      </c>
      <c r="AD474" s="44" t="str">
        <f>IF(ISNUMBER($X474),IF(INDEX(Comenzi!$U:$U,$X474)="",Comenzi!$D$4,INDEX(Comenzi!$U:$U,$X474)),"")</f>
        <v/>
      </c>
      <c r="AE474" s="45" t="str">
        <f>IF($Y474&lt;&gt;1,"",IF(INDEX(Comenzi!$AM:$AM,$X474)="Greutate",INDEX('PI Furnizor'!$O:$O,ROW()-3),IF(INDEX(Comenzi!$AM:$AM,$X474)="Volum (CBM)",INDEX('PI Furnizor'!$Q:$Q,ROW()-3),IF(INDEX(Comenzi!$AM:$AM,$X474)="Valoare marfa",INDEX('PI Furnizor'!$N:$N,ROW()-3),$E474))))</f>
        <v/>
      </c>
    </row>
    <row r="475" spans="1:31" x14ac:dyDescent="0.3">
      <c r="A475" s="28" t="str">
        <f>IF(COUNTA(INDEX('PI Furnizor'!$A:$E,ROW()-3,0))=0,"",IF(INDEX('PI Furnizor'!$A:$A,ROW()-3)="","?",INDEX('PI Furnizor'!$A:$A,ROW()-3)))</f>
        <v/>
      </c>
      <c r="B475" s="29" t="str">
        <f>IF(ISNUMBER($X475),INDEX(Comenzi!$B:$B,$X475),"")</f>
        <v/>
      </c>
      <c r="C475" s="28" t="str">
        <f>IF($A475="","",INDEX('PI Furnizor'!$B:$B,ROW()-3)&amp;"")</f>
        <v/>
      </c>
      <c r="D475" s="28" t="str">
        <f>IF($A475="","",INDEX('PI Furnizor'!$C:$C,ROW()-3)&amp;"")</f>
        <v/>
      </c>
      <c r="E475" s="30" t="str">
        <f>IF($A475="","",N(INDEX('PI Furnizor'!$D:$D,ROW()-3)))</f>
        <v/>
      </c>
      <c r="F475" s="31" t="str">
        <f>IF(ISNUMBER($X475),INDEX(Comenzi!$G:$G,$X475),"")</f>
        <v/>
      </c>
      <c r="G475" s="32" t="str">
        <f>IF($A475="","",N(INDEX('PI Furnizor'!$E:$E,ROW()-3)))</f>
        <v/>
      </c>
      <c r="H475" s="33" t="str">
        <f t="shared" si="91"/>
        <v/>
      </c>
      <c r="I475" s="34" t="str">
        <f>IF($Y475&lt;&gt;1,"",IFERROR($AE475/INDEX(Comenzi!$AN:$AN,$X475),0))</f>
        <v/>
      </c>
      <c r="J475" s="33" t="str">
        <f>IF($Y475&lt;&gt;1,"",INDEX(Comenzi!$AG:$AG,$X475)*$I475/$E475)</f>
        <v/>
      </c>
      <c r="K475" s="33" t="str">
        <f t="shared" si="92"/>
        <v/>
      </c>
      <c r="L475" s="33" t="str">
        <f>IF($Y475&lt;&gt;1,"",$K475*$AD475+INDEX(Comenzi!$AJ:$AJ,$X475)*$I475/$E475)</f>
        <v/>
      </c>
      <c r="M475" s="33" t="str">
        <f t="shared" si="93"/>
        <v/>
      </c>
      <c r="N475" s="33" t="str">
        <f t="shared" si="94"/>
        <v/>
      </c>
      <c r="O475" s="33" t="str">
        <f>IF($Y475&lt;&gt;1,"",(INDEX(Comenzi!$AK:$AK,$X475)+N(INDEX(Comenzi!$T:$T,$X475)))*$I475/$E475)</f>
        <v/>
      </c>
      <c r="P475" s="35" t="str">
        <f t="shared" si="95"/>
        <v/>
      </c>
      <c r="Q475" s="36" t="str">
        <f t="shared" si="96"/>
        <v/>
      </c>
      <c r="R475" s="37" t="str">
        <f t="shared" si="97"/>
        <v/>
      </c>
      <c r="S475" s="38" t="str">
        <f t="shared" si="98"/>
        <v/>
      </c>
      <c r="T475" s="39" t="str">
        <f t="shared" si="99"/>
        <v/>
      </c>
      <c r="U475" s="40" t="str">
        <f t="shared" si="100"/>
        <v/>
      </c>
      <c r="V475" s="33" t="str">
        <f t="shared" si="101"/>
        <v/>
      </c>
      <c r="W475" s="33" t="str">
        <f t="shared" si="102"/>
        <v/>
      </c>
      <c r="X475" s="41" t="str">
        <f>IF($A475="","",IFERROR(MATCH($A475,Comenzi!$A$9:$A$108,0)+8,""))</f>
        <v/>
      </c>
      <c r="Y475" s="41" t="str">
        <f t="shared" si="103"/>
        <v/>
      </c>
      <c r="Z475" s="42" t="str">
        <f>IF($A475="","",IF($A475="?","Lipseste ID-ul comenzii (col. A din PI Furnizor)",IF(NOT(ISNUMBER($X475)),"ID comanda negasit in foaia Comenzi",IF(N($E475)&lt;=0,"Lipseste cantitatea",IF(N($G475)=0,"Pret unitar lipsa",IF($Y475&lt;&gt;1,"Curs sau moneda marfa lipsa (foaia Comenzi)",IF(INDEX(Comenzi!$AT:$AT,$X475)&lt;&gt;"OK","Avertisment comanda: "&amp;INDEX(Comenzi!$AT:$AT,$X475),"OK")))))))</f>
        <v/>
      </c>
      <c r="AA475" s="43" t="str">
        <f>IF(ISNUMBER($X475),INDEX(Comenzi!$H:$H,$X475),"")</f>
        <v/>
      </c>
      <c r="AB475" s="43" t="str">
        <f>IF(ISNUMBER($X475),INDEX(Comenzi!$I:$I,$X475),"")</f>
        <v/>
      </c>
      <c r="AC475" s="44" t="str">
        <f>IF(ISNUMBER($X475),IF(INDEX(Comenzi!$V:$V,$X475)="",Comenzi!$D$3,INDEX(Comenzi!$V:$V,$X475)),"")</f>
        <v/>
      </c>
      <c r="AD475" s="44" t="str">
        <f>IF(ISNUMBER($X475),IF(INDEX(Comenzi!$U:$U,$X475)="",Comenzi!$D$4,INDEX(Comenzi!$U:$U,$X475)),"")</f>
        <v/>
      </c>
      <c r="AE475" s="45" t="str">
        <f>IF($Y475&lt;&gt;1,"",IF(INDEX(Comenzi!$AM:$AM,$X475)="Greutate",INDEX('PI Furnizor'!$O:$O,ROW()-3),IF(INDEX(Comenzi!$AM:$AM,$X475)="Volum (CBM)",INDEX('PI Furnizor'!$Q:$Q,ROW()-3),IF(INDEX(Comenzi!$AM:$AM,$X475)="Valoare marfa",INDEX('PI Furnizor'!$N:$N,ROW()-3),$E475))))</f>
        <v/>
      </c>
    </row>
    <row r="476" spans="1:31" x14ac:dyDescent="0.3">
      <c r="A476" s="28" t="str">
        <f>IF(COUNTA(INDEX('PI Furnizor'!$A:$E,ROW()-3,0))=0,"",IF(INDEX('PI Furnizor'!$A:$A,ROW()-3)="","?",INDEX('PI Furnizor'!$A:$A,ROW()-3)))</f>
        <v/>
      </c>
      <c r="B476" s="29" t="str">
        <f>IF(ISNUMBER($X476),INDEX(Comenzi!$B:$B,$X476),"")</f>
        <v/>
      </c>
      <c r="C476" s="28" t="str">
        <f>IF($A476="","",INDEX('PI Furnizor'!$B:$B,ROW()-3)&amp;"")</f>
        <v/>
      </c>
      <c r="D476" s="28" t="str">
        <f>IF($A476="","",INDEX('PI Furnizor'!$C:$C,ROW()-3)&amp;"")</f>
        <v/>
      </c>
      <c r="E476" s="30" t="str">
        <f>IF($A476="","",N(INDEX('PI Furnizor'!$D:$D,ROW()-3)))</f>
        <v/>
      </c>
      <c r="F476" s="31" t="str">
        <f>IF(ISNUMBER($X476),INDEX(Comenzi!$G:$G,$X476),"")</f>
        <v/>
      </c>
      <c r="G476" s="32" t="str">
        <f>IF($A476="","",N(INDEX('PI Furnizor'!$E:$E,ROW()-3)))</f>
        <v/>
      </c>
      <c r="H476" s="33" t="str">
        <f t="shared" si="91"/>
        <v/>
      </c>
      <c r="I476" s="34" t="str">
        <f>IF($Y476&lt;&gt;1,"",IFERROR($AE476/INDEX(Comenzi!$AN:$AN,$X476),0))</f>
        <v/>
      </c>
      <c r="J476" s="33" t="str">
        <f>IF($Y476&lt;&gt;1,"",INDEX(Comenzi!$AG:$AG,$X476)*$I476/$E476)</f>
        <v/>
      </c>
      <c r="K476" s="33" t="str">
        <f t="shared" si="92"/>
        <v/>
      </c>
      <c r="L476" s="33" t="str">
        <f>IF($Y476&lt;&gt;1,"",$K476*$AD476+INDEX(Comenzi!$AJ:$AJ,$X476)*$I476/$E476)</f>
        <v/>
      </c>
      <c r="M476" s="33" t="str">
        <f t="shared" si="93"/>
        <v/>
      </c>
      <c r="N476" s="33" t="str">
        <f t="shared" si="94"/>
        <v/>
      </c>
      <c r="O476" s="33" t="str">
        <f>IF($Y476&lt;&gt;1,"",(INDEX(Comenzi!$AK:$AK,$X476)+N(INDEX(Comenzi!$T:$T,$X476)))*$I476/$E476)</f>
        <v/>
      </c>
      <c r="P476" s="35" t="str">
        <f t="shared" si="95"/>
        <v/>
      </c>
      <c r="Q476" s="36" t="str">
        <f t="shared" si="96"/>
        <v/>
      </c>
      <c r="R476" s="37" t="str">
        <f t="shared" si="97"/>
        <v/>
      </c>
      <c r="S476" s="38" t="str">
        <f t="shared" si="98"/>
        <v/>
      </c>
      <c r="T476" s="39" t="str">
        <f t="shared" si="99"/>
        <v/>
      </c>
      <c r="U476" s="40" t="str">
        <f t="shared" si="100"/>
        <v/>
      </c>
      <c r="V476" s="33" t="str">
        <f t="shared" si="101"/>
        <v/>
      </c>
      <c r="W476" s="33" t="str">
        <f t="shared" si="102"/>
        <v/>
      </c>
      <c r="X476" s="41" t="str">
        <f>IF($A476="","",IFERROR(MATCH($A476,Comenzi!$A$9:$A$108,0)+8,""))</f>
        <v/>
      </c>
      <c r="Y476" s="41" t="str">
        <f t="shared" si="103"/>
        <v/>
      </c>
      <c r="Z476" s="42" t="str">
        <f>IF($A476="","",IF($A476="?","Lipseste ID-ul comenzii (col. A din PI Furnizor)",IF(NOT(ISNUMBER($X476)),"ID comanda negasit in foaia Comenzi",IF(N($E476)&lt;=0,"Lipseste cantitatea",IF(N($G476)=0,"Pret unitar lipsa",IF($Y476&lt;&gt;1,"Curs sau moneda marfa lipsa (foaia Comenzi)",IF(INDEX(Comenzi!$AT:$AT,$X476)&lt;&gt;"OK","Avertisment comanda: "&amp;INDEX(Comenzi!$AT:$AT,$X476),"OK")))))))</f>
        <v/>
      </c>
      <c r="AA476" s="43" t="str">
        <f>IF(ISNUMBER($X476),INDEX(Comenzi!$H:$H,$X476),"")</f>
        <v/>
      </c>
      <c r="AB476" s="43" t="str">
        <f>IF(ISNUMBER($X476),INDEX(Comenzi!$I:$I,$X476),"")</f>
        <v/>
      </c>
      <c r="AC476" s="44" t="str">
        <f>IF(ISNUMBER($X476),IF(INDEX(Comenzi!$V:$V,$X476)="",Comenzi!$D$3,INDEX(Comenzi!$V:$V,$X476)),"")</f>
        <v/>
      </c>
      <c r="AD476" s="44" t="str">
        <f>IF(ISNUMBER($X476),IF(INDEX(Comenzi!$U:$U,$X476)="",Comenzi!$D$4,INDEX(Comenzi!$U:$U,$X476)),"")</f>
        <v/>
      </c>
      <c r="AE476" s="45" t="str">
        <f>IF($Y476&lt;&gt;1,"",IF(INDEX(Comenzi!$AM:$AM,$X476)="Greutate",INDEX('PI Furnizor'!$O:$O,ROW()-3),IF(INDEX(Comenzi!$AM:$AM,$X476)="Volum (CBM)",INDEX('PI Furnizor'!$Q:$Q,ROW()-3),IF(INDEX(Comenzi!$AM:$AM,$X476)="Valoare marfa",INDEX('PI Furnizor'!$N:$N,ROW()-3),$E476))))</f>
        <v/>
      </c>
    </row>
    <row r="477" spans="1:31" x14ac:dyDescent="0.3">
      <c r="A477" s="28" t="str">
        <f>IF(COUNTA(INDEX('PI Furnizor'!$A:$E,ROW()-3,0))=0,"",IF(INDEX('PI Furnizor'!$A:$A,ROW()-3)="","?",INDEX('PI Furnizor'!$A:$A,ROW()-3)))</f>
        <v/>
      </c>
      <c r="B477" s="29" t="str">
        <f>IF(ISNUMBER($X477),INDEX(Comenzi!$B:$B,$X477),"")</f>
        <v/>
      </c>
      <c r="C477" s="28" t="str">
        <f>IF($A477="","",INDEX('PI Furnizor'!$B:$B,ROW()-3)&amp;"")</f>
        <v/>
      </c>
      <c r="D477" s="28" t="str">
        <f>IF($A477="","",INDEX('PI Furnizor'!$C:$C,ROW()-3)&amp;"")</f>
        <v/>
      </c>
      <c r="E477" s="30" t="str">
        <f>IF($A477="","",N(INDEX('PI Furnizor'!$D:$D,ROW()-3)))</f>
        <v/>
      </c>
      <c r="F477" s="31" t="str">
        <f>IF(ISNUMBER($X477),INDEX(Comenzi!$G:$G,$X477),"")</f>
        <v/>
      </c>
      <c r="G477" s="32" t="str">
        <f>IF($A477="","",N(INDEX('PI Furnizor'!$E:$E,ROW()-3)))</f>
        <v/>
      </c>
      <c r="H477" s="33" t="str">
        <f t="shared" si="91"/>
        <v/>
      </c>
      <c r="I477" s="34" t="str">
        <f>IF($Y477&lt;&gt;1,"",IFERROR($AE477/INDEX(Comenzi!$AN:$AN,$X477),0))</f>
        <v/>
      </c>
      <c r="J477" s="33" t="str">
        <f>IF($Y477&lt;&gt;1,"",INDEX(Comenzi!$AG:$AG,$X477)*$I477/$E477)</f>
        <v/>
      </c>
      <c r="K477" s="33" t="str">
        <f t="shared" si="92"/>
        <v/>
      </c>
      <c r="L477" s="33" t="str">
        <f>IF($Y477&lt;&gt;1,"",$K477*$AD477+INDEX(Comenzi!$AJ:$AJ,$X477)*$I477/$E477)</f>
        <v/>
      </c>
      <c r="M477" s="33" t="str">
        <f t="shared" si="93"/>
        <v/>
      </c>
      <c r="N477" s="33" t="str">
        <f t="shared" si="94"/>
        <v/>
      </c>
      <c r="O477" s="33" t="str">
        <f>IF($Y477&lt;&gt;1,"",(INDEX(Comenzi!$AK:$AK,$X477)+N(INDEX(Comenzi!$T:$T,$X477)))*$I477/$E477)</f>
        <v/>
      </c>
      <c r="P477" s="35" t="str">
        <f t="shared" si="95"/>
        <v/>
      </c>
      <c r="Q477" s="36" t="str">
        <f t="shared" si="96"/>
        <v/>
      </c>
      <c r="R477" s="37" t="str">
        <f t="shared" si="97"/>
        <v/>
      </c>
      <c r="S477" s="38" t="str">
        <f t="shared" si="98"/>
        <v/>
      </c>
      <c r="T477" s="39" t="str">
        <f t="shared" si="99"/>
        <v/>
      </c>
      <c r="U477" s="40" t="str">
        <f t="shared" si="100"/>
        <v/>
      </c>
      <c r="V477" s="33" t="str">
        <f t="shared" si="101"/>
        <v/>
      </c>
      <c r="W477" s="33" t="str">
        <f t="shared" si="102"/>
        <v/>
      </c>
      <c r="X477" s="41" t="str">
        <f>IF($A477="","",IFERROR(MATCH($A477,Comenzi!$A$9:$A$108,0)+8,""))</f>
        <v/>
      </c>
      <c r="Y477" s="41" t="str">
        <f t="shared" si="103"/>
        <v/>
      </c>
      <c r="Z477" s="42" t="str">
        <f>IF($A477="","",IF($A477="?","Lipseste ID-ul comenzii (col. A din PI Furnizor)",IF(NOT(ISNUMBER($X477)),"ID comanda negasit in foaia Comenzi",IF(N($E477)&lt;=0,"Lipseste cantitatea",IF(N($G477)=0,"Pret unitar lipsa",IF($Y477&lt;&gt;1,"Curs sau moneda marfa lipsa (foaia Comenzi)",IF(INDEX(Comenzi!$AT:$AT,$X477)&lt;&gt;"OK","Avertisment comanda: "&amp;INDEX(Comenzi!$AT:$AT,$X477),"OK")))))))</f>
        <v/>
      </c>
      <c r="AA477" s="43" t="str">
        <f>IF(ISNUMBER($X477),INDEX(Comenzi!$H:$H,$X477),"")</f>
        <v/>
      </c>
      <c r="AB477" s="43" t="str">
        <f>IF(ISNUMBER($X477),INDEX(Comenzi!$I:$I,$X477),"")</f>
        <v/>
      </c>
      <c r="AC477" s="44" t="str">
        <f>IF(ISNUMBER($X477),IF(INDEX(Comenzi!$V:$V,$X477)="",Comenzi!$D$3,INDEX(Comenzi!$V:$V,$X477)),"")</f>
        <v/>
      </c>
      <c r="AD477" s="44" t="str">
        <f>IF(ISNUMBER($X477),IF(INDEX(Comenzi!$U:$U,$X477)="",Comenzi!$D$4,INDEX(Comenzi!$U:$U,$X477)),"")</f>
        <v/>
      </c>
      <c r="AE477" s="45" t="str">
        <f>IF($Y477&lt;&gt;1,"",IF(INDEX(Comenzi!$AM:$AM,$X477)="Greutate",INDEX('PI Furnizor'!$O:$O,ROW()-3),IF(INDEX(Comenzi!$AM:$AM,$X477)="Volum (CBM)",INDEX('PI Furnizor'!$Q:$Q,ROW()-3),IF(INDEX(Comenzi!$AM:$AM,$X477)="Valoare marfa",INDEX('PI Furnizor'!$N:$N,ROW()-3),$E477))))</f>
        <v/>
      </c>
    </row>
    <row r="478" spans="1:31" x14ac:dyDescent="0.3">
      <c r="A478" s="28" t="str">
        <f>IF(COUNTA(INDEX('PI Furnizor'!$A:$E,ROW()-3,0))=0,"",IF(INDEX('PI Furnizor'!$A:$A,ROW()-3)="","?",INDEX('PI Furnizor'!$A:$A,ROW()-3)))</f>
        <v/>
      </c>
      <c r="B478" s="29" t="str">
        <f>IF(ISNUMBER($X478),INDEX(Comenzi!$B:$B,$X478),"")</f>
        <v/>
      </c>
      <c r="C478" s="28" t="str">
        <f>IF($A478="","",INDEX('PI Furnizor'!$B:$B,ROW()-3)&amp;"")</f>
        <v/>
      </c>
      <c r="D478" s="28" t="str">
        <f>IF($A478="","",INDEX('PI Furnizor'!$C:$C,ROW()-3)&amp;"")</f>
        <v/>
      </c>
      <c r="E478" s="30" t="str">
        <f>IF($A478="","",N(INDEX('PI Furnizor'!$D:$D,ROW()-3)))</f>
        <v/>
      </c>
      <c r="F478" s="31" t="str">
        <f>IF(ISNUMBER($X478),INDEX(Comenzi!$G:$G,$X478),"")</f>
        <v/>
      </c>
      <c r="G478" s="32" t="str">
        <f>IF($A478="","",N(INDEX('PI Furnizor'!$E:$E,ROW()-3)))</f>
        <v/>
      </c>
      <c r="H478" s="33" t="str">
        <f t="shared" si="91"/>
        <v/>
      </c>
      <c r="I478" s="34" t="str">
        <f>IF($Y478&lt;&gt;1,"",IFERROR($AE478/INDEX(Comenzi!$AN:$AN,$X478),0))</f>
        <v/>
      </c>
      <c r="J478" s="33" t="str">
        <f>IF($Y478&lt;&gt;1,"",INDEX(Comenzi!$AG:$AG,$X478)*$I478/$E478)</f>
        <v/>
      </c>
      <c r="K478" s="33" t="str">
        <f t="shared" si="92"/>
        <v/>
      </c>
      <c r="L478" s="33" t="str">
        <f>IF($Y478&lt;&gt;1,"",$K478*$AD478+INDEX(Comenzi!$AJ:$AJ,$X478)*$I478/$E478)</f>
        <v/>
      </c>
      <c r="M478" s="33" t="str">
        <f t="shared" si="93"/>
        <v/>
      </c>
      <c r="N478" s="33" t="str">
        <f t="shared" si="94"/>
        <v/>
      </c>
      <c r="O478" s="33" t="str">
        <f>IF($Y478&lt;&gt;1,"",(INDEX(Comenzi!$AK:$AK,$X478)+N(INDEX(Comenzi!$T:$T,$X478)))*$I478/$E478)</f>
        <v/>
      </c>
      <c r="P478" s="35" t="str">
        <f t="shared" si="95"/>
        <v/>
      </c>
      <c r="Q478" s="36" t="str">
        <f t="shared" si="96"/>
        <v/>
      </c>
      <c r="R478" s="37" t="str">
        <f t="shared" si="97"/>
        <v/>
      </c>
      <c r="S478" s="38" t="str">
        <f t="shared" si="98"/>
        <v/>
      </c>
      <c r="T478" s="39" t="str">
        <f t="shared" si="99"/>
        <v/>
      </c>
      <c r="U478" s="40" t="str">
        <f t="shared" si="100"/>
        <v/>
      </c>
      <c r="V478" s="33" t="str">
        <f t="shared" si="101"/>
        <v/>
      </c>
      <c r="W478" s="33" t="str">
        <f t="shared" si="102"/>
        <v/>
      </c>
      <c r="X478" s="41" t="str">
        <f>IF($A478="","",IFERROR(MATCH($A478,Comenzi!$A$9:$A$108,0)+8,""))</f>
        <v/>
      </c>
      <c r="Y478" s="41" t="str">
        <f t="shared" si="103"/>
        <v/>
      </c>
      <c r="Z478" s="42" t="str">
        <f>IF($A478="","",IF($A478="?","Lipseste ID-ul comenzii (col. A din PI Furnizor)",IF(NOT(ISNUMBER($X478)),"ID comanda negasit in foaia Comenzi",IF(N($E478)&lt;=0,"Lipseste cantitatea",IF(N($G478)=0,"Pret unitar lipsa",IF($Y478&lt;&gt;1,"Curs sau moneda marfa lipsa (foaia Comenzi)",IF(INDEX(Comenzi!$AT:$AT,$X478)&lt;&gt;"OK","Avertisment comanda: "&amp;INDEX(Comenzi!$AT:$AT,$X478),"OK")))))))</f>
        <v/>
      </c>
      <c r="AA478" s="43" t="str">
        <f>IF(ISNUMBER($X478),INDEX(Comenzi!$H:$H,$X478),"")</f>
        <v/>
      </c>
      <c r="AB478" s="43" t="str">
        <f>IF(ISNUMBER($X478),INDEX(Comenzi!$I:$I,$X478),"")</f>
        <v/>
      </c>
      <c r="AC478" s="44" t="str">
        <f>IF(ISNUMBER($X478),IF(INDEX(Comenzi!$V:$V,$X478)="",Comenzi!$D$3,INDEX(Comenzi!$V:$V,$X478)),"")</f>
        <v/>
      </c>
      <c r="AD478" s="44" t="str">
        <f>IF(ISNUMBER($X478),IF(INDEX(Comenzi!$U:$U,$X478)="",Comenzi!$D$4,INDEX(Comenzi!$U:$U,$X478)),"")</f>
        <v/>
      </c>
      <c r="AE478" s="45" t="str">
        <f>IF($Y478&lt;&gt;1,"",IF(INDEX(Comenzi!$AM:$AM,$X478)="Greutate",INDEX('PI Furnizor'!$O:$O,ROW()-3),IF(INDEX(Comenzi!$AM:$AM,$X478)="Volum (CBM)",INDEX('PI Furnizor'!$Q:$Q,ROW()-3),IF(INDEX(Comenzi!$AM:$AM,$X478)="Valoare marfa",INDEX('PI Furnizor'!$N:$N,ROW()-3),$E478))))</f>
        <v/>
      </c>
    </row>
    <row r="479" spans="1:31" x14ac:dyDescent="0.3">
      <c r="A479" s="28" t="str">
        <f>IF(COUNTA(INDEX('PI Furnizor'!$A:$E,ROW()-3,0))=0,"",IF(INDEX('PI Furnizor'!$A:$A,ROW()-3)="","?",INDEX('PI Furnizor'!$A:$A,ROW()-3)))</f>
        <v/>
      </c>
      <c r="B479" s="29" t="str">
        <f>IF(ISNUMBER($X479),INDEX(Comenzi!$B:$B,$X479),"")</f>
        <v/>
      </c>
      <c r="C479" s="28" t="str">
        <f>IF($A479="","",INDEX('PI Furnizor'!$B:$B,ROW()-3)&amp;"")</f>
        <v/>
      </c>
      <c r="D479" s="28" t="str">
        <f>IF($A479="","",INDEX('PI Furnizor'!$C:$C,ROW()-3)&amp;"")</f>
        <v/>
      </c>
      <c r="E479" s="30" t="str">
        <f>IF($A479="","",N(INDEX('PI Furnizor'!$D:$D,ROW()-3)))</f>
        <v/>
      </c>
      <c r="F479" s="31" t="str">
        <f>IF(ISNUMBER($X479),INDEX(Comenzi!$G:$G,$X479),"")</f>
        <v/>
      </c>
      <c r="G479" s="32" t="str">
        <f>IF($A479="","",N(INDEX('PI Furnizor'!$E:$E,ROW()-3)))</f>
        <v/>
      </c>
      <c r="H479" s="33" t="str">
        <f t="shared" si="91"/>
        <v/>
      </c>
      <c r="I479" s="34" t="str">
        <f>IF($Y479&lt;&gt;1,"",IFERROR($AE479/INDEX(Comenzi!$AN:$AN,$X479),0))</f>
        <v/>
      </c>
      <c r="J479" s="33" t="str">
        <f>IF($Y479&lt;&gt;1,"",INDEX(Comenzi!$AG:$AG,$X479)*$I479/$E479)</f>
        <v/>
      </c>
      <c r="K479" s="33" t="str">
        <f t="shared" si="92"/>
        <v/>
      </c>
      <c r="L479" s="33" t="str">
        <f>IF($Y479&lt;&gt;1,"",$K479*$AD479+INDEX(Comenzi!$AJ:$AJ,$X479)*$I479/$E479)</f>
        <v/>
      </c>
      <c r="M479" s="33" t="str">
        <f t="shared" si="93"/>
        <v/>
      </c>
      <c r="N479" s="33" t="str">
        <f t="shared" si="94"/>
        <v/>
      </c>
      <c r="O479" s="33" t="str">
        <f>IF($Y479&lt;&gt;1,"",(INDEX(Comenzi!$AK:$AK,$X479)+N(INDEX(Comenzi!$T:$T,$X479)))*$I479/$E479)</f>
        <v/>
      </c>
      <c r="P479" s="35" t="str">
        <f t="shared" si="95"/>
        <v/>
      </c>
      <c r="Q479" s="36" t="str">
        <f t="shared" si="96"/>
        <v/>
      </c>
      <c r="R479" s="37" t="str">
        <f t="shared" si="97"/>
        <v/>
      </c>
      <c r="S479" s="38" t="str">
        <f t="shared" si="98"/>
        <v/>
      </c>
      <c r="T479" s="39" t="str">
        <f t="shared" si="99"/>
        <v/>
      </c>
      <c r="U479" s="40" t="str">
        <f t="shared" si="100"/>
        <v/>
      </c>
      <c r="V479" s="33" t="str">
        <f t="shared" si="101"/>
        <v/>
      </c>
      <c r="W479" s="33" t="str">
        <f t="shared" si="102"/>
        <v/>
      </c>
      <c r="X479" s="41" t="str">
        <f>IF($A479="","",IFERROR(MATCH($A479,Comenzi!$A$9:$A$108,0)+8,""))</f>
        <v/>
      </c>
      <c r="Y479" s="41" t="str">
        <f t="shared" si="103"/>
        <v/>
      </c>
      <c r="Z479" s="42" t="str">
        <f>IF($A479="","",IF($A479="?","Lipseste ID-ul comenzii (col. A din PI Furnizor)",IF(NOT(ISNUMBER($X479)),"ID comanda negasit in foaia Comenzi",IF(N($E479)&lt;=0,"Lipseste cantitatea",IF(N($G479)=0,"Pret unitar lipsa",IF($Y479&lt;&gt;1,"Curs sau moneda marfa lipsa (foaia Comenzi)",IF(INDEX(Comenzi!$AT:$AT,$X479)&lt;&gt;"OK","Avertisment comanda: "&amp;INDEX(Comenzi!$AT:$AT,$X479),"OK")))))))</f>
        <v/>
      </c>
      <c r="AA479" s="43" t="str">
        <f>IF(ISNUMBER($X479),INDEX(Comenzi!$H:$H,$X479),"")</f>
        <v/>
      </c>
      <c r="AB479" s="43" t="str">
        <f>IF(ISNUMBER($X479),INDEX(Comenzi!$I:$I,$X479),"")</f>
        <v/>
      </c>
      <c r="AC479" s="44" t="str">
        <f>IF(ISNUMBER($X479),IF(INDEX(Comenzi!$V:$V,$X479)="",Comenzi!$D$3,INDEX(Comenzi!$V:$V,$X479)),"")</f>
        <v/>
      </c>
      <c r="AD479" s="44" t="str">
        <f>IF(ISNUMBER($X479),IF(INDEX(Comenzi!$U:$U,$X479)="",Comenzi!$D$4,INDEX(Comenzi!$U:$U,$X479)),"")</f>
        <v/>
      </c>
      <c r="AE479" s="45" t="str">
        <f>IF($Y479&lt;&gt;1,"",IF(INDEX(Comenzi!$AM:$AM,$X479)="Greutate",INDEX('PI Furnizor'!$O:$O,ROW()-3),IF(INDEX(Comenzi!$AM:$AM,$X479)="Volum (CBM)",INDEX('PI Furnizor'!$Q:$Q,ROW()-3),IF(INDEX(Comenzi!$AM:$AM,$X479)="Valoare marfa",INDEX('PI Furnizor'!$N:$N,ROW()-3),$E479))))</f>
        <v/>
      </c>
    </row>
    <row r="480" spans="1:31" x14ac:dyDescent="0.3">
      <c r="A480" s="28" t="str">
        <f>IF(COUNTA(INDEX('PI Furnizor'!$A:$E,ROW()-3,0))=0,"",IF(INDEX('PI Furnizor'!$A:$A,ROW()-3)="","?",INDEX('PI Furnizor'!$A:$A,ROW()-3)))</f>
        <v/>
      </c>
      <c r="B480" s="29" t="str">
        <f>IF(ISNUMBER($X480),INDEX(Comenzi!$B:$B,$X480),"")</f>
        <v/>
      </c>
      <c r="C480" s="28" t="str">
        <f>IF($A480="","",INDEX('PI Furnizor'!$B:$B,ROW()-3)&amp;"")</f>
        <v/>
      </c>
      <c r="D480" s="28" t="str">
        <f>IF($A480="","",INDEX('PI Furnizor'!$C:$C,ROW()-3)&amp;"")</f>
        <v/>
      </c>
      <c r="E480" s="30" t="str">
        <f>IF($A480="","",N(INDEX('PI Furnizor'!$D:$D,ROW()-3)))</f>
        <v/>
      </c>
      <c r="F480" s="31" t="str">
        <f>IF(ISNUMBER($X480),INDEX(Comenzi!$G:$G,$X480),"")</f>
        <v/>
      </c>
      <c r="G480" s="32" t="str">
        <f>IF($A480="","",N(INDEX('PI Furnizor'!$E:$E,ROW()-3)))</f>
        <v/>
      </c>
      <c r="H480" s="33" t="str">
        <f t="shared" si="91"/>
        <v/>
      </c>
      <c r="I480" s="34" t="str">
        <f>IF($Y480&lt;&gt;1,"",IFERROR($AE480/INDEX(Comenzi!$AN:$AN,$X480),0))</f>
        <v/>
      </c>
      <c r="J480" s="33" t="str">
        <f>IF($Y480&lt;&gt;1,"",INDEX(Comenzi!$AG:$AG,$X480)*$I480/$E480)</f>
        <v/>
      </c>
      <c r="K480" s="33" t="str">
        <f t="shared" si="92"/>
        <v/>
      </c>
      <c r="L480" s="33" t="str">
        <f>IF($Y480&lt;&gt;1,"",$K480*$AD480+INDEX(Comenzi!$AJ:$AJ,$X480)*$I480/$E480)</f>
        <v/>
      </c>
      <c r="M480" s="33" t="str">
        <f t="shared" si="93"/>
        <v/>
      </c>
      <c r="N480" s="33" t="str">
        <f t="shared" si="94"/>
        <v/>
      </c>
      <c r="O480" s="33" t="str">
        <f>IF($Y480&lt;&gt;1,"",(INDEX(Comenzi!$AK:$AK,$X480)+N(INDEX(Comenzi!$T:$T,$X480)))*$I480/$E480)</f>
        <v/>
      </c>
      <c r="P480" s="35" t="str">
        <f t="shared" si="95"/>
        <v/>
      </c>
      <c r="Q480" s="36" t="str">
        <f t="shared" si="96"/>
        <v/>
      </c>
      <c r="R480" s="37" t="str">
        <f t="shared" si="97"/>
        <v/>
      </c>
      <c r="S480" s="38" t="str">
        <f t="shared" si="98"/>
        <v/>
      </c>
      <c r="T480" s="39" t="str">
        <f t="shared" si="99"/>
        <v/>
      </c>
      <c r="U480" s="40" t="str">
        <f t="shared" si="100"/>
        <v/>
      </c>
      <c r="V480" s="33" t="str">
        <f t="shared" si="101"/>
        <v/>
      </c>
      <c r="W480" s="33" t="str">
        <f t="shared" si="102"/>
        <v/>
      </c>
      <c r="X480" s="41" t="str">
        <f>IF($A480="","",IFERROR(MATCH($A480,Comenzi!$A$9:$A$108,0)+8,""))</f>
        <v/>
      </c>
      <c r="Y480" s="41" t="str">
        <f t="shared" si="103"/>
        <v/>
      </c>
      <c r="Z480" s="42" t="str">
        <f>IF($A480="","",IF($A480="?","Lipseste ID-ul comenzii (col. A din PI Furnizor)",IF(NOT(ISNUMBER($X480)),"ID comanda negasit in foaia Comenzi",IF(N($E480)&lt;=0,"Lipseste cantitatea",IF(N($G480)=0,"Pret unitar lipsa",IF($Y480&lt;&gt;1,"Curs sau moneda marfa lipsa (foaia Comenzi)",IF(INDEX(Comenzi!$AT:$AT,$X480)&lt;&gt;"OK","Avertisment comanda: "&amp;INDEX(Comenzi!$AT:$AT,$X480),"OK")))))))</f>
        <v/>
      </c>
      <c r="AA480" s="43" t="str">
        <f>IF(ISNUMBER($X480),INDEX(Comenzi!$H:$H,$X480),"")</f>
        <v/>
      </c>
      <c r="AB480" s="43" t="str">
        <f>IF(ISNUMBER($X480),INDEX(Comenzi!$I:$I,$X480),"")</f>
        <v/>
      </c>
      <c r="AC480" s="44" t="str">
        <f>IF(ISNUMBER($X480),IF(INDEX(Comenzi!$V:$V,$X480)="",Comenzi!$D$3,INDEX(Comenzi!$V:$V,$X480)),"")</f>
        <v/>
      </c>
      <c r="AD480" s="44" t="str">
        <f>IF(ISNUMBER($X480),IF(INDEX(Comenzi!$U:$U,$X480)="",Comenzi!$D$4,INDEX(Comenzi!$U:$U,$X480)),"")</f>
        <v/>
      </c>
      <c r="AE480" s="45" t="str">
        <f>IF($Y480&lt;&gt;1,"",IF(INDEX(Comenzi!$AM:$AM,$X480)="Greutate",INDEX('PI Furnizor'!$O:$O,ROW()-3),IF(INDEX(Comenzi!$AM:$AM,$X480)="Volum (CBM)",INDEX('PI Furnizor'!$Q:$Q,ROW()-3),IF(INDEX(Comenzi!$AM:$AM,$X480)="Valoare marfa",INDEX('PI Furnizor'!$N:$N,ROW()-3),$E480))))</f>
        <v/>
      </c>
    </row>
    <row r="481" spans="1:31" x14ac:dyDescent="0.3">
      <c r="A481" s="28" t="str">
        <f>IF(COUNTA(INDEX('PI Furnizor'!$A:$E,ROW()-3,0))=0,"",IF(INDEX('PI Furnizor'!$A:$A,ROW()-3)="","?",INDEX('PI Furnizor'!$A:$A,ROW()-3)))</f>
        <v/>
      </c>
      <c r="B481" s="29" t="str">
        <f>IF(ISNUMBER($X481),INDEX(Comenzi!$B:$B,$X481),"")</f>
        <v/>
      </c>
      <c r="C481" s="28" t="str">
        <f>IF($A481="","",INDEX('PI Furnizor'!$B:$B,ROW()-3)&amp;"")</f>
        <v/>
      </c>
      <c r="D481" s="28" t="str">
        <f>IF($A481="","",INDEX('PI Furnizor'!$C:$C,ROW()-3)&amp;"")</f>
        <v/>
      </c>
      <c r="E481" s="30" t="str">
        <f>IF($A481="","",N(INDEX('PI Furnizor'!$D:$D,ROW()-3)))</f>
        <v/>
      </c>
      <c r="F481" s="31" t="str">
        <f>IF(ISNUMBER($X481),INDEX(Comenzi!$G:$G,$X481),"")</f>
        <v/>
      </c>
      <c r="G481" s="32" t="str">
        <f>IF($A481="","",N(INDEX('PI Furnizor'!$E:$E,ROW()-3)))</f>
        <v/>
      </c>
      <c r="H481" s="33" t="str">
        <f t="shared" si="91"/>
        <v/>
      </c>
      <c r="I481" s="34" t="str">
        <f>IF($Y481&lt;&gt;1,"",IFERROR($AE481/INDEX(Comenzi!$AN:$AN,$X481),0))</f>
        <v/>
      </c>
      <c r="J481" s="33" t="str">
        <f>IF($Y481&lt;&gt;1,"",INDEX(Comenzi!$AG:$AG,$X481)*$I481/$E481)</f>
        <v/>
      </c>
      <c r="K481" s="33" t="str">
        <f t="shared" si="92"/>
        <v/>
      </c>
      <c r="L481" s="33" t="str">
        <f>IF($Y481&lt;&gt;1,"",$K481*$AD481+INDEX(Comenzi!$AJ:$AJ,$X481)*$I481/$E481)</f>
        <v/>
      </c>
      <c r="M481" s="33" t="str">
        <f t="shared" si="93"/>
        <v/>
      </c>
      <c r="N481" s="33" t="str">
        <f t="shared" si="94"/>
        <v/>
      </c>
      <c r="O481" s="33" t="str">
        <f>IF($Y481&lt;&gt;1,"",(INDEX(Comenzi!$AK:$AK,$X481)+N(INDEX(Comenzi!$T:$T,$X481)))*$I481/$E481)</f>
        <v/>
      </c>
      <c r="P481" s="35" t="str">
        <f t="shared" si="95"/>
        <v/>
      </c>
      <c r="Q481" s="36" t="str">
        <f t="shared" si="96"/>
        <v/>
      </c>
      <c r="R481" s="37" t="str">
        <f t="shared" si="97"/>
        <v/>
      </c>
      <c r="S481" s="38" t="str">
        <f t="shared" si="98"/>
        <v/>
      </c>
      <c r="T481" s="39" t="str">
        <f t="shared" si="99"/>
        <v/>
      </c>
      <c r="U481" s="40" t="str">
        <f t="shared" si="100"/>
        <v/>
      </c>
      <c r="V481" s="33" t="str">
        <f t="shared" si="101"/>
        <v/>
      </c>
      <c r="W481" s="33" t="str">
        <f t="shared" si="102"/>
        <v/>
      </c>
      <c r="X481" s="41" t="str">
        <f>IF($A481="","",IFERROR(MATCH($A481,Comenzi!$A$9:$A$108,0)+8,""))</f>
        <v/>
      </c>
      <c r="Y481" s="41" t="str">
        <f t="shared" si="103"/>
        <v/>
      </c>
      <c r="Z481" s="42" t="str">
        <f>IF($A481="","",IF($A481="?","Lipseste ID-ul comenzii (col. A din PI Furnizor)",IF(NOT(ISNUMBER($X481)),"ID comanda negasit in foaia Comenzi",IF(N($E481)&lt;=0,"Lipseste cantitatea",IF(N($G481)=0,"Pret unitar lipsa",IF($Y481&lt;&gt;1,"Curs sau moneda marfa lipsa (foaia Comenzi)",IF(INDEX(Comenzi!$AT:$AT,$X481)&lt;&gt;"OK","Avertisment comanda: "&amp;INDEX(Comenzi!$AT:$AT,$X481),"OK")))))))</f>
        <v/>
      </c>
      <c r="AA481" s="43" t="str">
        <f>IF(ISNUMBER($X481),INDEX(Comenzi!$H:$H,$X481),"")</f>
        <v/>
      </c>
      <c r="AB481" s="43" t="str">
        <f>IF(ISNUMBER($X481),INDEX(Comenzi!$I:$I,$X481),"")</f>
        <v/>
      </c>
      <c r="AC481" s="44" t="str">
        <f>IF(ISNUMBER($X481),IF(INDEX(Comenzi!$V:$V,$X481)="",Comenzi!$D$3,INDEX(Comenzi!$V:$V,$X481)),"")</f>
        <v/>
      </c>
      <c r="AD481" s="44" t="str">
        <f>IF(ISNUMBER($X481),IF(INDEX(Comenzi!$U:$U,$X481)="",Comenzi!$D$4,INDEX(Comenzi!$U:$U,$X481)),"")</f>
        <v/>
      </c>
      <c r="AE481" s="45" t="str">
        <f>IF($Y481&lt;&gt;1,"",IF(INDEX(Comenzi!$AM:$AM,$X481)="Greutate",INDEX('PI Furnizor'!$O:$O,ROW()-3),IF(INDEX(Comenzi!$AM:$AM,$X481)="Volum (CBM)",INDEX('PI Furnizor'!$Q:$Q,ROW()-3),IF(INDEX(Comenzi!$AM:$AM,$X481)="Valoare marfa",INDEX('PI Furnizor'!$N:$N,ROW()-3),$E481))))</f>
        <v/>
      </c>
    </row>
    <row r="482" spans="1:31" x14ac:dyDescent="0.3">
      <c r="A482" s="28" t="str">
        <f>IF(COUNTA(INDEX('PI Furnizor'!$A:$E,ROW()-3,0))=0,"",IF(INDEX('PI Furnizor'!$A:$A,ROW()-3)="","?",INDEX('PI Furnizor'!$A:$A,ROW()-3)))</f>
        <v/>
      </c>
      <c r="B482" s="29" t="str">
        <f>IF(ISNUMBER($X482),INDEX(Comenzi!$B:$B,$X482),"")</f>
        <v/>
      </c>
      <c r="C482" s="28" t="str">
        <f>IF($A482="","",INDEX('PI Furnizor'!$B:$B,ROW()-3)&amp;"")</f>
        <v/>
      </c>
      <c r="D482" s="28" t="str">
        <f>IF($A482="","",INDEX('PI Furnizor'!$C:$C,ROW()-3)&amp;"")</f>
        <v/>
      </c>
      <c r="E482" s="30" t="str">
        <f>IF($A482="","",N(INDEX('PI Furnizor'!$D:$D,ROW()-3)))</f>
        <v/>
      </c>
      <c r="F482" s="31" t="str">
        <f>IF(ISNUMBER($X482),INDEX(Comenzi!$G:$G,$X482),"")</f>
        <v/>
      </c>
      <c r="G482" s="32" t="str">
        <f>IF($A482="","",N(INDEX('PI Furnizor'!$E:$E,ROW()-3)))</f>
        <v/>
      </c>
      <c r="H482" s="33" t="str">
        <f t="shared" si="91"/>
        <v/>
      </c>
      <c r="I482" s="34" t="str">
        <f>IF($Y482&lt;&gt;1,"",IFERROR($AE482/INDEX(Comenzi!$AN:$AN,$X482),0))</f>
        <v/>
      </c>
      <c r="J482" s="33" t="str">
        <f>IF($Y482&lt;&gt;1,"",INDEX(Comenzi!$AG:$AG,$X482)*$I482/$E482)</f>
        <v/>
      </c>
      <c r="K482" s="33" t="str">
        <f t="shared" si="92"/>
        <v/>
      </c>
      <c r="L482" s="33" t="str">
        <f>IF($Y482&lt;&gt;1,"",$K482*$AD482+INDEX(Comenzi!$AJ:$AJ,$X482)*$I482/$E482)</f>
        <v/>
      </c>
      <c r="M482" s="33" t="str">
        <f t="shared" si="93"/>
        <v/>
      </c>
      <c r="N482" s="33" t="str">
        <f t="shared" si="94"/>
        <v/>
      </c>
      <c r="O482" s="33" t="str">
        <f>IF($Y482&lt;&gt;1,"",(INDEX(Comenzi!$AK:$AK,$X482)+N(INDEX(Comenzi!$T:$T,$X482)))*$I482/$E482)</f>
        <v/>
      </c>
      <c r="P482" s="35" t="str">
        <f t="shared" si="95"/>
        <v/>
      </c>
      <c r="Q482" s="36" t="str">
        <f t="shared" si="96"/>
        <v/>
      </c>
      <c r="R482" s="37" t="str">
        <f t="shared" si="97"/>
        <v/>
      </c>
      <c r="S482" s="38" t="str">
        <f t="shared" si="98"/>
        <v/>
      </c>
      <c r="T482" s="39" t="str">
        <f t="shared" si="99"/>
        <v/>
      </c>
      <c r="U482" s="40" t="str">
        <f t="shared" si="100"/>
        <v/>
      </c>
      <c r="V482" s="33" t="str">
        <f t="shared" si="101"/>
        <v/>
      </c>
      <c r="W482" s="33" t="str">
        <f t="shared" si="102"/>
        <v/>
      </c>
      <c r="X482" s="41" t="str">
        <f>IF($A482="","",IFERROR(MATCH($A482,Comenzi!$A$9:$A$108,0)+8,""))</f>
        <v/>
      </c>
      <c r="Y482" s="41" t="str">
        <f t="shared" si="103"/>
        <v/>
      </c>
      <c r="Z482" s="42" t="str">
        <f>IF($A482="","",IF($A482="?","Lipseste ID-ul comenzii (col. A din PI Furnizor)",IF(NOT(ISNUMBER($X482)),"ID comanda negasit in foaia Comenzi",IF(N($E482)&lt;=0,"Lipseste cantitatea",IF(N($G482)=0,"Pret unitar lipsa",IF($Y482&lt;&gt;1,"Curs sau moneda marfa lipsa (foaia Comenzi)",IF(INDEX(Comenzi!$AT:$AT,$X482)&lt;&gt;"OK","Avertisment comanda: "&amp;INDEX(Comenzi!$AT:$AT,$X482),"OK")))))))</f>
        <v/>
      </c>
      <c r="AA482" s="43" t="str">
        <f>IF(ISNUMBER($X482),INDEX(Comenzi!$H:$H,$X482),"")</f>
        <v/>
      </c>
      <c r="AB482" s="43" t="str">
        <f>IF(ISNUMBER($X482),INDEX(Comenzi!$I:$I,$X482),"")</f>
        <v/>
      </c>
      <c r="AC482" s="44" t="str">
        <f>IF(ISNUMBER($X482),IF(INDEX(Comenzi!$V:$V,$X482)="",Comenzi!$D$3,INDEX(Comenzi!$V:$V,$X482)),"")</f>
        <v/>
      </c>
      <c r="AD482" s="44" t="str">
        <f>IF(ISNUMBER($X482),IF(INDEX(Comenzi!$U:$U,$X482)="",Comenzi!$D$4,INDEX(Comenzi!$U:$U,$X482)),"")</f>
        <v/>
      </c>
      <c r="AE482" s="45" t="str">
        <f>IF($Y482&lt;&gt;1,"",IF(INDEX(Comenzi!$AM:$AM,$X482)="Greutate",INDEX('PI Furnizor'!$O:$O,ROW()-3),IF(INDEX(Comenzi!$AM:$AM,$X482)="Volum (CBM)",INDEX('PI Furnizor'!$Q:$Q,ROW()-3),IF(INDEX(Comenzi!$AM:$AM,$X482)="Valoare marfa",INDEX('PI Furnizor'!$N:$N,ROW()-3),$E482))))</f>
        <v/>
      </c>
    </row>
    <row r="483" spans="1:31" x14ac:dyDescent="0.3">
      <c r="A483" s="28" t="str">
        <f>IF(COUNTA(INDEX('PI Furnizor'!$A:$E,ROW()-3,0))=0,"",IF(INDEX('PI Furnizor'!$A:$A,ROW()-3)="","?",INDEX('PI Furnizor'!$A:$A,ROW()-3)))</f>
        <v/>
      </c>
      <c r="B483" s="29" t="str">
        <f>IF(ISNUMBER($X483),INDEX(Comenzi!$B:$B,$X483),"")</f>
        <v/>
      </c>
      <c r="C483" s="28" t="str">
        <f>IF($A483="","",INDEX('PI Furnizor'!$B:$B,ROW()-3)&amp;"")</f>
        <v/>
      </c>
      <c r="D483" s="28" t="str">
        <f>IF($A483="","",INDEX('PI Furnizor'!$C:$C,ROW()-3)&amp;"")</f>
        <v/>
      </c>
      <c r="E483" s="30" t="str">
        <f>IF($A483="","",N(INDEX('PI Furnizor'!$D:$D,ROW()-3)))</f>
        <v/>
      </c>
      <c r="F483" s="31" t="str">
        <f>IF(ISNUMBER($X483),INDEX(Comenzi!$G:$G,$X483),"")</f>
        <v/>
      </c>
      <c r="G483" s="32" t="str">
        <f>IF($A483="","",N(INDEX('PI Furnizor'!$E:$E,ROW()-3)))</f>
        <v/>
      </c>
      <c r="H483" s="33" t="str">
        <f t="shared" si="91"/>
        <v/>
      </c>
      <c r="I483" s="34" t="str">
        <f>IF($Y483&lt;&gt;1,"",IFERROR($AE483/INDEX(Comenzi!$AN:$AN,$X483),0))</f>
        <v/>
      </c>
      <c r="J483" s="33" t="str">
        <f>IF($Y483&lt;&gt;1,"",INDEX(Comenzi!$AG:$AG,$X483)*$I483/$E483)</f>
        <v/>
      </c>
      <c r="K483" s="33" t="str">
        <f t="shared" si="92"/>
        <v/>
      </c>
      <c r="L483" s="33" t="str">
        <f>IF($Y483&lt;&gt;1,"",$K483*$AD483+INDEX(Comenzi!$AJ:$AJ,$X483)*$I483/$E483)</f>
        <v/>
      </c>
      <c r="M483" s="33" t="str">
        <f t="shared" si="93"/>
        <v/>
      </c>
      <c r="N483" s="33" t="str">
        <f t="shared" si="94"/>
        <v/>
      </c>
      <c r="O483" s="33" t="str">
        <f>IF($Y483&lt;&gt;1,"",(INDEX(Comenzi!$AK:$AK,$X483)+N(INDEX(Comenzi!$T:$T,$X483)))*$I483/$E483)</f>
        <v/>
      </c>
      <c r="P483" s="35" t="str">
        <f t="shared" si="95"/>
        <v/>
      </c>
      <c r="Q483" s="36" t="str">
        <f t="shared" si="96"/>
        <v/>
      </c>
      <c r="R483" s="37" t="str">
        <f t="shared" si="97"/>
        <v/>
      </c>
      <c r="S483" s="38" t="str">
        <f t="shared" si="98"/>
        <v/>
      </c>
      <c r="T483" s="39" t="str">
        <f t="shared" si="99"/>
        <v/>
      </c>
      <c r="U483" s="40" t="str">
        <f t="shared" si="100"/>
        <v/>
      </c>
      <c r="V483" s="33" t="str">
        <f t="shared" si="101"/>
        <v/>
      </c>
      <c r="W483" s="33" t="str">
        <f t="shared" si="102"/>
        <v/>
      </c>
      <c r="X483" s="41" t="str">
        <f>IF($A483="","",IFERROR(MATCH($A483,Comenzi!$A$9:$A$108,0)+8,""))</f>
        <v/>
      </c>
      <c r="Y483" s="41" t="str">
        <f t="shared" si="103"/>
        <v/>
      </c>
      <c r="Z483" s="42" t="str">
        <f>IF($A483="","",IF($A483="?","Lipseste ID-ul comenzii (col. A din PI Furnizor)",IF(NOT(ISNUMBER($X483)),"ID comanda negasit in foaia Comenzi",IF(N($E483)&lt;=0,"Lipseste cantitatea",IF(N($G483)=0,"Pret unitar lipsa",IF($Y483&lt;&gt;1,"Curs sau moneda marfa lipsa (foaia Comenzi)",IF(INDEX(Comenzi!$AT:$AT,$X483)&lt;&gt;"OK","Avertisment comanda: "&amp;INDEX(Comenzi!$AT:$AT,$X483),"OK")))))))</f>
        <v/>
      </c>
      <c r="AA483" s="43" t="str">
        <f>IF(ISNUMBER($X483),INDEX(Comenzi!$H:$H,$X483),"")</f>
        <v/>
      </c>
      <c r="AB483" s="43" t="str">
        <f>IF(ISNUMBER($X483),INDEX(Comenzi!$I:$I,$X483),"")</f>
        <v/>
      </c>
      <c r="AC483" s="44" t="str">
        <f>IF(ISNUMBER($X483),IF(INDEX(Comenzi!$V:$V,$X483)="",Comenzi!$D$3,INDEX(Comenzi!$V:$V,$X483)),"")</f>
        <v/>
      </c>
      <c r="AD483" s="44" t="str">
        <f>IF(ISNUMBER($X483),IF(INDEX(Comenzi!$U:$U,$X483)="",Comenzi!$D$4,INDEX(Comenzi!$U:$U,$X483)),"")</f>
        <v/>
      </c>
      <c r="AE483" s="45" t="str">
        <f>IF($Y483&lt;&gt;1,"",IF(INDEX(Comenzi!$AM:$AM,$X483)="Greutate",INDEX('PI Furnizor'!$O:$O,ROW()-3),IF(INDEX(Comenzi!$AM:$AM,$X483)="Volum (CBM)",INDEX('PI Furnizor'!$Q:$Q,ROW()-3),IF(INDEX(Comenzi!$AM:$AM,$X483)="Valoare marfa",INDEX('PI Furnizor'!$N:$N,ROW()-3),$E483))))</f>
        <v/>
      </c>
    </row>
    <row r="484" spans="1:31" x14ac:dyDescent="0.3">
      <c r="A484" s="28" t="str">
        <f>IF(COUNTA(INDEX('PI Furnizor'!$A:$E,ROW()-3,0))=0,"",IF(INDEX('PI Furnizor'!$A:$A,ROW()-3)="","?",INDEX('PI Furnizor'!$A:$A,ROW()-3)))</f>
        <v/>
      </c>
      <c r="B484" s="29" t="str">
        <f>IF(ISNUMBER($X484),INDEX(Comenzi!$B:$B,$X484),"")</f>
        <v/>
      </c>
      <c r="C484" s="28" t="str">
        <f>IF($A484="","",INDEX('PI Furnizor'!$B:$B,ROW()-3)&amp;"")</f>
        <v/>
      </c>
      <c r="D484" s="28" t="str">
        <f>IF($A484="","",INDEX('PI Furnizor'!$C:$C,ROW()-3)&amp;"")</f>
        <v/>
      </c>
      <c r="E484" s="30" t="str">
        <f>IF($A484="","",N(INDEX('PI Furnizor'!$D:$D,ROW()-3)))</f>
        <v/>
      </c>
      <c r="F484" s="31" t="str">
        <f>IF(ISNUMBER($X484),INDEX(Comenzi!$G:$G,$X484),"")</f>
        <v/>
      </c>
      <c r="G484" s="32" t="str">
        <f>IF($A484="","",N(INDEX('PI Furnizor'!$E:$E,ROW()-3)))</f>
        <v/>
      </c>
      <c r="H484" s="33" t="str">
        <f t="shared" si="91"/>
        <v/>
      </c>
      <c r="I484" s="34" t="str">
        <f>IF($Y484&lt;&gt;1,"",IFERROR($AE484/INDEX(Comenzi!$AN:$AN,$X484),0))</f>
        <v/>
      </c>
      <c r="J484" s="33" t="str">
        <f>IF($Y484&lt;&gt;1,"",INDEX(Comenzi!$AG:$AG,$X484)*$I484/$E484)</f>
        <v/>
      </c>
      <c r="K484" s="33" t="str">
        <f t="shared" si="92"/>
        <v/>
      </c>
      <c r="L484" s="33" t="str">
        <f>IF($Y484&lt;&gt;1,"",$K484*$AD484+INDEX(Comenzi!$AJ:$AJ,$X484)*$I484/$E484)</f>
        <v/>
      </c>
      <c r="M484" s="33" t="str">
        <f t="shared" si="93"/>
        <v/>
      </c>
      <c r="N484" s="33" t="str">
        <f t="shared" si="94"/>
        <v/>
      </c>
      <c r="O484" s="33" t="str">
        <f>IF($Y484&lt;&gt;1,"",(INDEX(Comenzi!$AK:$AK,$X484)+N(INDEX(Comenzi!$T:$T,$X484)))*$I484/$E484)</f>
        <v/>
      </c>
      <c r="P484" s="35" t="str">
        <f t="shared" si="95"/>
        <v/>
      </c>
      <c r="Q484" s="36" t="str">
        <f t="shared" si="96"/>
        <v/>
      </c>
      <c r="R484" s="37" t="str">
        <f t="shared" si="97"/>
        <v/>
      </c>
      <c r="S484" s="38" t="str">
        <f t="shared" si="98"/>
        <v/>
      </c>
      <c r="T484" s="39" t="str">
        <f t="shared" si="99"/>
        <v/>
      </c>
      <c r="U484" s="40" t="str">
        <f t="shared" si="100"/>
        <v/>
      </c>
      <c r="V484" s="33" t="str">
        <f t="shared" si="101"/>
        <v/>
      </c>
      <c r="W484" s="33" t="str">
        <f t="shared" si="102"/>
        <v/>
      </c>
      <c r="X484" s="41" t="str">
        <f>IF($A484="","",IFERROR(MATCH($A484,Comenzi!$A$9:$A$108,0)+8,""))</f>
        <v/>
      </c>
      <c r="Y484" s="41" t="str">
        <f t="shared" si="103"/>
        <v/>
      </c>
      <c r="Z484" s="42" t="str">
        <f>IF($A484="","",IF($A484="?","Lipseste ID-ul comenzii (col. A din PI Furnizor)",IF(NOT(ISNUMBER($X484)),"ID comanda negasit in foaia Comenzi",IF(N($E484)&lt;=0,"Lipseste cantitatea",IF(N($G484)=0,"Pret unitar lipsa",IF($Y484&lt;&gt;1,"Curs sau moneda marfa lipsa (foaia Comenzi)",IF(INDEX(Comenzi!$AT:$AT,$X484)&lt;&gt;"OK","Avertisment comanda: "&amp;INDEX(Comenzi!$AT:$AT,$X484),"OK")))))))</f>
        <v/>
      </c>
      <c r="AA484" s="43" t="str">
        <f>IF(ISNUMBER($X484),INDEX(Comenzi!$H:$H,$X484),"")</f>
        <v/>
      </c>
      <c r="AB484" s="43" t="str">
        <f>IF(ISNUMBER($X484),INDEX(Comenzi!$I:$I,$X484),"")</f>
        <v/>
      </c>
      <c r="AC484" s="44" t="str">
        <f>IF(ISNUMBER($X484),IF(INDEX(Comenzi!$V:$V,$X484)="",Comenzi!$D$3,INDEX(Comenzi!$V:$V,$X484)),"")</f>
        <v/>
      </c>
      <c r="AD484" s="44" t="str">
        <f>IF(ISNUMBER($X484),IF(INDEX(Comenzi!$U:$U,$X484)="",Comenzi!$D$4,INDEX(Comenzi!$U:$U,$X484)),"")</f>
        <v/>
      </c>
      <c r="AE484" s="45" t="str">
        <f>IF($Y484&lt;&gt;1,"",IF(INDEX(Comenzi!$AM:$AM,$X484)="Greutate",INDEX('PI Furnizor'!$O:$O,ROW()-3),IF(INDEX(Comenzi!$AM:$AM,$X484)="Volum (CBM)",INDEX('PI Furnizor'!$Q:$Q,ROW()-3),IF(INDEX(Comenzi!$AM:$AM,$X484)="Valoare marfa",INDEX('PI Furnizor'!$N:$N,ROW()-3),$E484))))</f>
        <v/>
      </c>
    </row>
    <row r="485" spans="1:31" x14ac:dyDescent="0.3">
      <c r="A485" s="28" t="str">
        <f>IF(COUNTA(INDEX('PI Furnizor'!$A:$E,ROW()-3,0))=0,"",IF(INDEX('PI Furnizor'!$A:$A,ROW()-3)="","?",INDEX('PI Furnizor'!$A:$A,ROW()-3)))</f>
        <v/>
      </c>
      <c r="B485" s="29" t="str">
        <f>IF(ISNUMBER($X485),INDEX(Comenzi!$B:$B,$X485),"")</f>
        <v/>
      </c>
      <c r="C485" s="28" t="str">
        <f>IF($A485="","",INDEX('PI Furnizor'!$B:$B,ROW()-3)&amp;"")</f>
        <v/>
      </c>
      <c r="D485" s="28" t="str">
        <f>IF($A485="","",INDEX('PI Furnizor'!$C:$C,ROW()-3)&amp;"")</f>
        <v/>
      </c>
      <c r="E485" s="30" t="str">
        <f>IF($A485="","",N(INDEX('PI Furnizor'!$D:$D,ROW()-3)))</f>
        <v/>
      </c>
      <c r="F485" s="31" t="str">
        <f>IF(ISNUMBER($X485),INDEX(Comenzi!$G:$G,$X485),"")</f>
        <v/>
      </c>
      <c r="G485" s="32" t="str">
        <f>IF($A485="","",N(INDEX('PI Furnizor'!$E:$E,ROW()-3)))</f>
        <v/>
      </c>
      <c r="H485" s="33" t="str">
        <f t="shared" si="91"/>
        <v/>
      </c>
      <c r="I485" s="34" t="str">
        <f>IF($Y485&lt;&gt;1,"",IFERROR($AE485/INDEX(Comenzi!$AN:$AN,$X485),0))</f>
        <v/>
      </c>
      <c r="J485" s="33" t="str">
        <f>IF($Y485&lt;&gt;1,"",INDEX(Comenzi!$AG:$AG,$X485)*$I485/$E485)</f>
        <v/>
      </c>
      <c r="K485" s="33" t="str">
        <f t="shared" si="92"/>
        <v/>
      </c>
      <c r="L485" s="33" t="str">
        <f>IF($Y485&lt;&gt;1,"",$K485*$AD485+INDEX(Comenzi!$AJ:$AJ,$X485)*$I485/$E485)</f>
        <v/>
      </c>
      <c r="M485" s="33" t="str">
        <f t="shared" si="93"/>
        <v/>
      </c>
      <c r="N485" s="33" t="str">
        <f t="shared" si="94"/>
        <v/>
      </c>
      <c r="O485" s="33" t="str">
        <f>IF($Y485&lt;&gt;1,"",(INDEX(Comenzi!$AK:$AK,$X485)+N(INDEX(Comenzi!$T:$T,$X485)))*$I485/$E485)</f>
        <v/>
      </c>
      <c r="P485" s="35" t="str">
        <f t="shared" si="95"/>
        <v/>
      </c>
      <c r="Q485" s="36" t="str">
        <f t="shared" si="96"/>
        <v/>
      </c>
      <c r="R485" s="37" t="str">
        <f t="shared" si="97"/>
        <v/>
      </c>
      <c r="S485" s="38" t="str">
        <f t="shared" si="98"/>
        <v/>
      </c>
      <c r="T485" s="39" t="str">
        <f t="shared" si="99"/>
        <v/>
      </c>
      <c r="U485" s="40" t="str">
        <f t="shared" si="100"/>
        <v/>
      </c>
      <c r="V485" s="33" t="str">
        <f t="shared" si="101"/>
        <v/>
      </c>
      <c r="W485" s="33" t="str">
        <f t="shared" si="102"/>
        <v/>
      </c>
      <c r="X485" s="41" t="str">
        <f>IF($A485="","",IFERROR(MATCH($A485,Comenzi!$A$9:$A$108,0)+8,""))</f>
        <v/>
      </c>
      <c r="Y485" s="41" t="str">
        <f t="shared" si="103"/>
        <v/>
      </c>
      <c r="Z485" s="42" t="str">
        <f>IF($A485="","",IF($A485="?","Lipseste ID-ul comenzii (col. A din PI Furnizor)",IF(NOT(ISNUMBER($X485)),"ID comanda negasit in foaia Comenzi",IF(N($E485)&lt;=0,"Lipseste cantitatea",IF(N($G485)=0,"Pret unitar lipsa",IF($Y485&lt;&gt;1,"Curs sau moneda marfa lipsa (foaia Comenzi)",IF(INDEX(Comenzi!$AT:$AT,$X485)&lt;&gt;"OK","Avertisment comanda: "&amp;INDEX(Comenzi!$AT:$AT,$X485),"OK")))))))</f>
        <v/>
      </c>
      <c r="AA485" s="43" t="str">
        <f>IF(ISNUMBER($X485),INDEX(Comenzi!$H:$H,$X485),"")</f>
        <v/>
      </c>
      <c r="AB485" s="43" t="str">
        <f>IF(ISNUMBER($X485),INDEX(Comenzi!$I:$I,$X485),"")</f>
        <v/>
      </c>
      <c r="AC485" s="44" t="str">
        <f>IF(ISNUMBER($X485),IF(INDEX(Comenzi!$V:$V,$X485)="",Comenzi!$D$3,INDEX(Comenzi!$V:$V,$X485)),"")</f>
        <v/>
      </c>
      <c r="AD485" s="44" t="str">
        <f>IF(ISNUMBER($X485),IF(INDEX(Comenzi!$U:$U,$X485)="",Comenzi!$D$4,INDEX(Comenzi!$U:$U,$X485)),"")</f>
        <v/>
      </c>
      <c r="AE485" s="45" t="str">
        <f>IF($Y485&lt;&gt;1,"",IF(INDEX(Comenzi!$AM:$AM,$X485)="Greutate",INDEX('PI Furnizor'!$O:$O,ROW()-3),IF(INDEX(Comenzi!$AM:$AM,$X485)="Volum (CBM)",INDEX('PI Furnizor'!$Q:$Q,ROW()-3),IF(INDEX(Comenzi!$AM:$AM,$X485)="Valoare marfa",INDEX('PI Furnizor'!$N:$N,ROW()-3),$E485))))</f>
        <v/>
      </c>
    </row>
    <row r="486" spans="1:31" x14ac:dyDescent="0.3">
      <c r="A486" s="28" t="str">
        <f>IF(COUNTA(INDEX('PI Furnizor'!$A:$E,ROW()-3,0))=0,"",IF(INDEX('PI Furnizor'!$A:$A,ROW()-3)="","?",INDEX('PI Furnizor'!$A:$A,ROW()-3)))</f>
        <v/>
      </c>
      <c r="B486" s="29" t="str">
        <f>IF(ISNUMBER($X486),INDEX(Comenzi!$B:$B,$X486),"")</f>
        <v/>
      </c>
      <c r="C486" s="28" t="str">
        <f>IF($A486="","",INDEX('PI Furnizor'!$B:$B,ROW()-3)&amp;"")</f>
        <v/>
      </c>
      <c r="D486" s="28" t="str">
        <f>IF($A486="","",INDEX('PI Furnizor'!$C:$C,ROW()-3)&amp;"")</f>
        <v/>
      </c>
      <c r="E486" s="30" t="str">
        <f>IF($A486="","",N(INDEX('PI Furnizor'!$D:$D,ROW()-3)))</f>
        <v/>
      </c>
      <c r="F486" s="31" t="str">
        <f>IF(ISNUMBER($X486),INDEX(Comenzi!$G:$G,$X486),"")</f>
        <v/>
      </c>
      <c r="G486" s="32" t="str">
        <f>IF($A486="","",N(INDEX('PI Furnizor'!$E:$E,ROW()-3)))</f>
        <v/>
      </c>
      <c r="H486" s="33" t="str">
        <f t="shared" si="91"/>
        <v/>
      </c>
      <c r="I486" s="34" t="str">
        <f>IF($Y486&lt;&gt;1,"",IFERROR($AE486/INDEX(Comenzi!$AN:$AN,$X486),0))</f>
        <v/>
      </c>
      <c r="J486" s="33" t="str">
        <f>IF($Y486&lt;&gt;1,"",INDEX(Comenzi!$AG:$AG,$X486)*$I486/$E486)</f>
        <v/>
      </c>
      <c r="K486" s="33" t="str">
        <f t="shared" si="92"/>
        <v/>
      </c>
      <c r="L486" s="33" t="str">
        <f>IF($Y486&lt;&gt;1,"",$K486*$AD486+INDEX(Comenzi!$AJ:$AJ,$X486)*$I486/$E486)</f>
        <v/>
      </c>
      <c r="M486" s="33" t="str">
        <f t="shared" si="93"/>
        <v/>
      </c>
      <c r="N486" s="33" t="str">
        <f t="shared" si="94"/>
        <v/>
      </c>
      <c r="O486" s="33" t="str">
        <f>IF($Y486&lt;&gt;1,"",(INDEX(Comenzi!$AK:$AK,$X486)+N(INDEX(Comenzi!$T:$T,$X486)))*$I486/$E486)</f>
        <v/>
      </c>
      <c r="P486" s="35" t="str">
        <f t="shared" si="95"/>
        <v/>
      </c>
      <c r="Q486" s="36" t="str">
        <f t="shared" si="96"/>
        <v/>
      </c>
      <c r="R486" s="37" t="str">
        <f t="shared" si="97"/>
        <v/>
      </c>
      <c r="S486" s="38" t="str">
        <f t="shared" si="98"/>
        <v/>
      </c>
      <c r="T486" s="39" t="str">
        <f t="shared" si="99"/>
        <v/>
      </c>
      <c r="U486" s="40" t="str">
        <f t="shared" si="100"/>
        <v/>
      </c>
      <c r="V486" s="33" t="str">
        <f t="shared" si="101"/>
        <v/>
      </c>
      <c r="W486" s="33" t="str">
        <f t="shared" si="102"/>
        <v/>
      </c>
      <c r="X486" s="41" t="str">
        <f>IF($A486="","",IFERROR(MATCH($A486,Comenzi!$A$9:$A$108,0)+8,""))</f>
        <v/>
      </c>
      <c r="Y486" s="41" t="str">
        <f t="shared" si="103"/>
        <v/>
      </c>
      <c r="Z486" s="42" t="str">
        <f>IF($A486="","",IF($A486="?","Lipseste ID-ul comenzii (col. A din PI Furnizor)",IF(NOT(ISNUMBER($X486)),"ID comanda negasit in foaia Comenzi",IF(N($E486)&lt;=0,"Lipseste cantitatea",IF(N($G486)=0,"Pret unitar lipsa",IF($Y486&lt;&gt;1,"Curs sau moneda marfa lipsa (foaia Comenzi)",IF(INDEX(Comenzi!$AT:$AT,$X486)&lt;&gt;"OK","Avertisment comanda: "&amp;INDEX(Comenzi!$AT:$AT,$X486),"OK")))))))</f>
        <v/>
      </c>
      <c r="AA486" s="43" t="str">
        <f>IF(ISNUMBER($X486),INDEX(Comenzi!$H:$H,$X486),"")</f>
        <v/>
      </c>
      <c r="AB486" s="43" t="str">
        <f>IF(ISNUMBER($X486),INDEX(Comenzi!$I:$I,$X486),"")</f>
        <v/>
      </c>
      <c r="AC486" s="44" t="str">
        <f>IF(ISNUMBER($X486),IF(INDEX(Comenzi!$V:$V,$X486)="",Comenzi!$D$3,INDEX(Comenzi!$V:$V,$X486)),"")</f>
        <v/>
      </c>
      <c r="AD486" s="44" t="str">
        <f>IF(ISNUMBER($X486),IF(INDEX(Comenzi!$U:$U,$X486)="",Comenzi!$D$4,INDEX(Comenzi!$U:$U,$X486)),"")</f>
        <v/>
      </c>
      <c r="AE486" s="45" t="str">
        <f>IF($Y486&lt;&gt;1,"",IF(INDEX(Comenzi!$AM:$AM,$X486)="Greutate",INDEX('PI Furnizor'!$O:$O,ROW()-3),IF(INDEX(Comenzi!$AM:$AM,$X486)="Volum (CBM)",INDEX('PI Furnizor'!$Q:$Q,ROW()-3),IF(INDEX(Comenzi!$AM:$AM,$X486)="Valoare marfa",INDEX('PI Furnizor'!$N:$N,ROW()-3),$E486))))</f>
        <v/>
      </c>
    </row>
    <row r="487" spans="1:31" x14ac:dyDescent="0.3">
      <c r="A487" s="28" t="str">
        <f>IF(COUNTA(INDEX('PI Furnizor'!$A:$E,ROW()-3,0))=0,"",IF(INDEX('PI Furnizor'!$A:$A,ROW()-3)="","?",INDEX('PI Furnizor'!$A:$A,ROW()-3)))</f>
        <v/>
      </c>
      <c r="B487" s="29" t="str">
        <f>IF(ISNUMBER($X487),INDEX(Comenzi!$B:$B,$X487),"")</f>
        <v/>
      </c>
      <c r="C487" s="28" t="str">
        <f>IF($A487="","",INDEX('PI Furnizor'!$B:$B,ROW()-3)&amp;"")</f>
        <v/>
      </c>
      <c r="D487" s="28" t="str">
        <f>IF($A487="","",INDEX('PI Furnizor'!$C:$C,ROW()-3)&amp;"")</f>
        <v/>
      </c>
      <c r="E487" s="30" t="str">
        <f>IF($A487="","",N(INDEX('PI Furnizor'!$D:$D,ROW()-3)))</f>
        <v/>
      </c>
      <c r="F487" s="31" t="str">
        <f>IF(ISNUMBER($X487),INDEX(Comenzi!$G:$G,$X487),"")</f>
        <v/>
      </c>
      <c r="G487" s="32" t="str">
        <f>IF($A487="","",N(INDEX('PI Furnizor'!$E:$E,ROW()-3)))</f>
        <v/>
      </c>
      <c r="H487" s="33" t="str">
        <f t="shared" si="91"/>
        <v/>
      </c>
      <c r="I487" s="34" t="str">
        <f>IF($Y487&lt;&gt;1,"",IFERROR($AE487/INDEX(Comenzi!$AN:$AN,$X487),0))</f>
        <v/>
      </c>
      <c r="J487" s="33" t="str">
        <f>IF($Y487&lt;&gt;1,"",INDEX(Comenzi!$AG:$AG,$X487)*$I487/$E487)</f>
        <v/>
      </c>
      <c r="K487" s="33" t="str">
        <f t="shared" si="92"/>
        <v/>
      </c>
      <c r="L487" s="33" t="str">
        <f>IF($Y487&lt;&gt;1,"",$K487*$AD487+INDEX(Comenzi!$AJ:$AJ,$X487)*$I487/$E487)</f>
        <v/>
      </c>
      <c r="M487" s="33" t="str">
        <f t="shared" si="93"/>
        <v/>
      </c>
      <c r="N487" s="33" t="str">
        <f t="shared" si="94"/>
        <v/>
      </c>
      <c r="O487" s="33" t="str">
        <f>IF($Y487&lt;&gt;1,"",(INDEX(Comenzi!$AK:$AK,$X487)+N(INDEX(Comenzi!$T:$T,$X487)))*$I487/$E487)</f>
        <v/>
      </c>
      <c r="P487" s="35" t="str">
        <f t="shared" si="95"/>
        <v/>
      </c>
      <c r="Q487" s="36" t="str">
        <f t="shared" si="96"/>
        <v/>
      </c>
      <c r="R487" s="37" t="str">
        <f t="shared" si="97"/>
        <v/>
      </c>
      <c r="S487" s="38" t="str">
        <f t="shared" si="98"/>
        <v/>
      </c>
      <c r="T487" s="39" t="str">
        <f t="shared" si="99"/>
        <v/>
      </c>
      <c r="U487" s="40" t="str">
        <f t="shared" si="100"/>
        <v/>
      </c>
      <c r="V487" s="33" t="str">
        <f t="shared" si="101"/>
        <v/>
      </c>
      <c r="W487" s="33" t="str">
        <f t="shared" si="102"/>
        <v/>
      </c>
      <c r="X487" s="41" t="str">
        <f>IF($A487="","",IFERROR(MATCH($A487,Comenzi!$A$9:$A$108,0)+8,""))</f>
        <v/>
      </c>
      <c r="Y487" s="41" t="str">
        <f t="shared" si="103"/>
        <v/>
      </c>
      <c r="Z487" s="42" t="str">
        <f>IF($A487="","",IF($A487="?","Lipseste ID-ul comenzii (col. A din PI Furnizor)",IF(NOT(ISNUMBER($X487)),"ID comanda negasit in foaia Comenzi",IF(N($E487)&lt;=0,"Lipseste cantitatea",IF(N($G487)=0,"Pret unitar lipsa",IF($Y487&lt;&gt;1,"Curs sau moneda marfa lipsa (foaia Comenzi)",IF(INDEX(Comenzi!$AT:$AT,$X487)&lt;&gt;"OK","Avertisment comanda: "&amp;INDEX(Comenzi!$AT:$AT,$X487),"OK")))))))</f>
        <v/>
      </c>
      <c r="AA487" s="43" t="str">
        <f>IF(ISNUMBER($X487),INDEX(Comenzi!$H:$H,$X487),"")</f>
        <v/>
      </c>
      <c r="AB487" s="43" t="str">
        <f>IF(ISNUMBER($X487),INDEX(Comenzi!$I:$I,$X487),"")</f>
        <v/>
      </c>
      <c r="AC487" s="44" t="str">
        <f>IF(ISNUMBER($X487),IF(INDEX(Comenzi!$V:$V,$X487)="",Comenzi!$D$3,INDEX(Comenzi!$V:$V,$X487)),"")</f>
        <v/>
      </c>
      <c r="AD487" s="44" t="str">
        <f>IF(ISNUMBER($X487),IF(INDEX(Comenzi!$U:$U,$X487)="",Comenzi!$D$4,INDEX(Comenzi!$U:$U,$X487)),"")</f>
        <v/>
      </c>
      <c r="AE487" s="45" t="str">
        <f>IF($Y487&lt;&gt;1,"",IF(INDEX(Comenzi!$AM:$AM,$X487)="Greutate",INDEX('PI Furnizor'!$O:$O,ROW()-3),IF(INDEX(Comenzi!$AM:$AM,$X487)="Volum (CBM)",INDEX('PI Furnizor'!$Q:$Q,ROW()-3),IF(INDEX(Comenzi!$AM:$AM,$X487)="Valoare marfa",INDEX('PI Furnizor'!$N:$N,ROW()-3),$E487))))</f>
        <v/>
      </c>
    </row>
    <row r="488" spans="1:31" x14ac:dyDescent="0.3">
      <c r="A488" s="28" t="str">
        <f>IF(COUNTA(INDEX('PI Furnizor'!$A:$E,ROW()-3,0))=0,"",IF(INDEX('PI Furnizor'!$A:$A,ROW()-3)="","?",INDEX('PI Furnizor'!$A:$A,ROW()-3)))</f>
        <v/>
      </c>
      <c r="B488" s="29" t="str">
        <f>IF(ISNUMBER($X488),INDEX(Comenzi!$B:$B,$X488),"")</f>
        <v/>
      </c>
      <c r="C488" s="28" t="str">
        <f>IF($A488="","",INDEX('PI Furnizor'!$B:$B,ROW()-3)&amp;"")</f>
        <v/>
      </c>
      <c r="D488" s="28" t="str">
        <f>IF($A488="","",INDEX('PI Furnizor'!$C:$C,ROW()-3)&amp;"")</f>
        <v/>
      </c>
      <c r="E488" s="30" t="str">
        <f>IF($A488="","",N(INDEX('PI Furnizor'!$D:$D,ROW()-3)))</f>
        <v/>
      </c>
      <c r="F488" s="31" t="str">
        <f>IF(ISNUMBER($X488),INDEX(Comenzi!$G:$G,$X488),"")</f>
        <v/>
      </c>
      <c r="G488" s="32" t="str">
        <f>IF($A488="","",N(INDEX('PI Furnizor'!$E:$E,ROW()-3)))</f>
        <v/>
      </c>
      <c r="H488" s="33" t="str">
        <f t="shared" si="91"/>
        <v/>
      </c>
      <c r="I488" s="34" t="str">
        <f>IF($Y488&lt;&gt;1,"",IFERROR($AE488/INDEX(Comenzi!$AN:$AN,$X488),0))</f>
        <v/>
      </c>
      <c r="J488" s="33" t="str">
        <f>IF($Y488&lt;&gt;1,"",INDEX(Comenzi!$AG:$AG,$X488)*$I488/$E488)</f>
        <v/>
      </c>
      <c r="K488" s="33" t="str">
        <f t="shared" si="92"/>
        <v/>
      </c>
      <c r="L488" s="33" t="str">
        <f>IF($Y488&lt;&gt;1,"",$K488*$AD488+INDEX(Comenzi!$AJ:$AJ,$X488)*$I488/$E488)</f>
        <v/>
      </c>
      <c r="M488" s="33" t="str">
        <f t="shared" si="93"/>
        <v/>
      </c>
      <c r="N488" s="33" t="str">
        <f t="shared" si="94"/>
        <v/>
      </c>
      <c r="O488" s="33" t="str">
        <f>IF($Y488&lt;&gt;1,"",(INDEX(Comenzi!$AK:$AK,$X488)+N(INDEX(Comenzi!$T:$T,$X488)))*$I488/$E488)</f>
        <v/>
      </c>
      <c r="P488" s="35" t="str">
        <f t="shared" si="95"/>
        <v/>
      </c>
      <c r="Q488" s="36" t="str">
        <f t="shared" si="96"/>
        <v/>
      </c>
      <c r="R488" s="37" t="str">
        <f t="shared" si="97"/>
        <v/>
      </c>
      <c r="S488" s="38" t="str">
        <f t="shared" si="98"/>
        <v/>
      </c>
      <c r="T488" s="39" t="str">
        <f t="shared" si="99"/>
        <v/>
      </c>
      <c r="U488" s="40" t="str">
        <f t="shared" si="100"/>
        <v/>
      </c>
      <c r="V488" s="33" t="str">
        <f t="shared" si="101"/>
        <v/>
      </c>
      <c r="W488" s="33" t="str">
        <f t="shared" si="102"/>
        <v/>
      </c>
      <c r="X488" s="41" t="str">
        <f>IF($A488="","",IFERROR(MATCH($A488,Comenzi!$A$9:$A$108,0)+8,""))</f>
        <v/>
      </c>
      <c r="Y488" s="41" t="str">
        <f t="shared" si="103"/>
        <v/>
      </c>
      <c r="Z488" s="42" t="str">
        <f>IF($A488="","",IF($A488="?","Lipseste ID-ul comenzii (col. A din PI Furnizor)",IF(NOT(ISNUMBER($X488)),"ID comanda negasit in foaia Comenzi",IF(N($E488)&lt;=0,"Lipseste cantitatea",IF(N($G488)=0,"Pret unitar lipsa",IF($Y488&lt;&gt;1,"Curs sau moneda marfa lipsa (foaia Comenzi)",IF(INDEX(Comenzi!$AT:$AT,$X488)&lt;&gt;"OK","Avertisment comanda: "&amp;INDEX(Comenzi!$AT:$AT,$X488),"OK")))))))</f>
        <v/>
      </c>
      <c r="AA488" s="43" t="str">
        <f>IF(ISNUMBER($X488),INDEX(Comenzi!$H:$H,$X488),"")</f>
        <v/>
      </c>
      <c r="AB488" s="43" t="str">
        <f>IF(ISNUMBER($X488),INDEX(Comenzi!$I:$I,$X488),"")</f>
        <v/>
      </c>
      <c r="AC488" s="44" t="str">
        <f>IF(ISNUMBER($X488),IF(INDEX(Comenzi!$V:$V,$X488)="",Comenzi!$D$3,INDEX(Comenzi!$V:$V,$X488)),"")</f>
        <v/>
      </c>
      <c r="AD488" s="44" t="str">
        <f>IF(ISNUMBER($X488),IF(INDEX(Comenzi!$U:$U,$X488)="",Comenzi!$D$4,INDEX(Comenzi!$U:$U,$X488)),"")</f>
        <v/>
      </c>
      <c r="AE488" s="45" t="str">
        <f>IF($Y488&lt;&gt;1,"",IF(INDEX(Comenzi!$AM:$AM,$X488)="Greutate",INDEX('PI Furnizor'!$O:$O,ROW()-3),IF(INDEX(Comenzi!$AM:$AM,$X488)="Volum (CBM)",INDEX('PI Furnizor'!$Q:$Q,ROW()-3),IF(INDEX(Comenzi!$AM:$AM,$X488)="Valoare marfa",INDEX('PI Furnizor'!$N:$N,ROW()-3),$E488))))</f>
        <v/>
      </c>
    </row>
    <row r="489" spans="1:31" x14ac:dyDescent="0.3">
      <c r="A489" s="28" t="str">
        <f>IF(COUNTA(INDEX('PI Furnizor'!$A:$E,ROW()-3,0))=0,"",IF(INDEX('PI Furnizor'!$A:$A,ROW()-3)="","?",INDEX('PI Furnizor'!$A:$A,ROW()-3)))</f>
        <v/>
      </c>
      <c r="B489" s="29" t="str">
        <f>IF(ISNUMBER($X489),INDEX(Comenzi!$B:$B,$X489),"")</f>
        <v/>
      </c>
      <c r="C489" s="28" t="str">
        <f>IF($A489="","",INDEX('PI Furnizor'!$B:$B,ROW()-3)&amp;"")</f>
        <v/>
      </c>
      <c r="D489" s="28" t="str">
        <f>IF($A489="","",INDEX('PI Furnizor'!$C:$C,ROW()-3)&amp;"")</f>
        <v/>
      </c>
      <c r="E489" s="30" t="str">
        <f>IF($A489="","",N(INDEX('PI Furnizor'!$D:$D,ROW()-3)))</f>
        <v/>
      </c>
      <c r="F489" s="31" t="str">
        <f>IF(ISNUMBER($X489),INDEX(Comenzi!$G:$G,$X489),"")</f>
        <v/>
      </c>
      <c r="G489" s="32" t="str">
        <f>IF($A489="","",N(INDEX('PI Furnizor'!$E:$E,ROW()-3)))</f>
        <v/>
      </c>
      <c r="H489" s="33" t="str">
        <f t="shared" si="91"/>
        <v/>
      </c>
      <c r="I489" s="34" t="str">
        <f>IF($Y489&lt;&gt;1,"",IFERROR($AE489/INDEX(Comenzi!$AN:$AN,$X489),0))</f>
        <v/>
      </c>
      <c r="J489" s="33" t="str">
        <f>IF($Y489&lt;&gt;1,"",INDEX(Comenzi!$AG:$AG,$X489)*$I489/$E489)</f>
        <v/>
      </c>
      <c r="K489" s="33" t="str">
        <f t="shared" si="92"/>
        <v/>
      </c>
      <c r="L489" s="33" t="str">
        <f>IF($Y489&lt;&gt;1,"",$K489*$AD489+INDEX(Comenzi!$AJ:$AJ,$X489)*$I489/$E489)</f>
        <v/>
      </c>
      <c r="M489" s="33" t="str">
        <f t="shared" si="93"/>
        <v/>
      </c>
      <c r="N489" s="33" t="str">
        <f t="shared" si="94"/>
        <v/>
      </c>
      <c r="O489" s="33" t="str">
        <f>IF($Y489&lt;&gt;1,"",(INDEX(Comenzi!$AK:$AK,$X489)+N(INDEX(Comenzi!$T:$T,$X489)))*$I489/$E489)</f>
        <v/>
      </c>
      <c r="P489" s="35" t="str">
        <f t="shared" si="95"/>
        <v/>
      </c>
      <c r="Q489" s="36" t="str">
        <f t="shared" si="96"/>
        <v/>
      </c>
      <c r="R489" s="37" t="str">
        <f t="shared" si="97"/>
        <v/>
      </c>
      <c r="S489" s="38" t="str">
        <f t="shared" si="98"/>
        <v/>
      </c>
      <c r="T489" s="39" t="str">
        <f t="shared" si="99"/>
        <v/>
      </c>
      <c r="U489" s="40" t="str">
        <f t="shared" si="100"/>
        <v/>
      </c>
      <c r="V489" s="33" t="str">
        <f t="shared" si="101"/>
        <v/>
      </c>
      <c r="W489" s="33" t="str">
        <f t="shared" si="102"/>
        <v/>
      </c>
      <c r="X489" s="41" t="str">
        <f>IF($A489="","",IFERROR(MATCH($A489,Comenzi!$A$9:$A$108,0)+8,""))</f>
        <v/>
      </c>
      <c r="Y489" s="41" t="str">
        <f t="shared" si="103"/>
        <v/>
      </c>
      <c r="Z489" s="42" t="str">
        <f>IF($A489="","",IF($A489="?","Lipseste ID-ul comenzii (col. A din PI Furnizor)",IF(NOT(ISNUMBER($X489)),"ID comanda negasit in foaia Comenzi",IF(N($E489)&lt;=0,"Lipseste cantitatea",IF(N($G489)=0,"Pret unitar lipsa",IF($Y489&lt;&gt;1,"Curs sau moneda marfa lipsa (foaia Comenzi)",IF(INDEX(Comenzi!$AT:$AT,$X489)&lt;&gt;"OK","Avertisment comanda: "&amp;INDEX(Comenzi!$AT:$AT,$X489),"OK")))))))</f>
        <v/>
      </c>
      <c r="AA489" s="43" t="str">
        <f>IF(ISNUMBER($X489),INDEX(Comenzi!$H:$H,$X489),"")</f>
        <v/>
      </c>
      <c r="AB489" s="43" t="str">
        <f>IF(ISNUMBER($X489),INDEX(Comenzi!$I:$I,$X489),"")</f>
        <v/>
      </c>
      <c r="AC489" s="44" t="str">
        <f>IF(ISNUMBER($X489),IF(INDEX(Comenzi!$V:$V,$X489)="",Comenzi!$D$3,INDEX(Comenzi!$V:$V,$X489)),"")</f>
        <v/>
      </c>
      <c r="AD489" s="44" t="str">
        <f>IF(ISNUMBER($X489),IF(INDEX(Comenzi!$U:$U,$X489)="",Comenzi!$D$4,INDEX(Comenzi!$U:$U,$X489)),"")</f>
        <v/>
      </c>
      <c r="AE489" s="45" t="str">
        <f>IF($Y489&lt;&gt;1,"",IF(INDEX(Comenzi!$AM:$AM,$X489)="Greutate",INDEX('PI Furnizor'!$O:$O,ROW()-3),IF(INDEX(Comenzi!$AM:$AM,$X489)="Volum (CBM)",INDEX('PI Furnizor'!$Q:$Q,ROW()-3),IF(INDEX(Comenzi!$AM:$AM,$X489)="Valoare marfa",INDEX('PI Furnizor'!$N:$N,ROW()-3),$E489))))</f>
        <v/>
      </c>
    </row>
    <row r="490" spans="1:31" x14ac:dyDescent="0.3">
      <c r="A490" s="28" t="str">
        <f>IF(COUNTA(INDEX('PI Furnizor'!$A:$E,ROW()-3,0))=0,"",IF(INDEX('PI Furnizor'!$A:$A,ROW()-3)="","?",INDEX('PI Furnizor'!$A:$A,ROW()-3)))</f>
        <v/>
      </c>
      <c r="B490" s="29" t="str">
        <f>IF(ISNUMBER($X490),INDEX(Comenzi!$B:$B,$X490),"")</f>
        <v/>
      </c>
      <c r="C490" s="28" t="str">
        <f>IF($A490="","",INDEX('PI Furnizor'!$B:$B,ROW()-3)&amp;"")</f>
        <v/>
      </c>
      <c r="D490" s="28" t="str">
        <f>IF($A490="","",INDEX('PI Furnizor'!$C:$C,ROW()-3)&amp;"")</f>
        <v/>
      </c>
      <c r="E490" s="30" t="str">
        <f>IF($A490="","",N(INDEX('PI Furnizor'!$D:$D,ROW()-3)))</f>
        <v/>
      </c>
      <c r="F490" s="31" t="str">
        <f>IF(ISNUMBER($X490),INDEX(Comenzi!$G:$G,$X490),"")</f>
        <v/>
      </c>
      <c r="G490" s="32" t="str">
        <f>IF($A490="","",N(INDEX('PI Furnizor'!$E:$E,ROW()-3)))</f>
        <v/>
      </c>
      <c r="H490" s="33" t="str">
        <f t="shared" si="91"/>
        <v/>
      </c>
      <c r="I490" s="34" t="str">
        <f>IF($Y490&lt;&gt;1,"",IFERROR($AE490/INDEX(Comenzi!$AN:$AN,$X490),0))</f>
        <v/>
      </c>
      <c r="J490" s="33" t="str">
        <f>IF($Y490&lt;&gt;1,"",INDEX(Comenzi!$AG:$AG,$X490)*$I490/$E490)</f>
        <v/>
      </c>
      <c r="K490" s="33" t="str">
        <f t="shared" si="92"/>
        <v/>
      </c>
      <c r="L490" s="33" t="str">
        <f>IF($Y490&lt;&gt;1,"",$K490*$AD490+INDEX(Comenzi!$AJ:$AJ,$X490)*$I490/$E490)</f>
        <v/>
      </c>
      <c r="M490" s="33" t="str">
        <f t="shared" si="93"/>
        <v/>
      </c>
      <c r="N490" s="33" t="str">
        <f t="shared" si="94"/>
        <v/>
      </c>
      <c r="O490" s="33" t="str">
        <f>IF($Y490&lt;&gt;1,"",(INDEX(Comenzi!$AK:$AK,$X490)+N(INDEX(Comenzi!$T:$T,$X490)))*$I490/$E490)</f>
        <v/>
      </c>
      <c r="P490" s="35" t="str">
        <f t="shared" si="95"/>
        <v/>
      </c>
      <c r="Q490" s="36" t="str">
        <f t="shared" si="96"/>
        <v/>
      </c>
      <c r="R490" s="37" t="str">
        <f t="shared" si="97"/>
        <v/>
      </c>
      <c r="S490" s="38" t="str">
        <f t="shared" si="98"/>
        <v/>
      </c>
      <c r="T490" s="39" t="str">
        <f t="shared" si="99"/>
        <v/>
      </c>
      <c r="U490" s="40" t="str">
        <f t="shared" si="100"/>
        <v/>
      </c>
      <c r="V490" s="33" t="str">
        <f t="shared" si="101"/>
        <v/>
      </c>
      <c r="W490" s="33" t="str">
        <f t="shared" si="102"/>
        <v/>
      </c>
      <c r="X490" s="41" t="str">
        <f>IF($A490="","",IFERROR(MATCH($A490,Comenzi!$A$9:$A$108,0)+8,""))</f>
        <v/>
      </c>
      <c r="Y490" s="41" t="str">
        <f t="shared" si="103"/>
        <v/>
      </c>
      <c r="Z490" s="42" t="str">
        <f>IF($A490="","",IF($A490="?","Lipseste ID-ul comenzii (col. A din PI Furnizor)",IF(NOT(ISNUMBER($X490)),"ID comanda negasit in foaia Comenzi",IF(N($E490)&lt;=0,"Lipseste cantitatea",IF(N($G490)=0,"Pret unitar lipsa",IF($Y490&lt;&gt;1,"Curs sau moneda marfa lipsa (foaia Comenzi)",IF(INDEX(Comenzi!$AT:$AT,$X490)&lt;&gt;"OK","Avertisment comanda: "&amp;INDEX(Comenzi!$AT:$AT,$X490),"OK")))))))</f>
        <v/>
      </c>
      <c r="AA490" s="43" t="str">
        <f>IF(ISNUMBER($X490),INDEX(Comenzi!$H:$H,$X490),"")</f>
        <v/>
      </c>
      <c r="AB490" s="43" t="str">
        <f>IF(ISNUMBER($X490),INDEX(Comenzi!$I:$I,$X490),"")</f>
        <v/>
      </c>
      <c r="AC490" s="44" t="str">
        <f>IF(ISNUMBER($X490),IF(INDEX(Comenzi!$V:$V,$X490)="",Comenzi!$D$3,INDEX(Comenzi!$V:$V,$X490)),"")</f>
        <v/>
      </c>
      <c r="AD490" s="44" t="str">
        <f>IF(ISNUMBER($X490),IF(INDEX(Comenzi!$U:$U,$X490)="",Comenzi!$D$4,INDEX(Comenzi!$U:$U,$X490)),"")</f>
        <v/>
      </c>
      <c r="AE490" s="45" t="str">
        <f>IF($Y490&lt;&gt;1,"",IF(INDEX(Comenzi!$AM:$AM,$X490)="Greutate",INDEX('PI Furnizor'!$O:$O,ROW()-3),IF(INDEX(Comenzi!$AM:$AM,$X490)="Volum (CBM)",INDEX('PI Furnizor'!$Q:$Q,ROW()-3),IF(INDEX(Comenzi!$AM:$AM,$X490)="Valoare marfa",INDEX('PI Furnizor'!$N:$N,ROW()-3),$E490))))</f>
        <v/>
      </c>
    </row>
    <row r="491" spans="1:31" x14ac:dyDescent="0.3">
      <c r="A491" s="28" t="str">
        <f>IF(COUNTA(INDEX('PI Furnizor'!$A:$E,ROW()-3,0))=0,"",IF(INDEX('PI Furnizor'!$A:$A,ROW()-3)="","?",INDEX('PI Furnizor'!$A:$A,ROW()-3)))</f>
        <v/>
      </c>
      <c r="B491" s="29" t="str">
        <f>IF(ISNUMBER($X491),INDEX(Comenzi!$B:$B,$X491),"")</f>
        <v/>
      </c>
      <c r="C491" s="28" t="str">
        <f>IF($A491="","",INDEX('PI Furnizor'!$B:$B,ROW()-3)&amp;"")</f>
        <v/>
      </c>
      <c r="D491" s="28" t="str">
        <f>IF($A491="","",INDEX('PI Furnizor'!$C:$C,ROW()-3)&amp;"")</f>
        <v/>
      </c>
      <c r="E491" s="30" t="str">
        <f>IF($A491="","",N(INDEX('PI Furnizor'!$D:$D,ROW()-3)))</f>
        <v/>
      </c>
      <c r="F491" s="31" t="str">
        <f>IF(ISNUMBER($X491),INDEX(Comenzi!$G:$G,$X491),"")</f>
        <v/>
      </c>
      <c r="G491" s="32" t="str">
        <f>IF($A491="","",N(INDEX('PI Furnizor'!$E:$E,ROW()-3)))</f>
        <v/>
      </c>
      <c r="H491" s="33" t="str">
        <f t="shared" si="91"/>
        <v/>
      </c>
      <c r="I491" s="34" t="str">
        <f>IF($Y491&lt;&gt;1,"",IFERROR($AE491/INDEX(Comenzi!$AN:$AN,$X491),0))</f>
        <v/>
      </c>
      <c r="J491" s="33" t="str">
        <f>IF($Y491&lt;&gt;1,"",INDEX(Comenzi!$AG:$AG,$X491)*$I491/$E491)</f>
        <v/>
      </c>
      <c r="K491" s="33" t="str">
        <f t="shared" si="92"/>
        <v/>
      </c>
      <c r="L491" s="33" t="str">
        <f>IF($Y491&lt;&gt;1,"",$K491*$AD491+INDEX(Comenzi!$AJ:$AJ,$X491)*$I491/$E491)</f>
        <v/>
      </c>
      <c r="M491" s="33" t="str">
        <f t="shared" si="93"/>
        <v/>
      </c>
      <c r="N491" s="33" t="str">
        <f t="shared" si="94"/>
        <v/>
      </c>
      <c r="O491" s="33" t="str">
        <f>IF($Y491&lt;&gt;1,"",(INDEX(Comenzi!$AK:$AK,$X491)+N(INDEX(Comenzi!$T:$T,$X491)))*$I491/$E491)</f>
        <v/>
      </c>
      <c r="P491" s="35" t="str">
        <f t="shared" si="95"/>
        <v/>
      </c>
      <c r="Q491" s="36" t="str">
        <f t="shared" si="96"/>
        <v/>
      </c>
      <c r="R491" s="37" t="str">
        <f t="shared" si="97"/>
        <v/>
      </c>
      <c r="S491" s="38" t="str">
        <f t="shared" si="98"/>
        <v/>
      </c>
      <c r="T491" s="39" t="str">
        <f t="shared" si="99"/>
        <v/>
      </c>
      <c r="U491" s="40" t="str">
        <f t="shared" si="100"/>
        <v/>
      </c>
      <c r="V491" s="33" t="str">
        <f t="shared" si="101"/>
        <v/>
      </c>
      <c r="W491" s="33" t="str">
        <f t="shared" si="102"/>
        <v/>
      </c>
      <c r="X491" s="41" t="str">
        <f>IF($A491="","",IFERROR(MATCH($A491,Comenzi!$A$9:$A$108,0)+8,""))</f>
        <v/>
      </c>
      <c r="Y491" s="41" t="str">
        <f t="shared" si="103"/>
        <v/>
      </c>
      <c r="Z491" s="42" t="str">
        <f>IF($A491="","",IF($A491="?","Lipseste ID-ul comenzii (col. A din PI Furnizor)",IF(NOT(ISNUMBER($X491)),"ID comanda negasit in foaia Comenzi",IF(N($E491)&lt;=0,"Lipseste cantitatea",IF(N($G491)=0,"Pret unitar lipsa",IF($Y491&lt;&gt;1,"Curs sau moneda marfa lipsa (foaia Comenzi)",IF(INDEX(Comenzi!$AT:$AT,$X491)&lt;&gt;"OK","Avertisment comanda: "&amp;INDEX(Comenzi!$AT:$AT,$X491),"OK")))))))</f>
        <v/>
      </c>
      <c r="AA491" s="43" t="str">
        <f>IF(ISNUMBER($X491),INDEX(Comenzi!$H:$H,$X491),"")</f>
        <v/>
      </c>
      <c r="AB491" s="43" t="str">
        <f>IF(ISNUMBER($X491),INDEX(Comenzi!$I:$I,$X491),"")</f>
        <v/>
      </c>
      <c r="AC491" s="44" t="str">
        <f>IF(ISNUMBER($X491),IF(INDEX(Comenzi!$V:$V,$X491)="",Comenzi!$D$3,INDEX(Comenzi!$V:$V,$X491)),"")</f>
        <v/>
      </c>
      <c r="AD491" s="44" t="str">
        <f>IF(ISNUMBER($X491),IF(INDEX(Comenzi!$U:$U,$X491)="",Comenzi!$D$4,INDEX(Comenzi!$U:$U,$X491)),"")</f>
        <v/>
      </c>
      <c r="AE491" s="45" t="str">
        <f>IF($Y491&lt;&gt;1,"",IF(INDEX(Comenzi!$AM:$AM,$X491)="Greutate",INDEX('PI Furnizor'!$O:$O,ROW()-3),IF(INDEX(Comenzi!$AM:$AM,$X491)="Volum (CBM)",INDEX('PI Furnizor'!$Q:$Q,ROW()-3),IF(INDEX(Comenzi!$AM:$AM,$X491)="Valoare marfa",INDEX('PI Furnizor'!$N:$N,ROW()-3),$E491))))</f>
        <v/>
      </c>
    </row>
    <row r="492" spans="1:31" x14ac:dyDescent="0.3">
      <c r="A492" s="28" t="str">
        <f>IF(COUNTA(INDEX('PI Furnizor'!$A:$E,ROW()-3,0))=0,"",IF(INDEX('PI Furnizor'!$A:$A,ROW()-3)="","?",INDEX('PI Furnizor'!$A:$A,ROW()-3)))</f>
        <v/>
      </c>
      <c r="B492" s="29" t="str">
        <f>IF(ISNUMBER($X492),INDEX(Comenzi!$B:$B,$X492),"")</f>
        <v/>
      </c>
      <c r="C492" s="28" t="str">
        <f>IF($A492="","",INDEX('PI Furnizor'!$B:$B,ROW()-3)&amp;"")</f>
        <v/>
      </c>
      <c r="D492" s="28" t="str">
        <f>IF($A492="","",INDEX('PI Furnizor'!$C:$C,ROW()-3)&amp;"")</f>
        <v/>
      </c>
      <c r="E492" s="30" t="str">
        <f>IF($A492="","",N(INDEX('PI Furnizor'!$D:$D,ROW()-3)))</f>
        <v/>
      </c>
      <c r="F492" s="31" t="str">
        <f>IF(ISNUMBER($X492),INDEX(Comenzi!$G:$G,$X492),"")</f>
        <v/>
      </c>
      <c r="G492" s="32" t="str">
        <f>IF($A492="","",N(INDEX('PI Furnizor'!$E:$E,ROW()-3)))</f>
        <v/>
      </c>
      <c r="H492" s="33" t="str">
        <f t="shared" si="91"/>
        <v/>
      </c>
      <c r="I492" s="34" t="str">
        <f>IF($Y492&lt;&gt;1,"",IFERROR($AE492/INDEX(Comenzi!$AN:$AN,$X492),0))</f>
        <v/>
      </c>
      <c r="J492" s="33" t="str">
        <f>IF($Y492&lt;&gt;1,"",INDEX(Comenzi!$AG:$AG,$X492)*$I492/$E492)</f>
        <v/>
      </c>
      <c r="K492" s="33" t="str">
        <f t="shared" si="92"/>
        <v/>
      </c>
      <c r="L492" s="33" t="str">
        <f>IF($Y492&lt;&gt;1,"",$K492*$AD492+INDEX(Comenzi!$AJ:$AJ,$X492)*$I492/$E492)</f>
        <v/>
      </c>
      <c r="M492" s="33" t="str">
        <f t="shared" si="93"/>
        <v/>
      </c>
      <c r="N492" s="33" t="str">
        <f t="shared" si="94"/>
        <v/>
      </c>
      <c r="O492" s="33" t="str">
        <f>IF($Y492&lt;&gt;1,"",(INDEX(Comenzi!$AK:$AK,$X492)+N(INDEX(Comenzi!$T:$T,$X492)))*$I492/$E492)</f>
        <v/>
      </c>
      <c r="P492" s="35" t="str">
        <f t="shared" si="95"/>
        <v/>
      </c>
      <c r="Q492" s="36" t="str">
        <f t="shared" si="96"/>
        <v/>
      </c>
      <c r="R492" s="37" t="str">
        <f t="shared" si="97"/>
        <v/>
      </c>
      <c r="S492" s="38" t="str">
        <f t="shared" si="98"/>
        <v/>
      </c>
      <c r="T492" s="39" t="str">
        <f t="shared" si="99"/>
        <v/>
      </c>
      <c r="U492" s="40" t="str">
        <f t="shared" si="100"/>
        <v/>
      </c>
      <c r="V492" s="33" t="str">
        <f t="shared" si="101"/>
        <v/>
      </c>
      <c r="W492" s="33" t="str">
        <f t="shared" si="102"/>
        <v/>
      </c>
      <c r="X492" s="41" t="str">
        <f>IF($A492="","",IFERROR(MATCH($A492,Comenzi!$A$9:$A$108,0)+8,""))</f>
        <v/>
      </c>
      <c r="Y492" s="41" t="str">
        <f t="shared" si="103"/>
        <v/>
      </c>
      <c r="Z492" s="42" t="str">
        <f>IF($A492="","",IF($A492="?","Lipseste ID-ul comenzii (col. A din PI Furnizor)",IF(NOT(ISNUMBER($X492)),"ID comanda negasit in foaia Comenzi",IF(N($E492)&lt;=0,"Lipseste cantitatea",IF(N($G492)=0,"Pret unitar lipsa",IF($Y492&lt;&gt;1,"Curs sau moneda marfa lipsa (foaia Comenzi)",IF(INDEX(Comenzi!$AT:$AT,$X492)&lt;&gt;"OK","Avertisment comanda: "&amp;INDEX(Comenzi!$AT:$AT,$X492),"OK")))))))</f>
        <v/>
      </c>
      <c r="AA492" s="43" t="str">
        <f>IF(ISNUMBER($X492),INDEX(Comenzi!$H:$H,$X492),"")</f>
        <v/>
      </c>
      <c r="AB492" s="43" t="str">
        <f>IF(ISNUMBER($X492),INDEX(Comenzi!$I:$I,$X492),"")</f>
        <v/>
      </c>
      <c r="AC492" s="44" t="str">
        <f>IF(ISNUMBER($X492),IF(INDEX(Comenzi!$V:$V,$X492)="",Comenzi!$D$3,INDEX(Comenzi!$V:$V,$X492)),"")</f>
        <v/>
      </c>
      <c r="AD492" s="44" t="str">
        <f>IF(ISNUMBER($X492),IF(INDEX(Comenzi!$U:$U,$X492)="",Comenzi!$D$4,INDEX(Comenzi!$U:$U,$X492)),"")</f>
        <v/>
      </c>
      <c r="AE492" s="45" t="str">
        <f>IF($Y492&lt;&gt;1,"",IF(INDEX(Comenzi!$AM:$AM,$X492)="Greutate",INDEX('PI Furnizor'!$O:$O,ROW()-3),IF(INDEX(Comenzi!$AM:$AM,$X492)="Volum (CBM)",INDEX('PI Furnizor'!$Q:$Q,ROW()-3),IF(INDEX(Comenzi!$AM:$AM,$X492)="Valoare marfa",INDEX('PI Furnizor'!$N:$N,ROW()-3),$E492))))</f>
        <v/>
      </c>
    </row>
    <row r="493" spans="1:31" x14ac:dyDescent="0.3">
      <c r="A493" s="28" t="str">
        <f>IF(COUNTA(INDEX('PI Furnizor'!$A:$E,ROW()-3,0))=0,"",IF(INDEX('PI Furnizor'!$A:$A,ROW()-3)="","?",INDEX('PI Furnizor'!$A:$A,ROW()-3)))</f>
        <v/>
      </c>
      <c r="B493" s="29" t="str">
        <f>IF(ISNUMBER($X493),INDEX(Comenzi!$B:$B,$X493),"")</f>
        <v/>
      </c>
      <c r="C493" s="28" t="str">
        <f>IF($A493="","",INDEX('PI Furnizor'!$B:$B,ROW()-3)&amp;"")</f>
        <v/>
      </c>
      <c r="D493" s="28" t="str">
        <f>IF($A493="","",INDEX('PI Furnizor'!$C:$C,ROW()-3)&amp;"")</f>
        <v/>
      </c>
      <c r="E493" s="30" t="str">
        <f>IF($A493="","",N(INDEX('PI Furnizor'!$D:$D,ROW()-3)))</f>
        <v/>
      </c>
      <c r="F493" s="31" t="str">
        <f>IF(ISNUMBER($X493),INDEX(Comenzi!$G:$G,$X493),"")</f>
        <v/>
      </c>
      <c r="G493" s="32" t="str">
        <f>IF($A493="","",N(INDEX('PI Furnizor'!$E:$E,ROW()-3)))</f>
        <v/>
      </c>
      <c r="H493" s="33" t="str">
        <f t="shared" si="91"/>
        <v/>
      </c>
      <c r="I493" s="34" t="str">
        <f>IF($Y493&lt;&gt;1,"",IFERROR($AE493/INDEX(Comenzi!$AN:$AN,$X493),0))</f>
        <v/>
      </c>
      <c r="J493" s="33" t="str">
        <f>IF($Y493&lt;&gt;1,"",INDEX(Comenzi!$AG:$AG,$X493)*$I493/$E493)</f>
        <v/>
      </c>
      <c r="K493" s="33" t="str">
        <f t="shared" si="92"/>
        <v/>
      </c>
      <c r="L493" s="33" t="str">
        <f>IF($Y493&lt;&gt;1,"",$K493*$AD493+INDEX(Comenzi!$AJ:$AJ,$X493)*$I493/$E493)</f>
        <v/>
      </c>
      <c r="M493" s="33" t="str">
        <f t="shared" si="93"/>
        <v/>
      </c>
      <c r="N493" s="33" t="str">
        <f t="shared" si="94"/>
        <v/>
      </c>
      <c r="O493" s="33" t="str">
        <f>IF($Y493&lt;&gt;1,"",(INDEX(Comenzi!$AK:$AK,$X493)+N(INDEX(Comenzi!$T:$T,$X493)))*$I493/$E493)</f>
        <v/>
      </c>
      <c r="P493" s="35" t="str">
        <f t="shared" si="95"/>
        <v/>
      </c>
      <c r="Q493" s="36" t="str">
        <f t="shared" si="96"/>
        <v/>
      </c>
      <c r="R493" s="37" t="str">
        <f t="shared" si="97"/>
        <v/>
      </c>
      <c r="S493" s="38" t="str">
        <f t="shared" si="98"/>
        <v/>
      </c>
      <c r="T493" s="39" t="str">
        <f t="shared" si="99"/>
        <v/>
      </c>
      <c r="U493" s="40" t="str">
        <f t="shared" si="100"/>
        <v/>
      </c>
      <c r="V493" s="33" t="str">
        <f t="shared" si="101"/>
        <v/>
      </c>
      <c r="W493" s="33" t="str">
        <f t="shared" si="102"/>
        <v/>
      </c>
      <c r="X493" s="41" t="str">
        <f>IF($A493="","",IFERROR(MATCH($A493,Comenzi!$A$9:$A$108,0)+8,""))</f>
        <v/>
      </c>
      <c r="Y493" s="41" t="str">
        <f t="shared" si="103"/>
        <v/>
      </c>
      <c r="Z493" s="42" t="str">
        <f>IF($A493="","",IF($A493="?","Lipseste ID-ul comenzii (col. A din PI Furnizor)",IF(NOT(ISNUMBER($X493)),"ID comanda negasit in foaia Comenzi",IF(N($E493)&lt;=0,"Lipseste cantitatea",IF(N($G493)=0,"Pret unitar lipsa",IF($Y493&lt;&gt;1,"Curs sau moneda marfa lipsa (foaia Comenzi)",IF(INDEX(Comenzi!$AT:$AT,$X493)&lt;&gt;"OK","Avertisment comanda: "&amp;INDEX(Comenzi!$AT:$AT,$X493),"OK")))))))</f>
        <v/>
      </c>
      <c r="AA493" s="43" t="str">
        <f>IF(ISNUMBER($X493),INDEX(Comenzi!$H:$H,$X493),"")</f>
        <v/>
      </c>
      <c r="AB493" s="43" t="str">
        <f>IF(ISNUMBER($X493),INDEX(Comenzi!$I:$I,$X493),"")</f>
        <v/>
      </c>
      <c r="AC493" s="44" t="str">
        <f>IF(ISNUMBER($X493),IF(INDEX(Comenzi!$V:$V,$X493)="",Comenzi!$D$3,INDEX(Comenzi!$V:$V,$X493)),"")</f>
        <v/>
      </c>
      <c r="AD493" s="44" t="str">
        <f>IF(ISNUMBER($X493),IF(INDEX(Comenzi!$U:$U,$X493)="",Comenzi!$D$4,INDEX(Comenzi!$U:$U,$X493)),"")</f>
        <v/>
      </c>
      <c r="AE493" s="45" t="str">
        <f>IF($Y493&lt;&gt;1,"",IF(INDEX(Comenzi!$AM:$AM,$X493)="Greutate",INDEX('PI Furnizor'!$O:$O,ROW()-3),IF(INDEX(Comenzi!$AM:$AM,$X493)="Volum (CBM)",INDEX('PI Furnizor'!$Q:$Q,ROW()-3),IF(INDEX(Comenzi!$AM:$AM,$X493)="Valoare marfa",INDEX('PI Furnizor'!$N:$N,ROW()-3),$E493))))</f>
        <v/>
      </c>
    </row>
    <row r="494" spans="1:31" x14ac:dyDescent="0.3">
      <c r="A494" s="28" t="str">
        <f>IF(COUNTA(INDEX('PI Furnizor'!$A:$E,ROW()-3,0))=0,"",IF(INDEX('PI Furnizor'!$A:$A,ROW()-3)="","?",INDEX('PI Furnizor'!$A:$A,ROW()-3)))</f>
        <v/>
      </c>
      <c r="B494" s="29" t="str">
        <f>IF(ISNUMBER($X494),INDEX(Comenzi!$B:$B,$X494),"")</f>
        <v/>
      </c>
      <c r="C494" s="28" t="str">
        <f>IF($A494="","",INDEX('PI Furnizor'!$B:$B,ROW()-3)&amp;"")</f>
        <v/>
      </c>
      <c r="D494" s="28" t="str">
        <f>IF($A494="","",INDEX('PI Furnizor'!$C:$C,ROW()-3)&amp;"")</f>
        <v/>
      </c>
      <c r="E494" s="30" t="str">
        <f>IF($A494="","",N(INDEX('PI Furnizor'!$D:$D,ROW()-3)))</f>
        <v/>
      </c>
      <c r="F494" s="31" t="str">
        <f>IF(ISNUMBER($X494),INDEX(Comenzi!$G:$G,$X494),"")</f>
        <v/>
      </c>
      <c r="G494" s="32" t="str">
        <f>IF($A494="","",N(INDEX('PI Furnizor'!$E:$E,ROW()-3)))</f>
        <v/>
      </c>
      <c r="H494" s="33" t="str">
        <f t="shared" si="91"/>
        <v/>
      </c>
      <c r="I494" s="34" t="str">
        <f>IF($Y494&lt;&gt;1,"",IFERROR($AE494/INDEX(Comenzi!$AN:$AN,$X494),0))</f>
        <v/>
      </c>
      <c r="J494" s="33" t="str">
        <f>IF($Y494&lt;&gt;1,"",INDEX(Comenzi!$AG:$AG,$X494)*$I494/$E494)</f>
        <v/>
      </c>
      <c r="K494" s="33" t="str">
        <f t="shared" si="92"/>
        <v/>
      </c>
      <c r="L494" s="33" t="str">
        <f>IF($Y494&lt;&gt;1,"",$K494*$AD494+INDEX(Comenzi!$AJ:$AJ,$X494)*$I494/$E494)</f>
        <v/>
      </c>
      <c r="M494" s="33" t="str">
        <f t="shared" si="93"/>
        <v/>
      </c>
      <c r="N494" s="33" t="str">
        <f t="shared" si="94"/>
        <v/>
      </c>
      <c r="O494" s="33" t="str">
        <f>IF($Y494&lt;&gt;1,"",(INDEX(Comenzi!$AK:$AK,$X494)+N(INDEX(Comenzi!$T:$T,$X494)))*$I494/$E494)</f>
        <v/>
      </c>
      <c r="P494" s="35" t="str">
        <f t="shared" si="95"/>
        <v/>
      </c>
      <c r="Q494" s="36" t="str">
        <f t="shared" si="96"/>
        <v/>
      </c>
      <c r="R494" s="37" t="str">
        <f t="shared" si="97"/>
        <v/>
      </c>
      <c r="S494" s="38" t="str">
        <f t="shared" si="98"/>
        <v/>
      </c>
      <c r="T494" s="39" t="str">
        <f t="shared" si="99"/>
        <v/>
      </c>
      <c r="U494" s="40" t="str">
        <f t="shared" si="100"/>
        <v/>
      </c>
      <c r="V494" s="33" t="str">
        <f t="shared" si="101"/>
        <v/>
      </c>
      <c r="W494" s="33" t="str">
        <f t="shared" si="102"/>
        <v/>
      </c>
      <c r="X494" s="41" t="str">
        <f>IF($A494="","",IFERROR(MATCH($A494,Comenzi!$A$9:$A$108,0)+8,""))</f>
        <v/>
      </c>
      <c r="Y494" s="41" t="str">
        <f t="shared" si="103"/>
        <v/>
      </c>
      <c r="Z494" s="42" t="str">
        <f>IF($A494="","",IF($A494="?","Lipseste ID-ul comenzii (col. A din PI Furnizor)",IF(NOT(ISNUMBER($X494)),"ID comanda negasit in foaia Comenzi",IF(N($E494)&lt;=0,"Lipseste cantitatea",IF(N($G494)=0,"Pret unitar lipsa",IF($Y494&lt;&gt;1,"Curs sau moneda marfa lipsa (foaia Comenzi)",IF(INDEX(Comenzi!$AT:$AT,$X494)&lt;&gt;"OK","Avertisment comanda: "&amp;INDEX(Comenzi!$AT:$AT,$X494),"OK")))))))</f>
        <v/>
      </c>
      <c r="AA494" s="43" t="str">
        <f>IF(ISNUMBER($X494),INDEX(Comenzi!$H:$H,$X494),"")</f>
        <v/>
      </c>
      <c r="AB494" s="43" t="str">
        <f>IF(ISNUMBER($X494),INDEX(Comenzi!$I:$I,$X494),"")</f>
        <v/>
      </c>
      <c r="AC494" s="44" t="str">
        <f>IF(ISNUMBER($X494),IF(INDEX(Comenzi!$V:$V,$X494)="",Comenzi!$D$3,INDEX(Comenzi!$V:$V,$X494)),"")</f>
        <v/>
      </c>
      <c r="AD494" s="44" t="str">
        <f>IF(ISNUMBER($X494),IF(INDEX(Comenzi!$U:$U,$X494)="",Comenzi!$D$4,INDEX(Comenzi!$U:$U,$X494)),"")</f>
        <v/>
      </c>
      <c r="AE494" s="45" t="str">
        <f>IF($Y494&lt;&gt;1,"",IF(INDEX(Comenzi!$AM:$AM,$X494)="Greutate",INDEX('PI Furnizor'!$O:$O,ROW()-3),IF(INDEX(Comenzi!$AM:$AM,$X494)="Volum (CBM)",INDEX('PI Furnizor'!$Q:$Q,ROW()-3),IF(INDEX(Comenzi!$AM:$AM,$X494)="Valoare marfa",INDEX('PI Furnizor'!$N:$N,ROW()-3),$E494))))</f>
        <v/>
      </c>
    </row>
    <row r="495" spans="1:31" x14ac:dyDescent="0.3">
      <c r="A495" s="28" t="str">
        <f>IF(COUNTA(INDEX('PI Furnizor'!$A:$E,ROW()-3,0))=0,"",IF(INDEX('PI Furnizor'!$A:$A,ROW()-3)="","?",INDEX('PI Furnizor'!$A:$A,ROW()-3)))</f>
        <v/>
      </c>
      <c r="B495" s="29" t="str">
        <f>IF(ISNUMBER($X495),INDEX(Comenzi!$B:$B,$X495),"")</f>
        <v/>
      </c>
      <c r="C495" s="28" t="str">
        <f>IF($A495="","",INDEX('PI Furnizor'!$B:$B,ROW()-3)&amp;"")</f>
        <v/>
      </c>
      <c r="D495" s="28" t="str">
        <f>IF($A495="","",INDEX('PI Furnizor'!$C:$C,ROW()-3)&amp;"")</f>
        <v/>
      </c>
      <c r="E495" s="30" t="str">
        <f>IF($A495="","",N(INDEX('PI Furnizor'!$D:$D,ROW()-3)))</f>
        <v/>
      </c>
      <c r="F495" s="31" t="str">
        <f>IF(ISNUMBER($X495),INDEX(Comenzi!$G:$G,$X495),"")</f>
        <v/>
      </c>
      <c r="G495" s="32" t="str">
        <f>IF($A495="","",N(INDEX('PI Furnizor'!$E:$E,ROW()-3)))</f>
        <v/>
      </c>
      <c r="H495" s="33" t="str">
        <f t="shared" si="91"/>
        <v/>
      </c>
      <c r="I495" s="34" t="str">
        <f>IF($Y495&lt;&gt;1,"",IFERROR($AE495/INDEX(Comenzi!$AN:$AN,$X495),0))</f>
        <v/>
      </c>
      <c r="J495" s="33" t="str">
        <f>IF($Y495&lt;&gt;1,"",INDEX(Comenzi!$AG:$AG,$X495)*$I495/$E495)</f>
        <v/>
      </c>
      <c r="K495" s="33" t="str">
        <f t="shared" si="92"/>
        <v/>
      </c>
      <c r="L495" s="33" t="str">
        <f>IF($Y495&lt;&gt;1,"",$K495*$AD495+INDEX(Comenzi!$AJ:$AJ,$X495)*$I495/$E495)</f>
        <v/>
      </c>
      <c r="M495" s="33" t="str">
        <f t="shared" si="93"/>
        <v/>
      </c>
      <c r="N495" s="33" t="str">
        <f t="shared" si="94"/>
        <v/>
      </c>
      <c r="O495" s="33" t="str">
        <f>IF($Y495&lt;&gt;1,"",(INDEX(Comenzi!$AK:$AK,$X495)+N(INDEX(Comenzi!$T:$T,$X495)))*$I495/$E495)</f>
        <v/>
      </c>
      <c r="P495" s="35" t="str">
        <f t="shared" si="95"/>
        <v/>
      </c>
      <c r="Q495" s="36" t="str">
        <f t="shared" si="96"/>
        <v/>
      </c>
      <c r="R495" s="37" t="str">
        <f t="shared" si="97"/>
        <v/>
      </c>
      <c r="S495" s="38" t="str">
        <f t="shared" si="98"/>
        <v/>
      </c>
      <c r="T495" s="39" t="str">
        <f t="shared" si="99"/>
        <v/>
      </c>
      <c r="U495" s="40" t="str">
        <f t="shared" si="100"/>
        <v/>
      </c>
      <c r="V495" s="33" t="str">
        <f t="shared" si="101"/>
        <v/>
      </c>
      <c r="W495" s="33" t="str">
        <f t="shared" si="102"/>
        <v/>
      </c>
      <c r="X495" s="41" t="str">
        <f>IF($A495="","",IFERROR(MATCH($A495,Comenzi!$A$9:$A$108,0)+8,""))</f>
        <v/>
      </c>
      <c r="Y495" s="41" t="str">
        <f t="shared" si="103"/>
        <v/>
      </c>
      <c r="Z495" s="42" t="str">
        <f>IF($A495="","",IF($A495="?","Lipseste ID-ul comenzii (col. A din PI Furnizor)",IF(NOT(ISNUMBER($X495)),"ID comanda negasit in foaia Comenzi",IF(N($E495)&lt;=0,"Lipseste cantitatea",IF(N($G495)=0,"Pret unitar lipsa",IF($Y495&lt;&gt;1,"Curs sau moneda marfa lipsa (foaia Comenzi)",IF(INDEX(Comenzi!$AT:$AT,$X495)&lt;&gt;"OK","Avertisment comanda: "&amp;INDEX(Comenzi!$AT:$AT,$X495),"OK")))))))</f>
        <v/>
      </c>
      <c r="AA495" s="43" t="str">
        <f>IF(ISNUMBER($X495),INDEX(Comenzi!$H:$H,$X495),"")</f>
        <v/>
      </c>
      <c r="AB495" s="43" t="str">
        <f>IF(ISNUMBER($X495),INDEX(Comenzi!$I:$I,$X495),"")</f>
        <v/>
      </c>
      <c r="AC495" s="44" t="str">
        <f>IF(ISNUMBER($X495),IF(INDEX(Comenzi!$V:$V,$X495)="",Comenzi!$D$3,INDEX(Comenzi!$V:$V,$X495)),"")</f>
        <v/>
      </c>
      <c r="AD495" s="44" t="str">
        <f>IF(ISNUMBER($X495),IF(INDEX(Comenzi!$U:$U,$X495)="",Comenzi!$D$4,INDEX(Comenzi!$U:$U,$X495)),"")</f>
        <v/>
      </c>
      <c r="AE495" s="45" t="str">
        <f>IF($Y495&lt;&gt;1,"",IF(INDEX(Comenzi!$AM:$AM,$X495)="Greutate",INDEX('PI Furnizor'!$O:$O,ROW()-3),IF(INDEX(Comenzi!$AM:$AM,$X495)="Volum (CBM)",INDEX('PI Furnizor'!$Q:$Q,ROW()-3),IF(INDEX(Comenzi!$AM:$AM,$X495)="Valoare marfa",INDEX('PI Furnizor'!$N:$N,ROW()-3),$E495))))</f>
        <v/>
      </c>
    </row>
    <row r="496" spans="1:31" x14ac:dyDescent="0.3">
      <c r="A496" s="28" t="str">
        <f>IF(COUNTA(INDEX('PI Furnizor'!$A:$E,ROW()-3,0))=0,"",IF(INDEX('PI Furnizor'!$A:$A,ROW()-3)="","?",INDEX('PI Furnizor'!$A:$A,ROW()-3)))</f>
        <v/>
      </c>
      <c r="B496" s="29" t="str">
        <f>IF(ISNUMBER($X496),INDEX(Comenzi!$B:$B,$X496),"")</f>
        <v/>
      </c>
      <c r="C496" s="28" t="str">
        <f>IF($A496="","",INDEX('PI Furnizor'!$B:$B,ROW()-3)&amp;"")</f>
        <v/>
      </c>
      <c r="D496" s="28" t="str">
        <f>IF($A496="","",INDEX('PI Furnizor'!$C:$C,ROW()-3)&amp;"")</f>
        <v/>
      </c>
      <c r="E496" s="30" t="str">
        <f>IF($A496="","",N(INDEX('PI Furnizor'!$D:$D,ROW()-3)))</f>
        <v/>
      </c>
      <c r="F496" s="31" t="str">
        <f>IF(ISNUMBER($X496),INDEX(Comenzi!$G:$G,$X496),"")</f>
        <v/>
      </c>
      <c r="G496" s="32" t="str">
        <f>IF($A496="","",N(INDEX('PI Furnizor'!$E:$E,ROW()-3)))</f>
        <v/>
      </c>
      <c r="H496" s="33" t="str">
        <f t="shared" si="91"/>
        <v/>
      </c>
      <c r="I496" s="34" t="str">
        <f>IF($Y496&lt;&gt;1,"",IFERROR($AE496/INDEX(Comenzi!$AN:$AN,$X496),0))</f>
        <v/>
      </c>
      <c r="J496" s="33" t="str">
        <f>IF($Y496&lt;&gt;1,"",INDEX(Comenzi!$AG:$AG,$X496)*$I496/$E496)</f>
        <v/>
      </c>
      <c r="K496" s="33" t="str">
        <f t="shared" si="92"/>
        <v/>
      </c>
      <c r="L496" s="33" t="str">
        <f>IF($Y496&lt;&gt;1,"",$K496*$AD496+INDEX(Comenzi!$AJ:$AJ,$X496)*$I496/$E496)</f>
        <v/>
      </c>
      <c r="M496" s="33" t="str">
        <f t="shared" si="93"/>
        <v/>
      </c>
      <c r="N496" s="33" t="str">
        <f t="shared" si="94"/>
        <v/>
      </c>
      <c r="O496" s="33" t="str">
        <f>IF($Y496&lt;&gt;1,"",(INDEX(Comenzi!$AK:$AK,$X496)+N(INDEX(Comenzi!$T:$T,$X496)))*$I496/$E496)</f>
        <v/>
      </c>
      <c r="P496" s="35" t="str">
        <f t="shared" si="95"/>
        <v/>
      </c>
      <c r="Q496" s="36" t="str">
        <f t="shared" si="96"/>
        <v/>
      </c>
      <c r="R496" s="37" t="str">
        <f t="shared" si="97"/>
        <v/>
      </c>
      <c r="S496" s="38" t="str">
        <f t="shared" si="98"/>
        <v/>
      </c>
      <c r="T496" s="39" t="str">
        <f t="shared" si="99"/>
        <v/>
      </c>
      <c r="U496" s="40" t="str">
        <f t="shared" si="100"/>
        <v/>
      </c>
      <c r="V496" s="33" t="str">
        <f t="shared" si="101"/>
        <v/>
      </c>
      <c r="W496" s="33" t="str">
        <f t="shared" si="102"/>
        <v/>
      </c>
      <c r="X496" s="41" t="str">
        <f>IF($A496="","",IFERROR(MATCH($A496,Comenzi!$A$9:$A$108,0)+8,""))</f>
        <v/>
      </c>
      <c r="Y496" s="41" t="str">
        <f t="shared" si="103"/>
        <v/>
      </c>
      <c r="Z496" s="42" t="str">
        <f>IF($A496="","",IF($A496="?","Lipseste ID-ul comenzii (col. A din PI Furnizor)",IF(NOT(ISNUMBER($X496)),"ID comanda negasit in foaia Comenzi",IF(N($E496)&lt;=0,"Lipseste cantitatea",IF(N($G496)=0,"Pret unitar lipsa",IF($Y496&lt;&gt;1,"Curs sau moneda marfa lipsa (foaia Comenzi)",IF(INDEX(Comenzi!$AT:$AT,$X496)&lt;&gt;"OK","Avertisment comanda: "&amp;INDEX(Comenzi!$AT:$AT,$X496),"OK")))))))</f>
        <v/>
      </c>
      <c r="AA496" s="43" t="str">
        <f>IF(ISNUMBER($X496),INDEX(Comenzi!$H:$H,$X496),"")</f>
        <v/>
      </c>
      <c r="AB496" s="43" t="str">
        <f>IF(ISNUMBER($X496),INDEX(Comenzi!$I:$I,$X496),"")</f>
        <v/>
      </c>
      <c r="AC496" s="44" t="str">
        <f>IF(ISNUMBER($X496),IF(INDEX(Comenzi!$V:$V,$X496)="",Comenzi!$D$3,INDEX(Comenzi!$V:$V,$X496)),"")</f>
        <v/>
      </c>
      <c r="AD496" s="44" t="str">
        <f>IF(ISNUMBER($X496),IF(INDEX(Comenzi!$U:$U,$X496)="",Comenzi!$D$4,INDEX(Comenzi!$U:$U,$X496)),"")</f>
        <v/>
      </c>
      <c r="AE496" s="45" t="str">
        <f>IF($Y496&lt;&gt;1,"",IF(INDEX(Comenzi!$AM:$AM,$X496)="Greutate",INDEX('PI Furnizor'!$O:$O,ROW()-3),IF(INDEX(Comenzi!$AM:$AM,$X496)="Volum (CBM)",INDEX('PI Furnizor'!$Q:$Q,ROW()-3),IF(INDEX(Comenzi!$AM:$AM,$X496)="Valoare marfa",INDEX('PI Furnizor'!$N:$N,ROW()-3),$E496))))</f>
        <v/>
      </c>
    </row>
    <row r="497" spans="1:31" x14ac:dyDescent="0.3">
      <c r="A497" s="28" t="str">
        <f>IF(COUNTA(INDEX('PI Furnizor'!$A:$E,ROW()-3,0))=0,"",IF(INDEX('PI Furnizor'!$A:$A,ROW()-3)="","?",INDEX('PI Furnizor'!$A:$A,ROW()-3)))</f>
        <v/>
      </c>
      <c r="B497" s="29" t="str">
        <f>IF(ISNUMBER($X497),INDEX(Comenzi!$B:$B,$X497),"")</f>
        <v/>
      </c>
      <c r="C497" s="28" t="str">
        <f>IF($A497="","",INDEX('PI Furnizor'!$B:$B,ROW()-3)&amp;"")</f>
        <v/>
      </c>
      <c r="D497" s="28" t="str">
        <f>IF($A497="","",INDEX('PI Furnizor'!$C:$C,ROW()-3)&amp;"")</f>
        <v/>
      </c>
      <c r="E497" s="30" t="str">
        <f>IF($A497="","",N(INDEX('PI Furnizor'!$D:$D,ROW()-3)))</f>
        <v/>
      </c>
      <c r="F497" s="31" t="str">
        <f>IF(ISNUMBER($X497),INDEX(Comenzi!$G:$G,$X497),"")</f>
        <v/>
      </c>
      <c r="G497" s="32" t="str">
        <f>IF($A497="","",N(INDEX('PI Furnizor'!$E:$E,ROW()-3)))</f>
        <v/>
      </c>
      <c r="H497" s="33" t="str">
        <f t="shared" si="91"/>
        <v/>
      </c>
      <c r="I497" s="34" t="str">
        <f>IF($Y497&lt;&gt;1,"",IFERROR($AE497/INDEX(Comenzi!$AN:$AN,$X497),0))</f>
        <v/>
      </c>
      <c r="J497" s="33" t="str">
        <f>IF($Y497&lt;&gt;1,"",INDEX(Comenzi!$AG:$AG,$X497)*$I497/$E497)</f>
        <v/>
      </c>
      <c r="K497" s="33" t="str">
        <f t="shared" si="92"/>
        <v/>
      </c>
      <c r="L497" s="33" t="str">
        <f>IF($Y497&lt;&gt;1,"",$K497*$AD497+INDEX(Comenzi!$AJ:$AJ,$X497)*$I497/$E497)</f>
        <v/>
      </c>
      <c r="M497" s="33" t="str">
        <f t="shared" si="93"/>
        <v/>
      </c>
      <c r="N497" s="33" t="str">
        <f t="shared" si="94"/>
        <v/>
      </c>
      <c r="O497" s="33" t="str">
        <f>IF($Y497&lt;&gt;1,"",(INDEX(Comenzi!$AK:$AK,$X497)+N(INDEX(Comenzi!$T:$T,$X497)))*$I497/$E497)</f>
        <v/>
      </c>
      <c r="P497" s="35" t="str">
        <f t="shared" si="95"/>
        <v/>
      </c>
      <c r="Q497" s="36" t="str">
        <f t="shared" si="96"/>
        <v/>
      </c>
      <c r="R497" s="37" t="str">
        <f t="shared" si="97"/>
        <v/>
      </c>
      <c r="S497" s="38" t="str">
        <f t="shared" si="98"/>
        <v/>
      </c>
      <c r="T497" s="39" t="str">
        <f t="shared" si="99"/>
        <v/>
      </c>
      <c r="U497" s="40" t="str">
        <f t="shared" si="100"/>
        <v/>
      </c>
      <c r="V497" s="33" t="str">
        <f t="shared" si="101"/>
        <v/>
      </c>
      <c r="W497" s="33" t="str">
        <f t="shared" si="102"/>
        <v/>
      </c>
      <c r="X497" s="41" t="str">
        <f>IF($A497="","",IFERROR(MATCH($A497,Comenzi!$A$9:$A$108,0)+8,""))</f>
        <v/>
      </c>
      <c r="Y497" s="41" t="str">
        <f t="shared" si="103"/>
        <v/>
      </c>
      <c r="Z497" s="42" t="str">
        <f>IF($A497="","",IF($A497="?","Lipseste ID-ul comenzii (col. A din PI Furnizor)",IF(NOT(ISNUMBER($X497)),"ID comanda negasit in foaia Comenzi",IF(N($E497)&lt;=0,"Lipseste cantitatea",IF(N($G497)=0,"Pret unitar lipsa",IF($Y497&lt;&gt;1,"Curs sau moneda marfa lipsa (foaia Comenzi)",IF(INDEX(Comenzi!$AT:$AT,$X497)&lt;&gt;"OK","Avertisment comanda: "&amp;INDEX(Comenzi!$AT:$AT,$X497),"OK")))))))</f>
        <v/>
      </c>
      <c r="AA497" s="43" t="str">
        <f>IF(ISNUMBER($X497),INDEX(Comenzi!$H:$H,$X497),"")</f>
        <v/>
      </c>
      <c r="AB497" s="43" t="str">
        <f>IF(ISNUMBER($X497),INDEX(Comenzi!$I:$I,$X497),"")</f>
        <v/>
      </c>
      <c r="AC497" s="44" t="str">
        <f>IF(ISNUMBER($X497),IF(INDEX(Comenzi!$V:$V,$X497)="",Comenzi!$D$3,INDEX(Comenzi!$V:$V,$X497)),"")</f>
        <v/>
      </c>
      <c r="AD497" s="44" t="str">
        <f>IF(ISNUMBER($X497),IF(INDEX(Comenzi!$U:$U,$X497)="",Comenzi!$D$4,INDEX(Comenzi!$U:$U,$X497)),"")</f>
        <v/>
      </c>
      <c r="AE497" s="45" t="str">
        <f>IF($Y497&lt;&gt;1,"",IF(INDEX(Comenzi!$AM:$AM,$X497)="Greutate",INDEX('PI Furnizor'!$O:$O,ROW()-3),IF(INDEX(Comenzi!$AM:$AM,$X497)="Volum (CBM)",INDEX('PI Furnizor'!$Q:$Q,ROW()-3),IF(INDEX(Comenzi!$AM:$AM,$X497)="Valoare marfa",INDEX('PI Furnizor'!$N:$N,ROW()-3),$E497))))</f>
        <v/>
      </c>
    </row>
    <row r="498" spans="1:31" x14ac:dyDescent="0.3">
      <c r="A498" s="28" t="str">
        <f>IF(COUNTA(INDEX('PI Furnizor'!$A:$E,ROW()-3,0))=0,"",IF(INDEX('PI Furnizor'!$A:$A,ROW()-3)="","?",INDEX('PI Furnizor'!$A:$A,ROW()-3)))</f>
        <v/>
      </c>
      <c r="B498" s="29" t="str">
        <f>IF(ISNUMBER($X498),INDEX(Comenzi!$B:$B,$X498),"")</f>
        <v/>
      </c>
      <c r="C498" s="28" t="str">
        <f>IF($A498="","",INDEX('PI Furnizor'!$B:$B,ROW()-3)&amp;"")</f>
        <v/>
      </c>
      <c r="D498" s="28" t="str">
        <f>IF($A498="","",INDEX('PI Furnizor'!$C:$C,ROW()-3)&amp;"")</f>
        <v/>
      </c>
      <c r="E498" s="30" t="str">
        <f>IF($A498="","",N(INDEX('PI Furnizor'!$D:$D,ROW()-3)))</f>
        <v/>
      </c>
      <c r="F498" s="31" t="str">
        <f>IF(ISNUMBER($X498),INDEX(Comenzi!$G:$G,$X498),"")</f>
        <v/>
      </c>
      <c r="G498" s="32" t="str">
        <f>IF($A498="","",N(INDEX('PI Furnizor'!$E:$E,ROW()-3)))</f>
        <v/>
      </c>
      <c r="H498" s="33" t="str">
        <f t="shared" si="91"/>
        <v/>
      </c>
      <c r="I498" s="34" t="str">
        <f>IF($Y498&lt;&gt;1,"",IFERROR($AE498/INDEX(Comenzi!$AN:$AN,$X498),0))</f>
        <v/>
      </c>
      <c r="J498" s="33" t="str">
        <f>IF($Y498&lt;&gt;1,"",INDEX(Comenzi!$AG:$AG,$X498)*$I498/$E498)</f>
        <v/>
      </c>
      <c r="K498" s="33" t="str">
        <f t="shared" si="92"/>
        <v/>
      </c>
      <c r="L498" s="33" t="str">
        <f>IF($Y498&lt;&gt;1,"",$K498*$AD498+INDEX(Comenzi!$AJ:$AJ,$X498)*$I498/$E498)</f>
        <v/>
      </c>
      <c r="M498" s="33" t="str">
        <f t="shared" si="93"/>
        <v/>
      </c>
      <c r="N498" s="33" t="str">
        <f t="shared" si="94"/>
        <v/>
      </c>
      <c r="O498" s="33" t="str">
        <f>IF($Y498&lt;&gt;1,"",(INDEX(Comenzi!$AK:$AK,$X498)+N(INDEX(Comenzi!$T:$T,$X498)))*$I498/$E498)</f>
        <v/>
      </c>
      <c r="P498" s="35" t="str">
        <f t="shared" si="95"/>
        <v/>
      </c>
      <c r="Q498" s="36" t="str">
        <f t="shared" si="96"/>
        <v/>
      </c>
      <c r="R498" s="37" t="str">
        <f t="shared" si="97"/>
        <v/>
      </c>
      <c r="S498" s="38" t="str">
        <f t="shared" si="98"/>
        <v/>
      </c>
      <c r="T498" s="39" t="str">
        <f t="shared" si="99"/>
        <v/>
      </c>
      <c r="U498" s="40" t="str">
        <f t="shared" si="100"/>
        <v/>
      </c>
      <c r="V498" s="33" t="str">
        <f t="shared" si="101"/>
        <v/>
      </c>
      <c r="W498" s="33" t="str">
        <f t="shared" si="102"/>
        <v/>
      </c>
      <c r="X498" s="41" t="str">
        <f>IF($A498="","",IFERROR(MATCH($A498,Comenzi!$A$9:$A$108,0)+8,""))</f>
        <v/>
      </c>
      <c r="Y498" s="41" t="str">
        <f t="shared" si="103"/>
        <v/>
      </c>
      <c r="Z498" s="42" t="str">
        <f>IF($A498="","",IF($A498="?","Lipseste ID-ul comenzii (col. A din PI Furnizor)",IF(NOT(ISNUMBER($X498)),"ID comanda negasit in foaia Comenzi",IF(N($E498)&lt;=0,"Lipseste cantitatea",IF(N($G498)=0,"Pret unitar lipsa",IF($Y498&lt;&gt;1,"Curs sau moneda marfa lipsa (foaia Comenzi)",IF(INDEX(Comenzi!$AT:$AT,$X498)&lt;&gt;"OK","Avertisment comanda: "&amp;INDEX(Comenzi!$AT:$AT,$X498),"OK")))))))</f>
        <v/>
      </c>
      <c r="AA498" s="43" t="str">
        <f>IF(ISNUMBER($X498),INDEX(Comenzi!$H:$H,$X498),"")</f>
        <v/>
      </c>
      <c r="AB498" s="43" t="str">
        <f>IF(ISNUMBER($X498),INDEX(Comenzi!$I:$I,$X498),"")</f>
        <v/>
      </c>
      <c r="AC498" s="44" t="str">
        <f>IF(ISNUMBER($X498),IF(INDEX(Comenzi!$V:$V,$X498)="",Comenzi!$D$3,INDEX(Comenzi!$V:$V,$X498)),"")</f>
        <v/>
      </c>
      <c r="AD498" s="44" t="str">
        <f>IF(ISNUMBER($X498),IF(INDEX(Comenzi!$U:$U,$X498)="",Comenzi!$D$4,INDEX(Comenzi!$U:$U,$X498)),"")</f>
        <v/>
      </c>
      <c r="AE498" s="45" t="str">
        <f>IF($Y498&lt;&gt;1,"",IF(INDEX(Comenzi!$AM:$AM,$X498)="Greutate",INDEX('PI Furnizor'!$O:$O,ROW()-3),IF(INDEX(Comenzi!$AM:$AM,$X498)="Volum (CBM)",INDEX('PI Furnizor'!$Q:$Q,ROW()-3),IF(INDEX(Comenzi!$AM:$AM,$X498)="Valoare marfa",INDEX('PI Furnizor'!$N:$N,ROW()-3),$E498))))</f>
        <v/>
      </c>
    </row>
    <row r="499" spans="1:31" x14ac:dyDescent="0.3">
      <c r="A499" s="28" t="str">
        <f>IF(COUNTA(INDEX('PI Furnizor'!$A:$E,ROW()-3,0))=0,"",IF(INDEX('PI Furnizor'!$A:$A,ROW()-3)="","?",INDEX('PI Furnizor'!$A:$A,ROW()-3)))</f>
        <v/>
      </c>
      <c r="B499" s="29" t="str">
        <f>IF(ISNUMBER($X499),INDEX(Comenzi!$B:$B,$X499),"")</f>
        <v/>
      </c>
      <c r="C499" s="28" t="str">
        <f>IF($A499="","",INDEX('PI Furnizor'!$B:$B,ROW()-3)&amp;"")</f>
        <v/>
      </c>
      <c r="D499" s="28" t="str">
        <f>IF($A499="","",INDEX('PI Furnizor'!$C:$C,ROW()-3)&amp;"")</f>
        <v/>
      </c>
      <c r="E499" s="30" t="str">
        <f>IF($A499="","",N(INDEX('PI Furnizor'!$D:$D,ROW()-3)))</f>
        <v/>
      </c>
      <c r="F499" s="31" t="str">
        <f>IF(ISNUMBER($X499),INDEX(Comenzi!$G:$G,$X499),"")</f>
        <v/>
      </c>
      <c r="G499" s="32" t="str">
        <f>IF($A499="","",N(INDEX('PI Furnizor'!$E:$E,ROW()-3)))</f>
        <v/>
      </c>
      <c r="H499" s="33" t="str">
        <f t="shared" si="91"/>
        <v/>
      </c>
      <c r="I499" s="34" t="str">
        <f>IF($Y499&lt;&gt;1,"",IFERROR($AE499/INDEX(Comenzi!$AN:$AN,$X499),0))</f>
        <v/>
      </c>
      <c r="J499" s="33" t="str">
        <f>IF($Y499&lt;&gt;1,"",INDEX(Comenzi!$AG:$AG,$X499)*$I499/$E499)</f>
        <v/>
      </c>
      <c r="K499" s="33" t="str">
        <f t="shared" si="92"/>
        <v/>
      </c>
      <c r="L499" s="33" t="str">
        <f>IF($Y499&lt;&gt;1,"",$K499*$AD499+INDEX(Comenzi!$AJ:$AJ,$X499)*$I499/$E499)</f>
        <v/>
      </c>
      <c r="M499" s="33" t="str">
        <f t="shared" si="93"/>
        <v/>
      </c>
      <c r="N499" s="33" t="str">
        <f t="shared" si="94"/>
        <v/>
      </c>
      <c r="O499" s="33" t="str">
        <f>IF($Y499&lt;&gt;1,"",(INDEX(Comenzi!$AK:$AK,$X499)+N(INDEX(Comenzi!$T:$T,$X499)))*$I499/$E499)</f>
        <v/>
      </c>
      <c r="P499" s="35" t="str">
        <f t="shared" si="95"/>
        <v/>
      </c>
      <c r="Q499" s="36" t="str">
        <f t="shared" si="96"/>
        <v/>
      </c>
      <c r="R499" s="37" t="str">
        <f t="shared" si="97"/>
        <v/>
      </c>
      <c r="S499" s="38" t="str">
        <f t="shared" si="98"/>
        <v/>
      </c>
      <c r="T499" s="39" t="str">
        <f t="shared" si="99"/>
        <v/>
      </c>
      <c r="U499" s="40" t="str">
        <f t="shared" si="100"/>
        <v/>
      </c>
      <c r="V499" s="33" t="str">
        <f t="shared" si="101"/>
        <v/>
      </c>
      <c r="W499" s="33" t="str">
        <f t="shared" si="102"/>
        <v/>
      </c>
      <c r="X499" s="41" t="str">
        <f>IF($A499="","",IFERROR(MATCH($A499,Comenzi!$A$9:$A$108,0)+8,""))</f>
        <v/>
      </c>
      <c r="Y499" s="41" t="str">
        <f t="shared" si="103"/>
        <v/>
      </c>
      <c r="Z499" s="42" t="str">
        <f>IF($A499="","",IF($A499="?","Lipseste ID-ul comenzii (col. A din PI Furnizor)",IF(NOT(ISNUMBER($X499)),"ID comanda negasit in foaia Comenzi",IF(N($E499)&lt;=0,"Lipseste cantitatea",IF(N($G499)=0,"Pret unitar lipsa",IF($Y499&lt;&gt;1,"Curs sau moneda marfa lipsa (foaia Comenzi)",IF(INDEX(Comenzi!$AT:$AT,$X499)&lt;&gt;"OK","Avertisment comanda: "&amp;INDEX(Comenzi!$AT:$AT,$X499),"OK")))))))</f>
        <v/>
      </c>
      <c r="AA499" s="43" t="str">
        <f>IF(ISNUMBER($X499),INDEX(Comenzi!$H:$H,$X499),"")</f>
        <v/>
      </c>
      <c r="AB499" s="43" t="str">
        <f>IF(ISNUMBER($X499),INDEX(Comenzi!$I:$I,$X499),"")</f>
        <v/>
      </c>
      <c r="AC499" s="44" t="str">
        <f>IF(ISNUMBER($X499),IF(INDEX(Comenzi!$V:$V,$X499)="",Comenzi!$D$3,INDEX(Comenzi!$V:$V,$X499)),"")</f>
        <v/>
      </c>
      <c r="AD499" s="44" t="str">
        <f>IF(ISNUMBER($X499),IF(INDEX(Comenzi!$U:$U,$X499)="",Comenzi!$D$4,INDEX(Comenzi!$U:$U,$X499)),"")</f>
        <v/>
      </c>
      <c r="AE499" s="45" t="str">
        <f>IF($Y499&lt;&gt;1,"",IF(INDEX(Comenzi!$AM:$AM,$X499)="Greutate",INDEX('PI Furnizor'!$O:$O,ROW()-3),IF(INDEX(Comenzi!$AM:$AM,$X499)="Volum (CBM)",INDEX('PI Furnizor'!$Q:$Q,ROW()-3),IF(INDEX(Comenzi!$AM:$AM,$X499)="Valoare marfa",INDEX('PI Furnizor'!$N:$N,ROW()-3),$E499))))</f>
        <v/>
      </c>
    </row>
    <row r="500" spans="1:31" x14ac:dyDescent="0.3">
      <c r="A500" s="28" t="str">
        <f>IF(COUNTA(INDEX('PI Furnizor'!$A:$E,ROW()-3,0))=0,"",IF(INDEX('PI Furnizor'!$A:$A,ROW()-3)="","?",INDEX('PI Furnizor'!$A:$A,ROW()-3)))</f>
        <v/>
      </c>
      <c r="B500" s="29" t="str">
        <f>IF(ISNUMBER($X500),INDEX(Comenzi!$B:$B,$X500),"")</f>
        <v/>
      </c>
      <c r="C500" s="28" t="str">
        <f>IF($A500="","",INDEX('PI Furnizor'!$B:$B,ROW()-3)&amp;"")</f>
        <v/>
      </c>
      <c r="D500" s="28" t="str">
        <f>IF($A500="","",INDEX('PI Furnizor'!$C:$C,ROW()-3)&amp;"")</f>
        <v/>
      </c>
      <c r="E500" s="30" t="str">
        <f>IF($A500="","",N(INDEX('PI Furnizor'!$D:$D,ROW()-3)))</f>
        <v/>
      </c>
      <c r="F500" s="31" t="str">
        <f>IF(ISNUMBER($X500),INDEX(Comenzi!$G:$G,$X500),"")</f>
        <v/>
      </c>
      <c r="G500" s="32" t="str">
        <f>IF($A500="","",N(INDEX('PI Furnizor'!$E:$E,ROW()-3)))</f>
        <v/>
      </c>
      <c r="H500" s="33" t="str">
        <f t="shared" si="91"/>
        <v/>
      </c>
      <c r="I500" s="34" t="str">
        <f>IF($Y500&lt;&gt;1,"",IFERROR($AE500/INDEX(Comenzi!$AN:$AN,$X500),0))</f>
        <v/>
      </c>
      <c r="J500" s="33" t="str">
        <f>IF($Y500&lt;&gt;1,"",INDEX(Comenzi!$AG:$AG,$X500)*$I500/$E500)</f>
        <v/>
      </c>
      <c r="K500" s="33" t="str">
        <f t="shared" si="92"/>
        <v/>
      </c>
      <c r="L500" s="33" t="str">
        <f>IF($Y500&lt;&gt;1,"",$K500*$AD500+INDEX(Comenzi!$AJ:$AJ,$X500)*$I500/$E500)</f>
        <v/>
      </c>
      <c r="M500" s="33" t="str">
        <f t="shared" si="93"/>
        <v/>
      </c>
      <c r="N500" s="33" t="str">
        <f t="shared" si="94"/>
        <v/>
      </c>
      <c r="O500" s="33" t="str">
        <f>IF($Y500&lt;&gt;1,"",(INDEX(Comenzi!$AK:$AK,$X500)+N(INDEX(Comenzi!$T:$T,$X500)))*$I500/$E500)</f>
        <v/>
      </c>
      <c r="P500" s="35" t="str">
        <f t="shared" si="95"/>
        <v/>
      </c>
      <c r="Q500" s="36" t="str">
        <f t="shared" si="96"/>
        <v/>
      </c>
      <c r="R500" s="37" t="str">
        <f t="shared" si="97"/>
        <v/>
      </c>
      <c r="S500" s="38" t="str">
        <f t="shared" si="98"/>
        <v/>
      </c>
      <c r="T500" s="39" t="str">
        <f t="shared" si="99"/>
        <v/>
      </c>
      <c r="U500" s="40" t="str">
        <f t="shared" si="100"/>
        <v/>
      </c>
      <c r="V500" s="33" t="str">
        <f t="shared" si="101"/>
        <v/>
      </c>
      <c r="W500" s="33" t="str">
        <f t="shared" si="102"/>
        <v/>
      </c>
      <c r="X500" s="41" t="str">
        <f>IF($A500="","",IFERROR(MATCH($A500,Comenzi!$A$9:$A$108,0)+8,""))</f>
        <v/>
      </c>
      <c r="Y500" s="41" t="str">
        <f t="shared" si="103"/>
        <v/>
      </c>
      <c r="Z500" s="42" t="str">
        <f>IF($A500="","",IF($A500="?","Lipseste ID-ul comenzii (col. A din PI Furnizor)",IF(NOT(ISNUMBER($X500)),"ID comanda negasit in foaia Comenzi",IF(N($E500)&lt;=0,"Lipseste cantitatea",IF(N($G500)=0,"Pret unitar lipsa",IF($Y500&lt;&gt;1,"Curs sau moneda marfa lipsa (foaia Comenzi)",IF(INDEX(Comenzi!$AT:$AT,$X500)&lt;&gt;"OK","Avertisment comanda: "&amp;INDEX(Comenzi!$AT:$AT,$X500),"OK")))))))</f>
        <v/>
      </c>
      <c r="AA500" s="43" t="str">
        <f>IF(ISNUMBER($X500),INDEX(Comenzi!$H:$H,$X500),"")</f>
        <v/>
      </c>
      <c r="AB500" s="43" t="str">
        <f>IF(ISNUMBER($X500),INDEX(Comenzi!$I:$I,$X500),"")</f>
        <v/>
      </c>
      <c r="AC500" s="44" t="str">
        <f>IF(ISNUMBER($X500),IF(INDEX(Comenzi!$V:$V,$X500)="",Comenzi!$D$3,INDEX(Comenzi!$V:$V,$X500)),"")</f>
        <v/>
      </c>
      <c r="AD500" s="44" t="str">
        <f>IF(ISNUMBER($X500),IF(INDEX(Comenzi!$U:$U,$X500)="",Comenzi!$D$4,INDEX(Comenzi!$U:$U,$X500)),"")</f>
        <v/>
      </c>
      <c r="AE500" s="45" t="str">
        <f>IF($Y500&lt;&gt;1,"",IF(INDEX(Comenzi!$AM:$AM,$X500)="Greutate",INDEX('PI Furnizor'!$O:$O,ROW()-3),IF(INDEX(Comenzi!$AM:$AM,$X500)="Volum (CBM)",INDEX('PI Furnizor'!$Q:$Q,ROW()-3),IF(INDEX(Comenzi!$AM:$AM,$X500)="Valoare marfa",INDEX('PI Furnizor'!$N:$N,ROW()-3),$E500))))</f>
        <v/>
      </c>
    </row>
    <row r="501" spans="1:31" x14ac:dyDescent="0.3">
      <c r="A501" s="28" t="str">
        <f>IF(COUNTA(INDEX('PI Furnizor'!$A:$E,ROW()-3,0))=0,"",IF(INDEX('PI Furnizor'!$A:$A,ROW()-3)="","?",INDEX('PI Furnizor'!$A:$A,ROW()-3)))</f>
        <v/>
      </c>
      <c r="B501" s="29" t="str">
        <f>IF(ISNUMBER($X501),INDEX(Comenzi!$B:$B,$X501),"")</f>
        <v/>
      </c>
      <c r="C501" s="28" t="str">
        <f>IF($A501="","",INDEX('PI Furnizor'!$B:$B,ROW()-3)&amp;"")</f>
        <v/>
      </c>
      <c r="D501" s="28" t="str">
        <f>IF($A501="","",INDEX('PI Furnizor'!$C:$C,ROW()-3)&amp;"")</f>
        <v/>
      </c>
      <c r="E501" s="30" t="str">
        <f>IF($A501="","",N(INDEX('PI Furnizor'!$D:$D,ROW()-3)))</f>
        <v/>
      </c>
      <c r="F501" s="31" t="str">
        <f>IF(ISNUMBER($X501),INDEX(Comenzi!$G:$G,$X501),"")</f>
        <v/>
      </c>
      <c r="G501" s="32" t="str">
        <f>IF($A501="","",N(INDEX('PI Furnizor'!$E:$E,ROW()-3)))</f>
        <v/>
      </c>
      <c r="H501" s="33" t="str">
        <f t="shared" si="91"/>
        <v/>
      </c>
      <c r="I501" s="34" t="str">
        <f>IF($Y501&lt;&gt;1,"",IFERROR($AE501/INDEX(Comenzi!$AN:$AN,$X501),0))</f>
        <v/>
      </c>
      <c r="J501" s="33" t="str">
        <f>IF($Y501&lt;&gt;1,"",INDEX(Comenzi!$AG:$AG,$X501)*$I501/$E501)</f>
        <v/>
      </c>
      <c r="K501" s="33" t="str">
        <f t="shared" si="92"/>
        <v/>
      </c>
      <c r="L501" s="33" t="str">
        <f>IF($Y501&lt;&gt;1,"",$K501*$AD501+INDEX(Comenzi!$AJ:$AJ,$X501)*$I501/$E501)</f>
        <v/>
      </c>
      <c r="M501" s="33" t="str">
        <f t="shared" si="93"/>
        <v/>
      </c>
      <c r="N501" s="33" t="str">
        <f t="shared" si="94"/>
        <v/>
      </c>
      <c r="O501" s="33" t="str">
        <f>IF($Y501&lt;&gt;1,"",(INDEX(Comenzi!$AK:$AK,$X501)+N(INDEX(Comenzi!$T:$T,$X501)))*$I501/$E501)</f>
        <v/>
      </c>
      <c r="P501" s="35" t="str">
        <f t="shared" si="95"/>
        <v/>
      </c>
      <c r="Q501" s="36" t="str">
        <f t="shared" si="96"/>
        <v/>
      </c>
      <c r="R501" s="37" t="str">
        <f t="shared" si="97"/>
        <v/>
      </c>
      <c r="S501" s="38" t="str">
        <f t="shared" si="98"/>
        <v/>
      </c>
      <c r="T501" s="39" t="str">
        <f t="shared" si="99"/>
        <v/>
      </c>
      <c r="U501" s="40" t="str">
        <f t="shared" si="100"/>
        <v/>
      </c>
      <c r="V501" s="33" t="str">
        <f t="shared" si="101"/>
        <v/>
      </c>
      <c r="W501" s="33" t="str">
        <f t="shared" si="102"/>
        <v/>
      </c>
      <c r="X501" s="41" t="str">
        <f>IF($A501="","",IFERROR(MATCH($A501,Comenzi!$A$9:$A$108,0)+8,""))</f>
        <v/>
      </c>
      <c r="Y501" s="41" t="str">
        <f t="shared" si="103"/>
        <v/>
      </c>
      <c r="Z501" s="42" t="str">
        <f>IF($A501="","",IF($A501="?","Lipseste ID-ul comenzii (col. A din PI Furnizor)",IF(NOT(ISNUMBER($X501)),"ID comanda negasit in foaia Comenzi",IF(N($E501)&lt;=0,"Lipseste cantitatea",IF(N($G501)=0,"Pret unitar lipsa",IF($Y501&lt;&gt;1,"Curs sau moneda marfa lipsa (foaia Comenzi)",IF(INDEX(Comenzi!$AT:$AT,$X501)&lt;&gt;"OK","Avertisment comanda: "&amp;INDEX(Comenzi!$AT:$AT,$X501),"OK")))))))</f>
        <v/>
      </c>
      <c r="AA501" s="43" t="str">
        <f>IF(ISNUMBER($X501),INDEX(Comenzi!$H:$H,$X501),"")</f>
        <v/>
      </c>
      <c r="AB501" s="43" t="str">
        <f>IF(ISNUMBER($X501),INDEX(Comenzi!$I:$I,$X501),"")</f>
        <v/>
      </c>
      <c r="AC501" s="44" t="str">
        <f>IF(ISNUMBER($X501),IF(INDEX(Comenzi!$V:$V,$X501)="",Comenzi!$D$3,INDEX(Comenzi!$V:$V,$X501)),"")</f>
        <v/>
      </c>
      <c r="AD501" s="44" t="str">
        <f>IF(ISNUMBER($X501),IF(INDEX(Comenzi!$U:$U,$X501)="",Comenzi!$D$4,INDEX(Comenzi!$U:$U,$X501)),"")</f>
        <v/>
      </c>
      <c r="AE501" s="45" t="str">
        <f>IF($Y501&lt;&gt;1,"",IF(INDEX(Comenzi!$AM:$AM,$X501)="Greutate",INDEX('PI Furnizor'!$O:$O,ROW()-3),IF(INDEX(Comenzi!$AM:$AM,$X501)="Volum (CBM)",INDEX('PI Furnizor'!$Q:$Q,ROW()-3),IF(INDEX(Comenzi!$AM:$AM,$X501)="Valoare marfa",INDEX('PI Furnizor'!$N:$N,ROW()-3),$E501))))</f>
        <v/>
      </c>
    </row>
    <row r="502" spans="1:31" x14ac:dyDescent="0.3">
      <c r="A502" s="28" t="str">
        <f>IF(COUNTA(INDEX('PI Furnizor'!$A:$E,ROW()-3,0))=0,"",IF(INDEX('PI Furnizor'!$A:$A,ROW()-3)="","?",INDEX('PI Furnizor'!$A:$A,ROW()-3)))</f>
        <v/>
      </c>
      <c r="B502" s="29" t="str">
        <f>IF(ISNUMBER($X502),INDEX(Comenzi!$B:$B,$X502),"")</f>
        <v/>
      </c>
      <c r="C502" s="28" t="str">
        <f>IF($A502="","",INDEX('PI Furnizor'!$B:$B,ROW()-3)&amp;"")</f>
        <v/>
      </c>
      <c r="D502" s="28" t="str">
        <f>IF($A502="","",INDEX('PI Furnizor'!$C:$C,ROW()-3)&amp;"")</f>
        <v/>
      </c>
      <c r="E502" s="30" t="str">
        <f>IF($A502="","",N(INDEX('PI Furnizor'!$D:$D,ROW()-3)))</f>
        <v/>
      </c>
      <c r="F502" s="31" t="str">
        <f>IF(ISNUMBER($X502),INDEX(Comenzi!$G:$G,$X502),"")</f>
        <v/>
      </c>
      <c r="G502" s="32" t="str">
        <f>IF($A502="","",N(INDEX('PI Furnizor'!$E:$E,ROW()-3)))</f>
        <v/>
      </c>
      <c r="H502" s="33" t="str">
        <f t="shared" si="91"/>
        <v/>
      </c>
      <c r="I502" s="34" t="str">
        <f>IF($Y502&lt;&gt;1,"",IFERROR($AE502/INDEX(Comenzi!$AN:$AN,$X502),0))</f>
        <v/>
      </c>
      <c r="J502" s="33" t="str">
        <f>IF($Y502&lt;&gt;1,"",INDEX(Comenzi!$AG:$AG,$X502)*$I502/$E502)</f>
        <v/>
      </c>
      <c r="K502" s="33" t="str">
        <f t="shared" si="92"/>
        <v/>
      </c>
      <c r="L502" s="33" t="str">
        <f>IF($Y502&lt;&gt;1,"",$K502*$AD502+INDEX(Comenzi!$AJ:$AJ,$X502)*$I502/$E502)</f>
        <v/>
      </c>
      <c r="M502" s="33" t="str">
        <f t="shared" si="93"/>
        <v/>
      </c>
      <c r="N502" s="33" t="str">
        <f t="shared" si="94"/>
        <v/>
      </c>
      <c r="O502" s="33" t="str">
        <f>IF($Y502&lt;&gt;1,"",(INDEX(Comenzi!$AK:$AK,$X502)+N(INDEX(Comenzi!$T:$T,$X502)))*$I502/$E502)</f>
        <v/>
      </c>
      <c r="P502" s="35" t="str">
        <f t="shared" si="95"/>
        <v/>
      </c>
      <c r="Q502" s="36" t="str">
        <f t="shared" si="96"/>
        <v/>
      </c>
      <c r="R502" s="37" t="str">
        <f t="shared" si="97"/>
        <v/>
      </c>
      <c r="S502" s="38" t="str">
        <f t="shared" si="98"/>
        <v/>
      </c>
      <c r="T502" s="39" t="str">
        <f t="shared" si="99"/>
        <v/>
      </c>
      <c r="U502" s="40" t="str">
        <f t="shared" si="100"/>
        <v/>
      </c>
      <c r="V502" s="33" t="str">
        <f t="shared" si="101"/>
        <v/>
      </c>
      <c r="W502" s="33" t="str">
        <f t="shared" si="102"/>
        <v/>
      </c>
      <c r="X502" s="41" t="str">
        <f>IF($A502="","",IFERROR(MATCH($A502,Comenzi!$A$9:$A$108,0)+8,""))</f>
        <v/>
      </c>
      <c r="Y502" s="41" t="str">
        <f t="shared" si="103"/>
        <v/>
      </c>
      <c r="Z502" s="42" t="str">
        <f>IF($A502="","",IF($A502="?","Lipseste ID-ul comenzii (col. A din PI Furnizor)",IF(NOT(ISNUMBER($X502)),"ID comanda negasit in foaia Comenzi",IF(N($E502)&lt;=0,"Lipseste cantitatea",IF(N($G502)=0,"Pret unitar lipsa",IF($Y502&lt;&gt;1,"Curs sau moneda marfa lipsa (foaia Comenzi)",IF(INDEX(Comenzi!$AT:$AT,$X502)&lt;&gt;"OK","Avertisment comanda: "&amp;INDEX(Comenzi!$AT:$AT,$X502),"OK")))))))</f>
        <v/>
      </c>
      <c r="AA502" s="43" t="str">
        <f>IF(ISNUMBER($X502),INDEX(Comenzi!$H:$H,$X502),"")</f>
        <v/>
      </c>
      <c r="AB502" s="43" t="str">
        <f>IF(ISNUMBER($X502),INDEX(Comenzi!$I:$I,$X502),"")</f>
        <v/>
      </c>
      <c r="AC502" s="44" t="str">
        <f>IF(ISNUMBER($X502),IF(INDEX(Comenzi!$V:$V,$X502)="",Comenzi!$D$3,INDEX(Comenzi!$V:$V,$X502)),"")</f>
        <v/>
      </c>
      <c r="AD502" s="44" t="str">
        <f>IF(ISNUMBER($X502),IF(INDEX(Comenzi!$U:$U,$X502)="",Comenzi!$D$4,INDEX(Comenzi!$U:$U,$X502)),"")</f>
        <v/>
      </c>
      <c r="AE502" s="45" t="str">
        <f>IF($Y502&lt;&gt;1,"",IF(INDEX(Comenzi!$AM:$AM,$X502)="Greutate",INDEX('PI Furnizor'!$O:$O,ROW()-3),IF(INDEX(Comenzi!$AM:$AM,$X502)="Volum (CBM)",INDEX('PI Furnizor'!$Q:$Q,ROW()-3),IF(INDEX(Comenzi!$AM:$AM,$X502)="Valoare marfa",INDEX('PI Furnizor'!$N:$N,ROW()-3),$E502))))</f>
        <v/>
      </c>
    </row>
    <row r="503" spans="1:31" x14ac:dyDescent="0.3">
      <c r="A503" s="28" t="str">
        <f>IF(COUNTA(INDEX('PI Furnizor'!$A:$E,ROW()-3,0))=0,"",IF(INDEX('PI Furnizor'!$A:$A,ROW()-3)="","?",INDEX('PI Furnizor'!$A:$A,ROW()-3)))</f>
        <v/>
      </c>
      <c r="B503" s="29" t="str">
        <f>IF(ISNUMBER($X503),INDEX(Comenzi!$B:$B,$X503),"")</f>
        <v/>
      </c>
      <c r="C503" s="28" t="str">
        <f>IF($A503="","",INDEX('PI Furnizor'!$B:$B,ROW()-3)&amp;"")</f>
        <v/>
      </c>
      <c r="D503" s="28" t="str">
        <f>IF($A503="","",INDEX('PI Furnizor'!$C:$C,ROW()-3)&amp;"")</f>
        <v/>
      </c>
      <c r="E503" s="30" t="str">
        <f>IF($A503="","",N(INDEX('PI Furnizor'!$D:$D,ROW()-3)))</f>
        <v/>
      </c>
      <c r="F503" s="31" t="str">
        <f>IF(ISNUMBER($X503),INDEX(Comenzi!$G:$G,$X503),"")</f>
        <v/>
      </c>
      <c r="G503" s="32" t="str">
        <f>IF($A503="","",N(INDEX('PI Furnizor'!$E:$E,ROW()-3)))</f>
        <v/>
      </c>
      <c r="H503" s="33" t="str">
        <f t="shared" si="91"/>
        <v/>
      </c>
      <c r="I503" s="34" t="str">
        <f>IF($Y503&lt;&gt;1,"",IFERROR($AE503/INDEX(Comenzi!$AN:$AN,$X503),0))</f>
        <v/>
      </c>
      <c r="J503" s="33" t="str">
        <f>IF($Y503&lt;&gt;1,"",INDEX(Comenzi!$AG:$AG,$X503)*$I503/$E503)</f>
        <v/>
      </c>
      <c r="K503" s="33" t="str">
        <f t="shared" si="92"/>
        <v/>
      </c>
      <c r="L503" s="33" t="str">
        <f>IF($Y503&lt;&gt;1,"",$K503*$AD503+INDEX(Comenzi!$AJ:$AJ,$X503)*$I503/$E503)</f>
        <v/>
      </c>
      <c r="M503" s="33" t="str">
        <f t="shared" si="93"/>
        <v/>
      </c>
      <c r="N503" s="33" t="str">
        <f t="shared" si="94"/>
        <v/>
      </c>
      <c r="O503" s="33" t="str">
        <f>IF($Y503&lt;&gt;1,"",(INDEX(Comenzi!$AK:$AK,$X503)+N(INDEX(Comenzi!$T:$T,$X503)))*$I503/$E503)</f>
        <v/>
      </c>
      <c r="P503" s="35" t="str">
        <f t="shared" si="95"/>
        <v/>
      </c>
      <c r="Q503" s="36" t="str">
        <f t="shared" si="96"/>
        <v/>
      </c>
      <c r="R503" s="37" t="str">
        <f t="shared" si="97"/>
        <v/>
      </c>
      <c r="S503" s="38" t="str">
        <f t="shared" si="98"/>
        <v/>
      </c>
      <c r="T503" s="39" t="str">
        <f t="shared" si="99"/>
        <v/>
      </c>
      <c r="U503" s="40" t="str">
        <f t="shared" si="100"/>
        <v/>
      </c>
      <c r="V503" s="33" t="str">
        <f t="shared" si="101"/>
        <v/>
      </c>
      <c r="W503" s="33" t="str">
        <f t="shared" si="102"/>
        <v/>
      </c>
      <c r="X503" s="41" t="str">
        <f>IF($A503="","",IFERROR(MATCH($A503,Comenzi!$A$9:$A$108,0)+8,""))</f>
        <v/>
      </c>
      <c r="Y503" s="41" t="str">
        <f t="shared" si="103"/>
        <v/>
      </c>
      <c r="Z503" s="42" t="str">
        <f>IF($A503="","",IF($A503="?","Lipseste ID-ul comenzii (col. A din PI Furnizor)",IF(NOT(ISNUMBER($X503)),"ID comanda negasit in foaia Comenzi",IF(N($E503)&lt;=0,"Lipseste cantitatea",IF(N($G503)=0,"Pret unitar lipsa",IF($Y503&lt;&gt;1,"Curs sau moneda marfa lipsa (foaia Comenzi)",IF(INDEX(Comenzi!$AT:$AT,$X503)&lt;&gt;"OK","Avertisment comanda: "&amp;INDEX(Comenzi!$AT:$AT,$X503),"OK")))))))</f>
        <v/>
      </c>
      <c r="AA503" s="43" t="str">
        <f>IF(ISNUMBER($X503),INDEX(Comenzi!$H:$H,$X503),"")</f>
        <v/>
      </c>
      <c r="AB503" s="43" t="str">
        <f>IF(ISNUMBER($X503),INDEX(Comenzi!$I:$I,$X503),"")</f>
        <v/>
      </c>
      <c r="AC503" s="44" t="str">
        <f>IF(ISNUMBER($X503),IF(INDEX(Comenzi!$V:$V,$X503)="",Comenzi!$D$3,INDEX(Comenzi!$V:$V,$X503)),"")</f>
        <v/>
      </c>
      <c r="AD503" s="44" t="str">
        <f>IF(ISNUMBER($X503),IF(INDEX(Comenzi!$U:$U,$X503)="",Comenzi!$D$4,INDEX(Comenzi!$U:$U,$X503)),"")</f>
        <v/>
      </c>
      <c r="AE503" s="45" t="str">
        <f>IF($Y503&lt;&gt;1,"",IF(INDEX(Comenzi!$AM:$AM,$X503)="Greutate",INDEX('PI Furnizor'!$O:$O,ROW()-3),IF(INDEX(Comenzi!$AM:$AM,$X503)="Volum (CBM)",INDEX('PI Furnizor'!$Q:$Q,ROW()-3),IF(INDEX(Comenzi!$AM:$AM,$X503)="Valoare marfa",INDEX('PI Furnizor'!$N:$N,ROW()-3),$E503))))</f>
        <v/>
      </c>
    </row>
    <row r="504" spans="1:31" x14ac:dyDescent="0.3">
      <c r="A504" s="28" t="str">
        <f>IF(COUNTA(INDEX('PI Furnizor'!$A:$E,ROW()-3,0))=0,"",IF(INDEX('PI Furnizor'!$A:$A,ROW()-3)="","?",INDEX('PI Furnizor'!$A:$A,ROW()-3)))</f>
        <v/>
      </c>
      <c r="B504" s="29" t="str">
        <f>IF(ISNUMBER($X504),INDEX(Comenzi!$B:$B,$X504),"")</f>
        <v/>
      </c>
      <c r="C504" s="28" t="str">
        <f>IF($A504="","",INDEX('PI Furnizor'!$B:$B,ROW()-3)&amp;"")</f>
        <v/>
      </c>
      <c r="D504" s="28" t="str">
        <f>IF($A504="","",INDEX('PI Furnizor'!$C:$C,ROW()-3)&amp;"")</f>
        <v/>
      </c>
      <c r="E504" s="30" t="str">
        <f>IF($A504="","",N(INDEX('PI Furnizor'!$D:$D,ROW()-3)))</f>
        <v/>
      </c>
      <c r="F504" s="31" t="str">
        <f>IF(ISNUMBER($X504),INDEX(Comenzi!$G:$G,$X504),"")</f>
        <v/>
      </c>
      <c r="G504" s="32" t="str">
        <f>IF($A504="","",N(INDEX('PI Furnizor'!$E:$E,ROW()-3)))</f>
        <v/>
      </c>
      <c r="H504" s="33" t="str">
        <f t="shared" si="91"/>
        <v/>
      </c>
      <c r="I504" s="34" t="str">
        <f>IF($Y504&lt;&gt;1,"",IFERROR($AE504/INDEX(Comenzi!$AN:$AN,$X504),0))</f>
        <v/>
      </c>
      <c r="J504" s="33" t="str">
        <f>IF($Y504&lt;&gt;1,"",INDEX(Comenzi!$AG:$AG,$X504)*$I504/$E504)</f>
        <v/>
      </c>
      <c r="K504" s="33" t="str">
        <f t="shared" si="92"/>
        <v/>
      </c>
      <c r="L504" s="33" t="str">
        <f>IF($Y504&lt;&gt;1,"",$K504*$AD504+INDEX(Comenzi!$AJ:$AJ,$X504)*$I504/$E504)</f>
        <v/>
      </c>
      <c r="M504" s="33" t="str">
        <f t="shared" si="93"/>
        <v/>
      </c>
      <c r="N504" s="33" t="str">
        <f t="shared" si="94"/>
        <v/>
      </c>
      <c r="O504" s="33" t="str">
        <f>IF($Y504&lt;&gt;1,"",(INDEX(Comenzi!$AK:$AK,$X504)+N(INDEX(Comenzi!$T:$T,$X504)))*$I504/$E504)</f>
        <v/>
      </c>
      <c r="P504" s="35" t="str">
        <f t="shared" si="95"/>
        <v/>
      </c>
      <c r="Q504" s="36" t="str">
        <f t="shared" si="96"/>
        <v/>
      </c>
      <c r="R504" s="37" t="str">
        <f t="shared" si="97"/>
        <v/>
      </c>
      <c r="S504" s="38" t="str">
        <f t="shared" si="98"/>
        <v/>
      </c>
      <c r="T504" s="39" t="str">
        <f t="shared" si="99"/>
        <v/>
      </c>
      <c r="U504" s="40" t="str">
        <f t="shared" si="100"/>
        <v/>
      </c>
      <c r="V504" s="33" t="str">
        <f t="shared" si="101"/>
        <v/>
      </c>
      <c r="W504" s="33" t="str">
        <f t="shared" si="102"/>
        <v/>
      </c>
      <c r="X504" s="41" t="str">
        <f>IF($A504="","",IFERROR(MATCH($A504,Comenzi!$A$9:$A$108,0)+8,""))</f>
        <v/>
      </c>
      <c r="Y504" s="41" t="str">
        <f t="shared" si="103"/>
        <v/>
      </c>
      <c r="Z504" s="42" t="str">
        <f>IF($A504="","",IF($A504="?","Lipseste ID-ul comenzii (col. A din PI Furnizor)",IF(NOT(ISNUMBER($X504)),"ID comanda negasit in foaia Comenzi",IF(N($E504)&lt;=0,"Lipseste cantitatea",IF(N($G504)=0,"Pret unitar lipsa",IF($Y504&lt;&gt;1,"Curs sau moneda marfa lipsa (foaia Comenzi)",IF(INDEX(Comenzi!$AT:$AT,$X504)&lt;&gt;"OK","Avertisment comanda: "&amp;INDEX(Comenzi!$AT:$AT,$X504),"OK")))))))</f>
        <v/>
      </c>
      <c r="AA504" s="43" t="str">
        <f>IF(ISNUMBER($X504),INDEX(Comenzi!$H:$H,$X504),"")</f>
        <v/>
      </c>
      <c r="AB504" s="43" t="str">
        <f>IF(ISNUMBER($X504),INDEX(Comenzi!$I:$I,$X504),"")</f>
        <v/>
      </c>
      <c r="AC504" s="44" t="str">
        <f>IF(ISNUMBER($X504),IF(INDEX(Comenzi!$V:$V,$X504)="",Comenzi!$D$3,INDEX(Comenzi!$V:$V,$X504)),"")</f>
        <v/>
      </c>
      <c r="AD504" s="44" t="str">
        <f>IF(ISNUMBER($X504),IF(INDEX(Comenzi!$U:$U,$X504)="",Comenzi!$D$4,INDEX(Comenzi!$U:$U,$X504)),"")</f>
        <v/>
      </c>
      <c r="AE504" s="45" t="str">
        <f>IF($Y504&lt;&gt;1,"",IF(INDEX(Comenzi!$AM:$AM,$X504)="Greutate",INDEX('PI Furnizor'!$O:$O,ROW()-3),IF(INDEX(Comenzi!$AM:$AM,$X504)="Volum (CBM)",INDEX('PI Furnizor'!$Q:$Q,ROW()-3),IF(INDEX(Comenzi!$AM:$AM,$X504)="Valoare marfa",INDEX('PI Furnizor'!$N:$N,ROW()-3),$E504))))</f>
        <v/>
      </c>
    </row>
    <row r="505" spans="1:31" x14ac:dyDescent="0.3">
      <c r="A505" s="28" t="str">
        <f>IF(COUNTA(INDEX('PI Furnizor'!$A:$E,ROW()-3,0))=0,"",IF(INDEX('PI Furnizor'!$A:$A,ROW()-3)="","?",INDEX('PI Furnizor'!$A:$A,ROW()-3)))</f>
        <v/>
      </c>
      <c r="B505" s="29" t="str">
        <f>IF(ISNUMBER($X505),INDEX(Comenzi!$B:$B,$X505),"")</f>
        <v/>
      </c>
      <c r="C505" s="28" t="str">
        <f>IF($A505="","",INDEX('PI Furnizor'!$B:$B,ROW()-3)&amp;"")</f>
        <v/>
      </c>
      <c r="D505" s="28" t="str">
        <f>IF($A505="","",INDEX('PI Furnizor'!$C:$C,ROW()-3)&amp;"")</f>
        <v/>
      </c>
      <c r="E505" s="30" t="str">
        <f>IF($A505="","",N(INDEX('PI Furnizor'!$D:$D,ROW()-3)))</f>
        <v/>
      </c>
      <c r="F505" s="31" t="str">
        <f>IF(ISNUMBER($X505),INDEX(Comenzi!$G:$G,$X505),"")</f>
        <v/>
      </c>
      <c r="G505" s="32" t="str">
        <f>IF($A505="","",N(INDEX('PI Furnizor'!$E:$E,ROW()-3)))</f>
        <v/>
      </c>
      <c r="H505" s="33" t="str">
        <f t="shared" si="91"/>
        <v/>
      </c>
      <c r="I505" s="34" t="str">
        <f>IF($Y505&lt;&gt;1,"",IFERROR($AE505/INDEX(Comenzi!$AN:$AN,$X505),0))</f>
        <v/>
      </c>
      <c r="J505" s="33" t="str">
        <f>IF($Y505&lt;&gt;1,"",INDEX(Comenzi!$AG:$AG,$X505)*$I505/$E505)</f>
        <v/>
      </c>
      <c r="K505" s="33" t="str">
        <f t="shared" si="92"/>
        <v/>
      </c>
      <c r="L505" s="33" t="str">
        <f>IF($Y505&lt;&gt;1,"",$K505*$AD505+INDEX(Comenzi!$AJ:$AJ,$X505)*$I505/$E505)</f>
        <v/>
      </c>
      <c r="M505" s="33" t="str">
        <f t="shared" si="93"/>
        <v/>
      </c>
      <c r="N505" s="33" t="str">
        <f t="shared" si="94"/>
        <v/>
      </c>
      <c r="O505" s="33" t="str">
        <f>IF($Y505&lt;&gt;1,"",(INDEX(Comenzi!$AK:$AK,$X505)+N(INDEX(Comenzi!$T:$T,$X505)))*$I505/$E505)</f>
        <v/>
      </c>
      <c r="P505" s="35" t="str">
        <f t="shared" si="95"/>
        <v/>
      </c>
      <c r="Q505" s="36" t="str">
        <f t="shared" si="96"/>
        <v/>
      </c>
      <c r="R505" s="37" t="str">
        <f t="shared" si="97"/>
        <v/>
      </c>
      <c r="S505" s="38" t="str">
        <f t="shared" si="98"/>
        <v/>
      </c>
      <c r="T505" s="39" t="str">
        <f t="shared" si="99"/>
        <v/>
      </c>
      <c r="U505" s="40" t="str">
        <f t="shared" si="100"/>
        <v/>
      </c>
      <c r="V505" s="33" t="str">
        <f t="shared" si="101"/>
        <v/>
      </c>
      <c r="W505" s="33" t="str">
        <f t="shared" si="102"/>
        <v/>
      </c>
      <c r="X505" s="41" t="str">
        <f>IF($A505="","",IFERROR(MATCH($A505,Comenzi!$A$9:$A$108,0)+8,""))</f>
        <v/>
      </c>
      <c r="Y505" s="41" t="str">
        <f t="shared" si="103"/>
        <v/>
      </c>
      <c r="Z505" s="42" t="str">
        <f>IF($A505="","",IF($A505="?","Lipseste ID-ul comenzii (col. A din PI Furnizor)",IF(NOT(ISNUMBER($X505)),"ID comanda negasit in foaia Comenzi",IF(N($E505)&lt;=0,"Lipseste cantitatea",IF(N($G505)=0,"Pret unitar lipsa",IF($Y505&lt;&gt;1,"Curs sau moneda marfa lipsa (foaia Comenzi)",IF(INDEX(Comenzi!$AT:$AT,$X505)&lt;&gt;"OK","Avertisment comanda: "&amp;INDEX(Comenzi!$AT:$AT,$X505),"OK")))))))</f>
        <v/>
      </c>
      <c r="AA505" s="43" t="str">
        <f>IF(ISNUMBER($X505),INDEX(Comenzi!$H:$H,$X505),"")</f>
        <v/>
      </c>
      <c r="AB505" s="43" t="str">
        <f>IF(ISNUMBER($X505),INDEX(Comenzi!$I:$I,$X505),"")</f>
        <v/>
      </c>
      <c r="AC505" s="44" t="str">
        <f>IF(ISNUMBER($X505),IF(INDEX(Comenzi!$V:$V,$X505)="",Comenzi!$D$3,INDEX(Comenzi!$V:$V,$X505)),"")</f>
        <v/>
      </c>
      <c r="AD505" s="44" t="str">
        <f>IF(ISNUMBER($X505),IF(INDEX(Comenzi!$U:$U,$X505)="",Comenzi!$D$4,INDEX(Comenzi!$U:$U,$X505)),"")</f>
        <v/>
      </c>
      <c r="AE505" s="45" t="str">
        <f>IF($Y505&lt;&gt;1,"",IF(INDEX(Comenzi!$AM:$AM,$X505)="Greutate",INDEX('PI Furnizor'!$O:$O,ROW()-3),IF(INDEX(Comenzi!$AM:$AM,$X505)="Volum (CBM)",INDEX('PI Furnizor'!$Q:$Q,ROW()-3),IF(INDEX(Comenzi!$AM:$AM,$X505)="Valoare marfa",INDEX('PI Furnizor'!$N:$N,ROW()-3),$E505))))</f>
        <v/>
      </c>
    </row>
    <row r="506" spans="1:31" x14ac:dyDescent="0.3">
      <c r="A506" s="28" t="str">
        <f>IF(COUNTA(INDEX('PI Furnizor'!$A:$E,ROW()-3,0))=0,"",IF(INDEX('PI Furnizor'!$A:$A,ROW()-3)="","?",INDEX('PI Furnizor'!$A:$A,ROW()-3)))</f>
        <v/>
      </c>
      <c r="B506" s="29" t="str">
        <f>IF(ISNUMBER($X506),INDEX(Comenzi!$B:$B,$X506),"")</f>
        <v/>
      </c>
      <c r="C506" s="28" t="str">
        <f>IF($A506="","",INDEX('PI Furnizor'!$B:$B,ROW()-3)&amp;"")</f>
        <v/>
      </c>
      <c r="D506" s="28" t="str">
        <f>IF($A506="","",INDEX('PI Furnizor'!$C:$C,ROW()-3)&amp;"")</f>
        <v/>
      </c>
      <c r="E506" s="30" t="str">
        <f>IF($A506="","",N(INDEX('PI Furnizor'!$D:$D,ROW()-3)))</f>
        <v/>
      </c>
      <c r="F506" s="31" t="str">
        <f>IF(ISNUMBER($X506),INDEX(Comenzi!$G:$G,$X506),"")</f>
        <v/>
      </c>
      <c r="G506" s="32" t="str">
        <f>IF($A506="","",N(INDEX('PI Furnizor'!$E:$E,ROW()-3)))</f>
        <v/>
      </c>
      <c r="H506" s="33" t="str">
        <f t="shared" si="91"/>
        <v/>
      </c>
      <c r="I506" s="34" t="str">
        <f>IF($Y506&lt;&gt;1,"",IFERROR($AE506/INDEX(Comenzi!$AN:$AN,$X506),0))</f>
        <v/>
      </c>
      <c r="J506" s="33" t="str">
        <f>IF($Y506&lt;&gt;1,"",INDEX(Comenzi!$AG:$AG,$X506)*$I506/$E506)</f>
        <v/>
      </c>
      <c r="K506" s="33" t="str">
        <f t="shared" si="92"/>
        <v/>
      </c>
      <c r="L506" s="33" t="str">
        <f>IF($Y506&lt;&gt;1,"",$K506*$AD506+INDEX(Comenzi!$AJ:$AJ,$X506)*$I506/$E506)</f>
        <v/>
      </c>
      <c r="M506" s="33" t="str">
        <f t="shared" si="93"/>
        <v/>
      </c>
      <c r="N506" s="33" t="str">
        <f t="shared" si="94"/>
        <v/>
      </c>
      <c r="O506" s="33" t="str">
        <f>IF($Y506&lt;&gt;1,"",(INDEX(Comenzi!$AK:$AK,$X506)+N(INDEX(Comenzi!$T:$T,$X506)))*$I506/$E506)</f>
        <v/>
      </c>
      <c r="P506" s="35" t="str">
        <f t="shared" si="95"/>
        <v/>
      </c>
      <c r="Q506" s="36" t="str">
        <f t="shared" si="96"/>
        <v/>
      </c>
      <c r="R506" s="37" t="str">
        <f t="shared" si="97"/>
        <v/>
      </c>
      <c r="S506" s="38" t="str">
        <f t="shared" si="98"/>
        <v/>
      </c>
      <c r="T506" s="39" t="str">
        <f t="shared" si="99"/>
        <v/>
      </c>
      <c r="U506" s="40" t="str">
        <f t="shared" si="100"/>
        <v/>
      </c>
      <c r="V506" s="33" t="str">
        <f t="shared" si="101"/>
        <v/>
      </c>
      <c r="W506" s="33" t="str">
        <f t="shared" si="102"/>
        <v/>
      </c>
      <c r="X506" s="41" t="str">
        <f>IF($A506="","",IFERROR(MATCH($A506,Comenzi!$A$9:$A$108,0)+8,""))</f>
        <v/>
      </c>
      <c r="Y506" s="41" t="str">
        <f t="shared" si="103"/>
        <v/>
      </c>
      <c r="Z506" s="42" t="str">
        <f>IF($A506="","",IF($A506="?","Lipseste ID-ul comenzii (col. A din PI Furnizor)",IF(NOT(ISNUMBER($X506)),"ID comanda negasit in foaia Comenzi",IF(N($E506)&lt;=0,"Lipseste cantitatea",IF(N($G506)=0,"Pret unitar lipsa",IF($Y506&lt;&gt;1,"Curs sau moneda marfa lipsa (foaia Comenzi)",IF(INDEX(Comenzi!$AT:$AT,$X506)&lt;&gt;"OK","Avertisment comanda: "&amp;INDEX(Comenzi!$AT:$AT,$X506),"OK")))))))</f>
        <v/>
      </c>
      <c r="AA506" s="43" t="str">
        <f>IF(ISNUMBER($X506),INDEX(Comenzi!$H:$H,$X506),"")</f>
        <v/>
      </c>
      <c r="AB506" s="43" t="str">
        <f>IF(ISNUMBER($X506),INDEX(Comenzi!$I:$I,$X506),"")</f>
        <v/>
      </c>
      <c r="AC506" s="44" t="str">
        <f>IF(ISNUMBER($X506),IF(INDEX(Comenzi!$V:$V,$X506)="",Comenzi!$D$3,INDEX(Comenzi!$V:$V,$X506)),"")</f>
        <v/>
      </c>
      <c r="AD506" s="44" t="str">
        <f>IF(ISNUMBER($X506),IF(INDEX(Comenzi!$U:$U,$X506)="",Comenzi!$D$4,INDEX(Comenzi!$U:$U,$X506)),"")</f>
        <v/>
      </c>
      <c r="AE506" s="45" t="str">
        <f>IF($Y506&lt;&gt;1,"",IF(INDEX(Comenzi!$AM:$AM,$X506)="Greutate",INDEX('PI Furnizor'!$O:$O,ROW()-3),IF(INDEX(Comenzi!$AM:$AM,$X506)="Volum (CBM)",INDEX('PI Furnizor'!$Q:$Q,ROW()-3),IF(INDEX(Comenzi!$AM:$AM,$X506)="Valoare marfa",INDEX('PI Furnizor'!$N:$N,ROW()-3),$E506))))</f>
        <v/>
      </c>
    </row>
    <row r="507" spans="1:31" x14ac:dyDescent="0.3">
      <c r="A507" s="28" t="str">
        <f>IF(COUNTA(INDEX('PI Furnizor'!$A:$E,ROW()-3,0))=0,"",IF(INDEX('PI Furnizor'!$A:$A,ROW()-3)="","?",INDEX('PI Furnizor'!$A:$A,ROW()-3)))</f>
        <v/>
      </c>
      <c r="B507" s="29" t="str">
        <f>IF(ISNUMBER($X507),INDEX(Comenzi!$B:$B,$X507),"")</f>
        <v/>
      </c>
      <c r="C507" s="28" t="str">
        <f>IF($A507="","",INDEX('PI Furnizor'!$B:$B,ROW()-3)&amp;"")</f>
        <v/>
      </c>
      <c r="D507" s="28" t="str">
        <f>IF($A507="","",INDEX('PI Furnizor'!$C:$C,ROW()-3)&amp;"")</f>
        <v/>
      </c>
      <c r="E507" s="30" t="str">
        <f>IF($A507="","",N(INDEX('PI Furnizor'!$D:$D,ROW()-3)))</f>
        <v/>
      </c>
      <c r="F507" s="31" t="str">
        <f>IF(ISNUMBER($X507),INDEX(Comenzi!$G:$G,$X507),"")</f>
        <v/>
      </c>
      <c r="G507" s="32" t="str">
        <f>IF($A507="","",N(INDEX('PI Furnizor'!$E:$E,ROW()-3)))</f>
        <v/>
      </c>
      <c r="H507" s="33" t="str">
        <f t="shared" si="91"/>
        <v/>
      </c>
      <c r="I507" s="34" t="str">
        <f>IF($Y507&lt;&gt;1,"",IFERROR($AE507/INDEX(Comenzi!$AN:$AN,$X507),0))</f>
        <v/>
      </c>
      <c r="J507" s="33" t="str">
        <f>IF($Y507&lt;&gt;1,"",INDEX(Comenzi!$AG:$AG,$X507)*$I507/$E507)</f>
        <v/>
      </c>
      <c r="K507" s="33" t="str">
        <f t="shared" si="92"/>
        <v/>
      </c>
      <c r="L507" s="33" t="str">
        <f>IF($Y507&lt;&gt;1,"",$K507*$AD507+INDEX(Comenzi!$AJ:$AJ,$X507)*$I507/$E507)</f>
        <v/>
      </c>
      <c r="M507" s="33" t="str">
        <f t="shared" si="93"/>
        <v/>
      </c>
      <c r="N507" s="33" t="str">
        <f t="shared" si="94"/>
        <v/>
      </c>
      <c r="O507" s="33" t="str">
        <f>IF($Y507&lt;&gt;1,"",(INDEX(Comenzi!$AK:$AK,$X507)+N(INDEX(Comenzi!$T:$T,$X507)))*$I507/$E507)</f>
        <v/>
      </c>
      <c r="P507" s="35" t="str">
        <f t="shared" si="95"/>
        <v/>
      </c>
      <c r="Q507" s="36" t="str">
        <f t="shared" si="96"/>
        <v/>
      </c>
      <c r="R507" s="37" t="str">
        <f t="shared" si="97"/>
        <v/>
      </c>
      <c r="S507" s="38" t="str">
        <f t="shared" si="98"/>
        <v/>
      </c>
      <c r="T507" s="39" t="str">
        <f t="shared" si="99"/>
        <v/>
      </c>
      <c r="U507" s="40" t="str">
        <f t="shared" si="100"/>
        <v/>
      </c>
      <c r="V507" s="33" t="str">
        <f t="shared" si="101"/>
        <v/>
      </c>
      <c r="W507" s="33" t="str">
        <f t="shared" si="102"/>
        <v/>
      </c>
      <c r="X507" s="41" t="str">
        <f>IF($A507="","",IFERROR(MATCH($A507,Comenzi!$A$9:$A$108,0)+8,""))</f>
        <v/>
      </c>
      <c r="Y507" s="41" t="str">
        <f t="shared" si="103"/>
        <v/>
      </c>
      <c r="Z507" s="42" t="str">
        <f>IF($A507="","",IF($A507="?","Lipseste ID-ul comenzii (col. A din PI Furnizor)",IF(NOT(ISNUMBER($X507)),"ID comanda negasit in foaia Comenzi",IF(N($E507)&lt;=0,"Lipseste cantitatea",IF(N($G507)=0,"Pret unitar lipsa",IF($Y507&lt;&gt;1,"Curs sau moneda marfa lipsa (foaia Comenzi)",IF(INDEX(Comenzi!$AT:$AT,$X507)&lt;&gt;"OK","Avertisment comanda: "&amp;INDEX(Comenzi!$AT:$AT,$X507),"OK")))))))</f>
        <v/>
      </c>
      <c r="AA507" s="43" t="str">
        <f>IF(ISNUMBER($X507),INDEX(Comenzi!$H:$H,$X507),"")</f>
        <v/>
      </c>
      <c r="AB507" s="43" t="str">
        <f>IF(ISNUMBER($X507),INDEX(Comenzi!$I:$I,$X507),"")</f>
        <v/>
      </c>
      <c r="AC507" s="44" t="str">
        <f>IF(ISNUMBER($X507),IF(INDEX(Comenzi!$V:$V,$X507)="",Comenzi!$D$3,INDEX(Comenzi!$V:$V,$X507)),"")</f>
        <v/>
      </c>
      <c r="AD507" s="44" t="str">
        <f>IF(ISNUMBER($X507),IF(INDEX(Comenzi!$U:$U,$X507)="",Comenzi!$D$4,INDEX(Comenzi!$U:$U,$X507)),"")</f>
        <v/>
      </c>
      <c r="AE507" s="45" t="str">
        <f>IF($Y507&lt;&gt;1,"",IF(INDEX(Comenzi!$AM:$AM,$X507)="Greutate",INDEX('PI Furnizor'!$O:$O,ROW()-3),IF(INDEX(Comenzi!$AM:$AM,$X507)="Volum (CBM)",INDEX('PI Furnizor'!$Q:$Q,ROW()-3),IF(INDEX(Comenzi!$AM:$AM,$X507)="Valoare marfa",INDEX('PI Furnizor'!$N:$N,ROW()-3),$E507))))</f>
        <v/>
      </c>
    </row>
    <row r="508" spans="1:31" x14ac:dyDescent="0.3">
      <c r="A508" s="28" t="str">
        <f>IF(COUNTA(INDEX('PI Furnizor'!$A:$E,ROW()-3,0))=0,"",IF(INDEX('PI Furnizor'!$A:$A,ROW()-3)="","?",INDEX('PI Furnizor'!$A:$A,ROW()-3)))</f>
        <v/>
      </c>
      <c r="B508" s="29" t="str">
        <f>IF(ISNUMBER($X508),INDEX(Comenzi!$B:$B,$X508),"")</f>
        <v/>
      </c>
      <c r="C508" s="28" t="str">
        <f>IF($A508="","",INDEX('PI Furnizor'!$B:$B,ROW()-3)&amp;"")</f>
        <v/>
      </c>
      <c r="D508" s="28" t="str">
        <f>IF($A508="","",INDEX('PI Furnizor'!$C:$C,ROW()-3)&amp;"")</f>
        <v/>
      </c>
      <c r="E508" s="30" t="str">
        <f>IF($A508="","",N(INDEX('PI Furnizor'!$D:$D,ROW()-3)))</f>
        <v/>
      </c>
      <c r="F508" s="31" t="str">
        <f>IF(ISNUMBER($X508),INDEX(Comenzi!$G:$G,$X508),"")</f>
        <v/>
      </c>
      <c r="G508" s="32" t="str">
        <f>IF($A508="","",N(INDEX('PI Furnizor'!$E:$E,ROW()-3)))</f>
        <v/>
      </c>
      <c r="H508" s="33" t="str">
        <f t="shared" si="91"/>
        <v/>
      </c>
      <c r="I508" s="34" t="str">
        <f>IF($Y508&lt;&gt;1,"",IFERROR($AE508/INDEX(Comenzi!$AN:$AN,$X508),0))</f>
        <v/>
      </c>
      <c r="J508" s="33" t="str">
        <f>IF($Y508&lt;&gt;1,"",INDEX(Comenzi!$AG:$AG,$X508)*$I508/$E508)</f>
        <v/>
      </c>
      <c r="K508" s="33" t="str">
        <f t="shared" si="92"/>
        <v/>
      </c>
      <c r="L508" s="33" t="str">
        <f>IF($Y508&lt;&gt;1,"",$K508*$AD508+INDEX(Comenzi!$AJ:$AJ,$X508)*$I508/$E508)</f>
        <v/>
      </c>
      <c r="M508" s="33" t="str">
        <f t="shared" si="93"/>
        <v/>
      </c>
      <c r="N508" s="33" t="str">
        <f t="shared" si="94"/>
        <v/>
      </c>
      <c r="O508" s="33" t="str">
        <f>IF($Y508&lt;&gt;1,"",(INDEX(Comenzi!$AK:$AK,$X508)+N(INDEX(Comenzi!$T:$T,$X508)))*$I508/$E508)</f>
        <v/>
      </c>
      <c r="P508" s="35" t="str">
        <f t="shared" si="95"/>
        <v/>
      </c>
      <c r="Q508" s="36" t="str">
        <f t="shared" si="96"/>
        <v/>
      </c>
      <c r="R508" s="37" t="str">
        <f t="shared" si="97"/>
        <v/>
      </c>
      <c r="S508" s="38" t="str">
        <f t="shared" si="98"/>
        <v/>
      </c>
      <c r="T508" s="39" t="str">
        <f t="shared" si="99"/>
        <v/>
      </c>
      <c r="U508" s="40" t="str">
        <f t="shared" si="100"/>
        <v/>
      </c>
      <c r="V508" s="33" t="str">
        <f t="shared" si="101"/>
        <v/>
      </c>
      <c r="W508" s="33" t="str">
        <f t="shared" si="102"/>
        <v/>
      </c>
      <c r="X508" s="41" t="str">
        <f>IF($A508="","",IFERROR(MATCH($A508,Comenzi!$A$9:$A$108,0)+8,""))</f>
        <v/>
      </c>
      <c r="Y508" s="41" t="str">
        <f t="shared" si="103"/>
        <v/>
      </c>
      <c r="Z508" s="42" t="str">
        <f>IF($A508="","",IF($A508="?","Lipseste ID-ul comenzii (col. A din PI Furnizor)",IF(NOT(ISNUMBER($X508)),"ID comanda negasit in foaia Comenzi",IF(N($E508)&lt;=0,"Lipseste cantitatea",IF(N($G508)=0,"Pret unitar lipsa",IF($Y508&lt;&gt;1,"Curs sau moneda marfa lipsa (foaia Comenzi)",IF(INDEX(Comenzi!$AT:$AT,$X508)&lt;&gt;"OK","Avertisment comanda: "&amp;INDEX(Comenzi!$AT:$AT,$X508),"OK")))))))</f>
        <v/>
      </c>
      <c r="AA508" s="43" t="str">
        <f>IF(ISNUMBER($X508),INDEX(Comenzi!$H:$H,$X508),"")</f>
        <v/>
      </c>
      <c r="AB508" s="43" t="str">
        <f>IF(ISNUMBER($X508),INDEX(Comenzi!$I:$I,$X508),"")</f>
        <v/>
      </c>
      <c r="AC508" s="44" t="str">
        <f>IF(ISNUMBER($X508),IF(INDEX(Comenzi!$V:$V,$X508)="",Comenzi!$D$3,INDEX(Comenzi!$V:$V,$X508)),"")</f>
        <v/>
      </c>
      <c r="AD508" s="44" t="str">
        <f>IF(ISNUMBER($X508),IF(INDEX(Comenzi!$U:$U,$X508)="",Comenzi!$D$4,INDEX(Comenzi!$U:$U,$X508)),"")</f>
        <v/>
      </c>
      <c r="AE508" s="45" t="str">
        <f>IF($Y508&lt;&gt;1,"",IF(INDEX(Comenzi!$AM:$AM,$X508)="Greutate",INDEX('PI Furnizor'!$O:$O,ROW()-3),IF(INDEX(Comenzi!$AM:$AM,$X508)="Volum (CBM)",INDEX('PI Furnizor'!$Q:$Q,ROW()-3),IF(INDEX(Comenzi!$AM:$AM,$X508)="Valoare marfa",INDEX('PI Furnizor'!$N:$N,ROW()-3),$E508))))</f>
        <v/>
      </c>
    </row>
    <row r="509" spans="1:31" x14ac:dyDescent="0.3">
      <c r="A509" s="28" t="str">
        <f>IF(COUNTA(INDEX('PI Furnizor'!$A:$E,ROW()-3,0))=0,"",IF(INDEX('PI Furnizor'!$A:$A,ROW()-3)="","?",INDEX('PI Furnizor'!$A:$A,ROW()-3)))</f>
        <v/>
      </c>
      <c r="B509" s="29" t="str">
        <f>IF(ISNUMBER($X509),INDEX(Comenzi!$B:$B,$X509),"")</f>
        <v/>
      </c>
      <c r="C509" s="28" t="str">
        <f>IF($A509="","",INDEX('PI Furnizor'!$B:$B,ROW()-3)&amp;"")</f>
        <v/>
      </c>
      <c r="D509" s="28" t="str">
        <f>IF($A509="","",INDEX('PI Furnizor'!$C:$C,ROW()-3)&amp;"")</f>
        <v/>
      </c>
      <c r="E509" s="30" t="str">
        <f>IF($A509="","",N(INDEX('PI Furnizor'!$D:$D,ROW()-3)))</f>
        <v/>
      </c>
      <c r="F509" s="31" t="str">
        <f>IF(ISNUMBER($X509),INDEX(Comenzi!$G:$G,$X509),"")</f>
        <v/>
      </c>
      <c r="G509" s="32" t="str">
        <f>IF($A509="","",N(INDEX('PI Furnizor'!$E:$E,ROW()-3)))</f>
        <v/>
      </c>
      <c r="H509" s="33" t="str">
        <f t="shared" si="91"/>
        <v/>
      </c>
      <c r="I509" s="34" t="str">
        <f>IF($Y509&lt;&gt;1,"",IFERROR($AE509/INDEX(Comenzi!$AN:$AN,$X509),0))</f>
        <v/>
      </c>
      <c r="J509" s="33" t="str">
        <f>IF($Y509&lt;&gt;1,"",INDEX(Comenzi!$AG:$AG,$X509)*$I509/$E509)</f>
        <v/>
      </c>
      <c r="K509" s="33" t="str">
        <f t="shared" si="92"/>
        <v/>
      </c>
      <c r="L509" s="33" t="str">
        <f>IF($Y509&lt;&gt;1,"",$K509*$AD509+INDEX(Comenzi!$AJ:$AJ,$X509)*$I509/$E509)</f>
        <v/>
      </c>
      <c r="M509" s="33" t="str">
        <f t="shared" si="93"/>
        <v/>
      </c>
      <c r="N509" s="33" t="str">
        <f t="shared" si="94"/>
        <v/>
      </c>
      <c r="O509" s="33" t="str">
        <f>IF($Y509&lt;&gt;1,"",(INDEX(Comenzi!$AK:$AK,$X509)+N(INDEX(Comenzi!$T:$T,$X509)))*$I509/$E509)</f>
        <v/>
      </c>
      <c r="P509" s="35" t="str">
        <f t="shared" si="95"/>
        <v/>
      </c>
      <c r="Q509" s="36" t="str">
        <f t="shared" si="96"/>
        <v/>
      </c>
      <c r="R509" s="37" t="str">
        <f t="shared" si="97"/>
        <v/>
      </c>
      <c r="S509" s="38" t="str">
        <f t="shared" si="98"/>
        <v/>
      </c>
      <c r="T509" s="39" t="str">
        <f t="shared" si="99"/>
        <v/>
      </c>
      <c r="U509" s="40" t="str">
        <f t="shared" si="100"/>
        <v/>
      </c>
      <c r="V509" s="33" t="str">
        <f t="shared" si="101"/>
        <v/>
      </c>
      <c r="W509" s="33" t="str">
        <f t="shared" si="102"/>
        <v/>
      </c>
      <c r="X509" s="41" t="str">
        <f>IF($A509="","",IFERROR(MATCH($A509,Comenzi!$A$9:$A$108,0)+8,""))</f>
        <v/>
      </c>
      <c r="Y509" s="41" t="str">
        <f t="shared" si="103"/>
        <v/>
      </c>
      <c r="Z509" s="42" t="str">
        <f>IF($A509="","",IF($A509="?","Lipseste ID-ul comenzii (col. A din PI Furnizor)",IF(NOT(ISNUMBER($X509)),"ID comanda negasit in foaia Comenzi",IF(N($E509)&lt;=0,"Lipseste cantitatea",IF(N($G509)=0,"Pret unitar lipsa",IF($Y509&lt;&gt;1,"Curs sau moneda marfa lipsa (foaia Comenzi)",IF(INDEX(Comenzi!$AT:$AT,$X509)&lt;&gt;"OK","Avertisment comanda: "&amp;INDEX(Comenzi!$AT:$AT,$X509),"OK")))))))</f>
        <v/>
      </c>
      <c r="AA509" s="43" t="str">
        <f>IF(ISNUMBER($X509),INDEX(Comenzi!$H:$H,$X509),"")</f>
        <v/>
      </c>
      <c r="AB509" s="43" t="str">
        <f>IF(ISNUMBER($X509),INDEX(Comenzi!$I:$I,$X509),"")</f>
        <v/>
      </c>
      <c r="AC509" s="44" t="str">
        <f>IF(ISNUMBER($X509),IF(INDEX(Comenzi!$V:$V,$X509)="",Comenzi!$D$3,INDEX(Comenzi!$V:$V,$X509)),"")</f>
        <v/>
      </c>
      <c r="AD509" s="44" t="str">
        <f>IF(ISNUMBER($X509),IF(INDEX(Comenzi!$U:$U,$X509)="",Comenzi!$D$4,INDEX(Comenzi!$U:$U,$X509)),"")</f>
        <v/>
      </c>
      <c r="AE509" s="45" t="str">
        <f>IF($Y509&lt;&gt;1,"",IF(INDEX(Comenzi!$AM:$AM,$X509)="Greutate",INDEX('PI Furnizor'!$O:$O,ROW()-3),IF(INDEX(Comenzi!$AM:$AM,$X509)="Volum (CBM)",INDEX('PI Furnizor'!$Q:$Q,ROW()-3),IF(INDEX(Comenzi!$AM:$AM,$X509)="Valoare marfa",INDEX('PI Furnizor'!$N:$N,ROW()-3),$E509))))</f>
        <v/>
      </c>
    </row>
  </sheetData>
  <autoFilter ref="A9:Z509" xr:uid="{00000000-0009-0000-0000-000002000000}"/>
  <mergeCells count="11">
    <mergeCell ref="A1:AE1"/>
    <mergeCell ref="A3:W3"/>
    <mergeCell ref="A5:D5"/>
    <mergeCell ref="A8:F8"/>
    <mergeCell ref="G8:H8"/>
    <mergeCell ref="I8:J8"/>
    <mergeCell ref="K8:O8"/>
    <mergeCell ref="P8:R8"/>
    <mergeCell ref="S8:U8"/>
    <mergeCell ref="V8:W8"/>
    <mergeCell ref="X8:AE8"/>
  </mergeCells>
  <conditionalFormatting sqref="A10:Z509">
    <cfRule type="expression" dxfId="4" priority="2">
      <formula>$A10&lt;&gt;""</formula>
    </cfRule>
  </conditionalFormatting>
  <conditionalFormatting sqref="Z10:Z509">
    <cfRule type="expression" dxfId="3" priority="3">
      <formula>AND($Z10&lt;&gt;"",$Z10&lt;&gt;"OK")</formula>
    </cfRule>
  </conditionalFormatting>
  <pageMargins left="0.75" right="0.75" top="1" bottom="1" header="0.511811023622047" footer="0.511811023622047"/>
  <pageSetup fitToHeight="0"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505"/>
  <sheetViews>
    <sheetView showGridLines="0" tabSelected="1" zoomScaleNormal="100" workbookViewId="0">
      <pane xSplit="3" ySplit="5" topLeftCell="D6" activePane="bottomRight" state="frozen"/>
      <selection pane="topRight" activeCell="D1" sqref="D1"/>
      <selection pane="bottomLeft" activeCell="A6" sqref="A6"/>
      <selection pane="bottomRight" activeCell="I15" sqref="I15"/>
    </sheetView>
  </sheetViews>
  <sheetFormatPr defaultColWidth="8.6640625" defaultRowHeight="14.4" x14ac:dyDescent="0.3"/>
  <cols>
    <col min="1" max="1" width="10" customWidth="1"/>
    <col min="2" max="2" width="13" customWidth="1"/>
    <col min="3" max="3" width="28" customWidth="1"/>
    <col min="4" max="4" width="16" customWidth="1"/>
    <col min="5" max="6" width="17" customWidth="1"/>
    <col min="7" max="8" width="16" customWidth="1"/>
    <col min="9" max="9" width="13" customWidth="1"/>
    <col min="10" max="10" width="11" customWidth="1"/>
    <col min="11" max="11" width="40" customWidth="1"/>
  </cols>
  <sheetData>
    <row r="1" spans="1:18" ht="27.75" customHeight="1" x14ac:dyDescent="0.3">
      <c r="A1" s="61" t="s">
        <v>129</v>
      </c>
      <c r="B1" s="61"/>
      <c r="C1" s="61"/>
      <c r="D1" s="61"/>
      <c r="E1" s="61"/>
      <c r="F1" s="61"/>
      <c r="G1" s="61"/>
      <c r="H1" s="61"/>
      <c r="I1" s="61"/>
      <c r="J1" s="61"/>
      <c r="K1" s="61"/>
    </row>
    <row r="3" spans="1:18" ht="23.4" customHeight="1" x14ac:dyDescent="0.3">
      <c r="A3" s="62" t="s">
        <v>130</v>
      </c>
      <c r="B3" s="62"/>
      <c r="C3" s="62"/>
      <c r="D3" s="62"/>
      <c r="E3" s="62"/>
      <c r="F3" s="62"/>
      <c r="G3" s="62"/>
      <c r="H3" s="62"/>
      <c r="I3" s="62"/>
      <c r="J3" s="62"/>
      <c r="K3" s="62"/>
    </row>
    <row r="4" spans="1:18" ht="5.4" customHeight="1" x14ac:dyDescent="0.3"/>
    <row r="5" spans="1:18" ht="21" customHeight="1" x14ac:dyDescent="0.3">
      <c r="A5" s="1" t="s">
        <v>104</v>
      </c>
      <c r="B5" s="1" t="s">
        <v>106</v>
      </c>
      <c r="C5" s="1" t="s">
        <v>6</v>
      </c>
      <c r="D5" s="1" t="s">
        <v>131</v>
      </c>
      <c r="E5" s="1" t="s">
        <v>132</v>
      </c>
      <c r="F5" s="1" t="s">
        <v>133</v>
      </c>
      <c r="G5" s="1" t="s">
        <v>134</v>
      </c>
      <c r="H5" s="1" t="s">
        <v>135</v>
      </c>
      <c r="I5" s="1" t="s">
        <v>136</v>
      </c>
      <c r="J5" s="1" t="s">
        <v>137</v>
      </c>
      <c r="K5" s="1" t="s">
        <v>138</v>
      </c>
      <c r="M5" s="62" t="s">
        <v>139</v>
      </c>
      <c r="N5" s="62"/>
      <c r="O5" s="62"/>
      <c r="P5" s="62"/>
      <c r="Q5" s="62"/>
      <c r="R5" s="62"/>
    </row>
    <row r="6" spans="1:18" x14ac:dyDescent="0.3">
      <c r="A6" s="28" t="str">
        <f>IF(INDEX('Calculator Cost per Bucata'!$A:$A,ROW()+4)="","",INDEX('Calculator Cost per Bucata'!$A:$A,ROW()+4))</f>
        <v>C001</v>
      </c>
      <c r="B6" s="28" t="str">
        <f>IF($A6="","",INDEX('Calculator Cost per Bucata'!$C:$C,ROW()+4))</f>
        <v>8821-DS</v>
      </c>
      <c r="C6" s="28" t="str">
        <f>IF($A6="","",INDEX('Calculator Cost per Bucata'!$D:$D,ROW()+4))</f>
        <v>Christmas flower</v>
      </c>
      <c r="D6" s="33">
        <f>IF(INDEX('Calculator Cost per Bucata'!$Y:$Y,ROW()+4)=1,INDEX('Calculator Cost per Bucata'!$P:$P,ROW()+4),"")</f>
        <v>65.029621457489881</v>
      </c>
      <c r="E6" s="33">
        <f>IF(INDEX('Calculator Cost per Bucata'!$Y:$Y,ROW()+4)=1,INDEX('Calculator Cost per Bucata'!$S:$S,ROW()+4),"")</f>
        <v>78.685841963562751</v>
      </c>
      <c r="F6" s="33">
        <f>IF($A6="","",IF(N(INDEX('PI Furnizor'!$L:$L,ROW()+1))&gt;0,INDEX('PI Furnizor'!$L:$L,ROW()+1),""))</f>
        <v>130</v>
      </c>
      <c r="G6" s="33">
        <f>IF($A6="","",IF(Comenzi!$D$6="Da",$D6,$E6))</f>
        <v>78.685841963562751</v>
      </c>
      <c r="H6" s="33">
        <f>IF(OR($A6="",$F6=""),"",IF(Comenzi!$D$6="Da",IFERROR($F6/(1+INDEX('Calculator Cost per Bucata'!$AC:$AC,ROW()+4)),""),$F6))</f>
        <v>130</v>
      </c>
      <c r="I6" s="46">
        <f t="shared" ref="I6:I69" si="0">IF(OR($G6="",$H6=""),"",$H6-$G6)</f>
        <v>51.314158036437249</v>
      </c>
      <c r="J6" s="47">
        <f t="shared" ref="J6:J69" si="1">IF(OR($G6="",$H6=""),"",($H6-$G6)/$H6)</f>
        <v>0.39472429258797881</v>
      </c>
      <c r="K6" s="48" t="str">
        <f t="shared" ref="K6:K69" si="2">IF($A6="","",IF($G6="","Date incomplete - vezi Calculator",IF($H6="","Introdu pretul RO (PI Furnizor, col. L)",IF($H6&gt;$G6*1.15,"Import avantajos - marja buna",IF($H6&gt;$G6,"Import usor avantajos - marja mica","Piata RO mai ieftina - verifica")))))</f>
        <v>Import avantajos - marja buna</v>
      </c>
      <c r="M6" s="62"/>
      <c r="N6" s="62"/>
      <c r="O6" s="62"/>
      <c r="P6" s="62"/>
      <c r="Q6" s="62"/>
      <c r="R6" s="62"/>
    </row>
    <row r="7" spans="1:18" x14ac:dyDescent="0.3">
      <c r="A7" s="28" t="str">
        <f>IF(INDEX('Calculator Cost per Bucata'!$A:$A,ROW()+4)="","",INDEX('Calculator Cost per Bucata'!$A:$A,ROW()+4))</f>
        <v>C001</v>
      </c>
      <c r="B7" s="28" t="str">
        <f>IF($A7="","",INDEX('Calculator Cost per Bucata'!$C:$C,ROW()+4))</f>
        <v>11153-DS</v>
      </c>
      <c r="C7" s="28" t="str">
        <f>IF($A7="","",INDEX('Calculator Cost per Bucata'!$D:$D,ROW()+4))</f>
        <v>Garland</v>
      </c>
      <c r="D7" s="33">
        <f>IF(INDEX('Calculator Cost per Bucata'!$Y:$Y,ROW()+4)=1,INDEX('Calculator Cost per Bucata'!$P:$P,ROW()+4),"")</f>
        <v>54.165432048582993</v>
      </c>
      <c r="E7" s="33">
        <f>IF(INDEX('Calculator Cost per Bucata'!$Y:$Y,ROW()+4)=1,INDEX('Calculator Cost per Bucata'!$S:$S,ROW()+4),"")</f>
        <v>65.540172778785418</v>
      </c>
      <c r="F7" s="33">
        <f>IF($A7="","",IF(N(INDEX('PI Furnizor'!$L:$L,ROW()+1))&gt;0,INDEX('PI Furnizor'!$L:$L,ROW()+1),""))</f>
        <v>200</v>
      </c>
      <c r="G7" s="33">
        <f>IF($A7="","",IF(Comenzi!$D$6="Da",$D7,$E7))</f>
        <v>65.540172778785418</v>
      </c>
      <c r="H7" s="33">
        <f>IF(OR($A7="",$F7=""),"",IF(Comenzi!$D$6="Da",IFERROR($F7/(1+INDEX('Calculator Cost per Bucata'!$AC:$AC,ROW()+4)),""),$F7))</f>
        <v>200</v>
      </c>
      <c r="I7" s="46">
        <f t="shared" si="0"/>
        <v>134.4598272212146</v>
      </c>
      <c r="J7" s="47">
        <f t="shared" si="1"/>
        <v>0.67229913610607295</v>
      </c>
      <c r="K7" s="48" t="str">
        <f t="shared" si="2"/>
        <v>Import avantajos - marja buna</v>
      </c>
      <c r="M7" s="62"/>
      <c r="N7" s="62"/>
      <c r="O7" s="62"/>
      <c r="P7" s="62"/>
      <c r="Q7" s="62"/>
      <c r="R7" s="62"/>
    </row>
    <row r="8" spans="1:18" x14ac:dyDescent="0.3">
      <c r="A8" s="28" t="str">
        <f>IF(INDEX('Calculator Cost per Bucata'!$A:$A,ROW()+4)="","",INDEX('Calculator Cost per Bucata'!$A:$A,ROW()+4))</f>
        <v>C001</v>
      </c>
      <c r="B8" s="28" t="str">
        <f>IF($A8="","",INDEX('Calculator Cost per Bucata'!$C:$C,ROW()+4))</f>
        <v>C0230</v>
      </c>
      <c r="C8" s="28" t="str">
        <f>IF($A8="","",INDEX('Calculator Cost per Bucata'!$D:$D,ROW()+4))</f>
        <v>EC-Fairy Land-Castle</v>
      </c>
      <c r="D8" s="33">
        <f>IF(INDEX('Calculator Cost per Bucata'!$Y:$Y,ROW()+4)=1,INDEX('Calculator Cost per Bucata'!$P:$P,ROW()+4),"")</f>
        <v>72.25426139271255</v>
      </c>
      <c r="E8" s="33">
        <f>IF(INDEX('Calculator Cost per Bucata'!$Y:$Y,ROW()+4)=1,INDEX('Calculator Cost per Bucata'!$S:$S,ROW()+4),"")</f>
        <v>87.427656285182181</v>
      </c>
      <c r="F8" s="33">
        <f>IF($A8="","",IF(N(INDEX('PI Furnizor'!$L:$L,ROW()+1))&gt;0,INDEX('PI Furnizor'!$L:$L,ROW()+1),""))</f>
        <v>132</v>
      </c>
      <c r="G8" s="33">
        <f>IF($A8="","",IF(Comenzi!$D$6="Da",$D8,$E8))</f>
        <v>87.427656285182181</v>
      </c>
      <c r="H8" s="33">
        <f>IF(OR($A8="",$F8=""),"",IF(Comenzi!$D$6="Da",IFERROR($F8/(1+INDEX('Calculator Cost per Bucata'!$AC:$AC,ROW()+4)),""),$F8))</f>
        <v>132</v>
      </c>
      <c r="I8" s="46">
        <f t="shared" si="0"/>
        <v>44.572343714817819</v>
      </c>
      <c r="J8" s="47">
        <f t="shared" si="1"/>
        <v>0.33766927056680168</v>
      </c>
      <c r="K8" s="48" t="str">
        <f t="shared" si="2"/>
        <v>Import avantajos - marja buna</v>
      </c>
      <c r="M8" s="62"/>
      <c r="N8" s="62"/>
      <c r="O8" s="62"/>
      <c r="P8" s="62"/>
      <c r="Q8" s="62"/>
      <c r="R8" s="62"/>
    </row>
    <row r="9" spans="1:18" x14ac:dyDescent="0.3">
      <c r="A9" s="28" t="str">
        <f>IF(INDEX('Calculator Cost per Bucata'!$A:$A,ROW()+4)="","",INDEX('Calculator Cost per Bucata'!$A:$A,ROW()+4))</f>
        <v>C001</v>
      </c>
      <c r="B9" s="28" t="str">
        <f>IF($A9="","",INDEX('Calculator Cost per Bucata'!$C:$C,ROW()+4))</f>
        <v>11152-DS</v>
      </c>
      <c r="C9" s="28" t="str">
        <f>IF($A9="","",INDEX('Calculator Cost per Bucata'!$D:$D,ROW()+4))</f>
        <v>Train</v>
      </c>
      <c r="D9" s="33">
        <f>IF(INDEX('Calculator Cost per Bucata'!$Y:$Y,ROW()+4)=1,INDEX('Calculator Cost per Bucata'!$P:$P,ROW()+4),"")</f>
        <v>78.398158396761119</v>
      </c>
      <c r="E9" s="33">
        <f>IF(INDEX('Calculator Cost per Bucata'!$Y:$Y,ROW()+4)=1,INDEX('Calculator Cost per Bucata'!$S:$S,ROW()+4),"")</f>
        <v>94.861771660080962</v>
      </c>
      <c r="F9" s="33">
        <f>IF($A9="","",IF(N(INDEX('PI Furnizor'!$L:$L,ROW()+1))&gt;0,INDEX('PI Furnizor'!$L:$L,ROW()+1),""))</f>
        <v>220</v>
      </c>
      <c r="G9" s="33">
        <f>IF($A9="","",IF(Comenzi!$D$6="Da",$D9,$E9))</f>
        <v>94.861771660080962</v>
      </c>
      <c r="H9" s="33">
        <f>IF(OR($A9="",$F9=""),"",IF(Comenzi!$D$6="Da",IFERROR($F9/(1+INDEX('Calculator Cost per Bucata'!$AC:$AC,ROW()+4)),""),$F9))</f>
        <v>220</v>
      </c>
      <c r="I9" s="46">
        <f t="shared" si="0"/>
        <v>125.13822833991904</v>
      </c>
      <c r="J9" s="47">
        <f t="shared" si="1"/>
        <v>0.56881012881781379</v>
      </c>
      <c r="K9" s="48" t="str">
        <f t="shared" si="2"/>
        <v>Import avantajos - marja buna</v>
      </c>
      <c r="M9" s="62"/>
      <c r="N9" s="62"/>
      <c r="O9" s="62"/>
      <c r="P9" s="62"/>
      <c r="Q9" s="62"/>
      <c r="R9" s="62"/>
    </row>
    <row r="10" spans="1:18" x14ac:dyDescent="0.3">
      <c r="A10" s="28" t="str">
        <f>IF(INDEX('Calculator Cost per Bucata'!$A:$A,ROW()+4)="","",INDEX('Calculator Cost per Bucata'!$A:$A,ROW()+4))</f>
        <v>C001</v>
      </c>
      <c r="B10" s="28" t="str">
        <f>IF($A10="","",INDEX('Calculator Cost per Bucata'!$C:$C,ROW()+4))</f>
        <v>11823-DS</v>
      </c>
      <c r="C10" s="28" t="str">
        <f>IF($A10="","",INDEX('Calculator Cost per Bucata'!$D:$D,ROW()+4))</f>
        <v>Christmas series</v>
      </c>
      <c r="D10" s="33">
        <f>IF(INDEX('Calculator Cost per Bucata'!$Y:$Y,ROW()+4)=1,INDEX('Calculator Cost per Bucata'!$P:$P,ROW()+4),"")</f>
        <v>121.37398926315788</v>
      </c>
      <c r="E10" s="33">
        <f>IF(INDEX('Calculator Cost per Bucata'!$Y:$Y,ROW()+4)=1,INDEX('Calculator Cost per Bucata'!$S:$S,ROW()+4),"")</f>
        <v>146.86252700842104</v>
      </c>
      <c r="F10" s="33">
        <f>IF($A10="","",IF(N(INDEX('PI Furnizor'!$L:$L,ROW()+1))&gt;0,INDEX('PI Furnizor'!$L:$L,ROW()+1),""))</f>
        <v>300</v>
      </c>
      <c r="G10" s="33">
        <f>IF($A10="","",IF(Comenzi!$D$6="Da",$D10,$E10))</f>
        <v>146.86252700842104</v>
      </c>
      <c r="H10" s="33">
        <f>IF(OR($A10="",$F10=""),"",IF(Comenzi!$D$6="Da",IFERROR($F10/(1+INDEX('Calculator Cost per Bucata'!$AC:$AC,ROW()+4)),""),$F10))</f>
        <v>300</v>
      </c>
      <c r="I10" s="46">
        <f t="shared" si="0"/>
        <v>153.13747299157896</v>
      </c>
      <c r="J10" s="47">
        <f t="shared" si="1"/>
        <v>0.51045824330526324</v>
      </c>
      <c r="K10" s="48" t="str">
        <f t="shared" si="2"/>
        <v>Import avantajos - marja buna</v>
      </c>
      <c r="M10" s="62"/>
      <c r="N10" s="62"/>
      <c r="O10" s="62"/>
      <c r="P10" s="62"/>
      <c r="Q10" s="62"/>
      <c r="R10" s="62"/>
    </row>
    <row r="11" spans="1:18" x14ac:dyDescent="0.3">
      <c r="A11" s="28" t="str">
        <f>IF(INDEX('Calculator Cost per Bucata'!$A:$A,ROW()+4)="","",INDEX('Calculator Cost per Bucata'!$A:$A,ROW()+4))</f>
        <v>C002</v>
      </c>
      <c r="B11" s="28" t="str">
        <f>IF($A11="","",INDEX('Calculator Cost per Bucata'!$C:$C,ROW()+4))</f>
        <v>13116</v>
      </c>
      <c r="C11" s="28" t="str">
        <f>IF($A11="","",INDEX('Calculator Cost per Bucata'!$D:$D,ROW()+4))</f>
        <v>Plum Blossom</v>
      </c>
      <c r="D11" s="33">
        <f>IF(INDEX('Calculator Cost per Bucata'!$Y:$Y,ROW()+4)=1,INDEX('Calculator Cost per Bucata'!$P:$P,ROW()+4),"")</f>
        <v>87.826370666666662</v>
      </c>
      <c r="E11" s="33">
        <f>IF(INDEX('Calculator Cost per Bucata'!$Y:$Y,ROW()+4)=1,INDEX('Calculator Cost per Bucata'!$S:$S,ROW()+4),"")</f>
        <v>106.26990850666667</v>
      </c>
      <c r="F11" s="33">
        <f>IF($A11="","",IF(N(INDEX('PI Furnizor'!$L:$L,ROW()+1))&gt;0,INDEX('PI Furnizor'!$L:$L,ROW()+1),""))</f>
        <v>180</v>
      </c>
      <c r="G11" s="33">
        <f>IF($A11="","",IF(Comenzi!$D$6="Da",$D11,$E11))</f>
        <v>106.26990850666667</v>
      </c>
      <c r="H11" s="33">
        <f>IF(OR($A11="",$F11=""),"",IF(Comenzi!$D$6="Da",IFERROR($F11/(1+INDEX('Calculator Cost per Bucata'!$AC:$AC,ROW()+4)),""),$F11))</f>
        <v>180</v>
      </c>
      <c r="I11" s="46">
        <f t="shared" si="0"/>
        <v>73.730091493333333</v>
      </c>
      <c r="J11" s="47">
        <f t="shared" si="1"/>
        <v>0.40961161940740742</v>
      </c>
      <c r="K11" s="48" t="str">
        <f t="shared" si="2"/>
        <v>Import avantajos - marja buna</v>
      </c>
      <c r="M11" s="62"/>
      <c r="N11" s="62"/>
      <c r="O11" s="62"/>
      <c r="P11" s="62"/>
      <c r="Q11" s="62"/>
      <c r="R11" s="62"/>
    </row>
    <row r="12" spans="1:18" x14ac:dyDescent="0.3">
      <c r="A12" s="28" t="str">
        <f>IF(INDEX('Calculator Cost per Bucata'!$A:$A,ROW()+4)="","",INDEX('Calculator Cost per Bucata'!$A:$A,ROW()+4))</f>
        <v>C001</v>
      </c>
      <c r="B12" s="28" t="str">
        <f>IF($A12="","",INDEX('Calculator Cost per Bucata'!$C:$C,ROW()+4))</f>
        <v>C0864</v>
      </c>
      <c r="C12" s="28" t="str">
        <f>IF($A12="","",INDEX('Calculator Cost per Bucata'!$D:$D,ROW()+4))</f>
        <v>EC-003 Type Aircraft carrier</v>
      </c>
      <c r="D12" s="33">
        <f>IF(INDEX('Calculator Cost per Bucata'!$Y:$Y,ROW()+4)=1,INDEX('Calculator Cost per Bucata'!$P:$P,ROW()+4),"")</f>
        <v>122.53584544129552</v>
      </c>
      <c r="E12" s="33">
        <f>IF(INDEX('Calculator Cost per Bucata'!$Y:$Y,ROW()+4)=1,INDEX('Calculator Cost per Bucata'!$S:$S,ROW()+4),"")</f>
        <v>148.26837298396759</v>
      </c>
      <c r="F12" s="33">
        <f>IF($A12="","",IF(N(INDEX('PI Furnizor'!$L:$L,ROW()+1))&gt;0,INDEX('PI Furnizor'!$L:$L,ROW()+1),""))</f>
        <v>520</v>
      </c>
      <c r="G12" s="33">
        <f>IF($A12="","",IF(Comenzi!$D$6="Da",$D12,$E12))</f>
        <v>148.26837298396759</v>
      </c>
      <c r="H12" s="33">
        <f>IF(OR($A12="",$F12=""),"",IF(Comenzi!$D$6="Da",IFERROR($F12/(1+INDEX('Calculator Cost per Bucata'!$AC:$AC,ROW()+4)),""),$F12))</f>
        <v>520</v>
      </c>
      <c r="I12" s="46">
        <f t="shared" si="0"/>
        <v>371.73162701603241</v>
      </c>
      <c r="J12" s="47">
        <f t="shared" si="1"/>
        <v>0.71486851349237002</v>
      </c>
      <c r="K12" s="48" t="str">
        <f t="shared" si="2"/>
        <v>Import avantajos - marja buna</v>
      </c>
      <c r="M12" s="62"/>
      <c r="N12" s="62"/>
      <c r="O12" s="62"/>
      <c r="P12" s="62"/>
      <c r="Q12" s="62"/>
      <c r="R12" s="62"/>
    </row>
    <row r="13" spans="1:18" x14ac:dyDescent="0.3">
      <c r="A13" s="28" t="str">
        <f>IF(INDEX('Calculator Cost per Bucata'!$A:$A,ROW()+4)="","",INDEX('Calculator Cost per Bucata'!$A:$A,ROW()+4))</f>
        <v/>
      </c>
      <c r="B13" s="28" t="str">
        <f>IF($A13="","",INDEX('Calculator Cost per Bucata'!$C:$C,ROW()+4))</f>
        <v/>
      </c>
      <c r="C13" s="28" t="str">
        <f>IF($A13="","",INDEX('Calculator Cost per Bucata'!$D:$D,ROW()+4))</f>
        <v/>
      </c>
      <c r="D13" s="33" t="str">
        <f>IF(INDEX('Calculator Cost per Bucata'!$Y:$Y,ROW()+4)=1,INDEX('Calculator Cost per Bucata'!$P:$P,ROW()+4),"")</f>
        <v/>
      </c>
      <c r="E13" s="33" t="str">
        <f>IF(INDEX('Calculator Cost per Bucata'!$Y:$Y,ROW()+4)=1,INDEX('Calculator Cost per Bucata'!$S:$S,ROW()+4),"")</f>
        <v/>
      </c>
      <c r="F13" s="33" t="str">
        <f>IF($A13="","",IF(N(INDEX('PI Furnizor'!$L:$L,ROW()+1))&gt;0,INDEX('PI Furnizor'!$L:$L,ROW()+1),""))</f>
        <v/>
      </c>
      <c r="G13" s="33" t="str">
        <f>IF($A13="","",IF(Comenzi!$D$6="Da",$D13,$E13))</f>
        <v/>
      </c>
      <c r="H13" s="33" t="str">
        <f>IF(OR($A13="",$F13=""),"",IF(Comenzi!$D$6="Da",IFERROR($F13/(1+INDEX('Calculator Cost per Bucata'!$AC:$AC,ROW()+4)),""),$F13))</f>
        <v/>
      </c>
      <c r="I13" s="46" t="str">
        <f t="shared" si="0"/>
        <v/>
      </c>
      <c r="J13" s="47" t="str">
        <f t="shared" si="1"/>
        <v/>
      </c>
      <c r="K13" s="48" t="str">
        <f t="shared" si="2"/>
        <v/>
      </c>
    </row>
    <row r="14" spans="1:18" x14ac:dyDescent="0.3">
      <c r="A14" s="28" t="str">
        <f>IF(INDEX('Calculator Cost per Bucata'!$A:$A,ROW()+4)="","",INDEX('Calculator Cost per Bucata'!$A:$A,ROW()+4))</f>
        <v/>
      </c>
      <c r="B14" s="28" t="str">
        <f>IF($A14="","",INDEX('Calculator Cost per Bucata'!$C:$C,ROW()+4))</f>
        <v/>
      </c>
      <c r="C14" s="28" t="str">
        <f>IF($A14="","",INDEX('Calculator Cost per Bucata'!$D:$D,ROW()+4))</f>
        <v/>
      </c>
      <c r="D14" s="33" t="str">
        <f>IF(INDEX('Calculator Cost per Bucata'!$Y:$Y,ROW()+4)=1,INDEX('Calculator Cost per Bucata'!$P:$P,ROW()+4),"")</f>
        <v/>
      </c>
      <c r="E14" s="33" t="str">
        <f>IF(INDEX('Calculator Cost per Bucata'!$Y:$Y,ROW()+4)=1,INDEX('Calculator Cost per Bucata'!$S:$S,ROW()+4),"")</f>
        <v/>
      </c>
      <c r="F14" s="33" t="str">
        <f>IF($A14="","",IF(N(INDEX('PI Furnizor'!$L:$L,ROW()+1))&gt;0,INDEX('PI Furnizor'!$L:$L,ROW()+1),""))</f>
        <v/>
      </c>
      <c r="G14" s="33" t="str">
        <f>IF($A14="","",IF(Comenzi!$D$6="Da",$D14,$E14))</f>
        <v/>
      </c>
      <c r="H14" s="33" t="str">
        <f>IF(OR($A14="",$F14=""),"",IF(Comenzi!$D$6="Da",IFERROR($F14/(1+INDEX('Calculator Cost per Bucata'!$AC:$AC,ROW()+4)),""),$F14))</f>
        <v/>
      </c>
      <c r="I14" s="46" t="str">
        <f t="shared" si="0"/>
        <v/>
      </c>
      <c r="J14" s="47" t="str">
        <f t="shared" si="1"/>
        <v/>
      </c>
      <c r="K14" s="48" t="str">
        <f t="shared" si="2"/>
        <v/>
      </c>
    </row>
    <row r="15" spans="1:18" x14ac:dyDescent="0.3">
      <c r="A15" s="28" t="str">
        <f>IF(INDEX('Calculator Cost per Bucata'!$A:$A,ROW()+4)="","",INDEX('Calculator Cost per Bucata'!$A:$A,ROW()+4))</f>
        <v/>
      </c>
      <c r="B15" s="28" t="str">
        <f>IF($A15="","",INDEX('Calculator Cost per Bucata'!$C:$C,ROW()+4))</f>
        <v/>
      </c>
      <c r="C15" s="28" t="str">
        <f>IF($A15="","",INDEX('Calculator Cost per Bucata'!$D:$D,ROW()+4))</f>
        <v/>
      </c>
      <c r="D15" s="33" t="str">
        <f>IF(INDEX('Calculator Cost per Bucata'!$Y:$Y,ROW()+4)=1,INDEX('Calculator Cost per Bucata'!$P:$P,ROW()+4),"")</f>
        <v/>
      </c>
      <c r="E15" s="33" t="str">
        <f>IF(INDEX('Calculator Cost per Bucata'!$Y:$Y,ROW()+4)=1,INDEX('Calculator Cost per Bucata'!$S:$S,ROW()+4),"")</f>
        <v/>
      </c>
      <c r="F15" s="33" t="str">
        <f>IF($A15="","",IF(N(INDEX('PI Furnizor'!$L:$L,ROW()+1))&gt;0,INDEX('PI Furnizor'!$L:$L,ROW()+1),""))</f>
        <v/>
      </c>
      <c r="G15" s="33" t="str">
        <f>IF($A15="","",IF(Comenzi!$D$6="Da",$D15,$E15))</f>
        <v/>
      </c>
      <c r="H15" s="33" t="str">
        <f>IF(OR($A15="",$F15=""),"",IF(Comenzi!$D$6="Da",IFERROR($F15/(1+INDEX('Calculator Cost per Bucata'!$AC:$AC,ROW()+4)),""),$F15))</f>
        <v/>
      </c>
      <c r="I15" s="46" t="str">
        <f t="shared" si="0"/>
        <v/>
      </c>
      <c r="J15" s="47" t="str">
        <f t="shared" si="1"/>
        <v/>
      </c>
      <c r="K15" s="48" t="str">
        <f t="shared" si="2"/>
        <v/>
      </c>
    </row>
    <row r="16" spans="1:18" x14ac:dyDescent="0.3">
      <c r="A16" s="28" t="str">
        <f>IF(INDEX('Calculator Cost per Bucata'!$A:$A,ROW()+4)="","",INDEX('Calculator Cost per Bucata'!$A:$A,ROW()+4))</f>
        <v/>
      </c>
      <c r="B16" s="28" t="str">
        <f>IF($A16="","",INDEX('Calculator Cost per Bucata'!$C:$C,ROW()+4))</f>
        <v/>
      </c>
      <c r="C16" s="28" t="str">
        <f>IF($A16="","",INDEX('Calculator Cost per Bucata'!$D:$D,ROW()+4))</f>
        <v/>
      </c>
      <c r="D16" s="33" t="str">
        <f>IF(INDEX('Calculator Cost per Bucata'!$Y:$Y,ROW()+4)=1,INDEX('Calculator Cost per Bucata'!$P:$P,ROW()+4),"")</f>
        <v/>
      </c>
      <c r="E16" s="33" t="str">
        <f>IF(INDEX('Calculator Cost per Bucata'!$Y:$Y,ROW()+4)=1,INDEX('Calculator Cost per Bucata'!$S:$S,ROW()+4),"")</f>
        <v/>
      </c>
      <c r="F16" s="33" t="str">
        <f>IF($A16="","",IF(N(INDEX('PI Furnizor'!$L:$L,ROW()+1))&gt;0,INDEX('PI Furnizor'!$L:$L,ROW()+1),""))</f>
        <v/>
      </c>
      <c r="G16" s="33" t="str">
        <f>IF($A16="","",IF(Comenzi!$D$6="Da",$D16,$E16))</f>
        <v/>
      </c>
      <c r="H16" s="33" t="str">
        <f>IF(OR($A16="",$F16=""),"",IF(Comenzi!$D$6="Da",IFERROR($F16/(1+INDEX('Calculator Cost per Bucata'!$AC:$AC,ROW()+4)),""),$F16))</f>
        <v/>
      </c>
      <c r="I16" s="46" t="str">
        <f t="shared" si="0"/>
        <v/>
      </c>
      <c r="J16" s="47" t="str">
        <f t="shared" si="1"/>
        <v/>
      </c>
      <c r="K16" s="48" t="str">
        <f t="shared" si="2"/>
        <v/>
      </c>
    </row>
    <row r="17" spans="1:11" x14ac:dyDescent="0.3">
      <c r="A17" s="28" t="str">
        <f>IF(INDEX('Calculator Cost per Bucata'!$A:$A,ROW()+4)="","",INDEX('Calculator Cost per Bucata'!$A:$A,ROW()+4))</f>
        <v/>
      </c>
      <c r="B17" s="28" t="str">
        <f>IF($A17="","",INDEX('Calculator Cost per Bucata'!$C:$C,ROW()+4))</f>
        <v/>
      </c>
      <c r="C17" s="28" t="str">
        <f>IF($A17="","",INDEX('Calculator Cost per Bucata'!$D:$D,ROW()+4))</f>
        <v/>
      </c>
      <c r="D17" s="33" t="str">
        <f>IF(INDEX('Calculator Cost per Bucata'!$Y:$Y,ROW()+4)=1,INDEX('Calculator Cost per Bucata'!$P:$P,ROW()+4),"")</f>
        <v/>
      </c>
      <c r="E17" s="33" t="str">
        <f>IF(INDEX('Calculator Cost per Bucata'!$Y:$Y,ROW()+4)=1,INDEX('Calculator Cost per Bucata'!$S:$S,ROW()+4),"")</f>
        <v/>
      </c>
      <c r="F17" s="33" t="str">
        <f>IF($A17="","",IF(N(INDEX('PI Furnizor'!$L:$L,ROW()+1))&gt;0,INDEX('PI Furnizor'!$L:$L,ROW()+1),""))</f>
        <v/>
      </c>
      <c r="G17" s="33" t="str">
        <f>IF($A17="","",IF(Comenzi!$D$6="Da",$D17,$E17))</f>
        <v/>
      </c>
      <c r="H17" s="33" t="str">
        <f>IF(OR($A17="",$F17=""),"",IF(Comenzi!$D$6="Da",IFERROR($F17/(1+INDEX('Calculator Cost per Bucata'!$AC:$AC,ROW()+4)),""),$F17))</f>
        <v/>
      </c>
      <c r="I17" s="46" t="str">
        <f t="shared" si="0"/>
        <v/>
      </c>
      <c r="J17" s="47" t="str">
        <f t="shared" si="1"/>
        <v/>
      </c>
      <c r="K17" s="48" t="str">
        <f t="shared" si="2"/>
        <v/>
      </c>
    </row>
    <row r="18" spans="1:11" x14ac:dyDescent="0.3">
      <c r="A18" s="28" t="str">
        <f>IF(INDEX('Calculator Cost per Bucata'!$A:$A,ROW()+4)="","",INDEX('Calculator Cost per Bucata'!$A:$A,ROW()+4))</f>
        <v/>
      </c>
      <c r="B18" s="28" t="str">
        <f>IF($A18="","",INDEX('Calculator Cost per Bucata'!$C:$C,ROW()+4))</f>
        <v/>
      </c>
      <c r="C18" s="28" t="str">
        <f>IF($A18="","",INDEX('Calculator Cost per Bucata'!$D:$D,ROW()+4))</f>
        <v/>
      </c>
      <c r="D18" s="33" t="str">
        <f>IF(INDEX('Calculator Cost per Bucata'!$Y:$Y,ROW()+4)=1,INDEX('Calculator Cost per Bucata'!$P:$P,ROW()+4),"")</f>
        <v/>
      </c>
      <c r="E18" s="33" t="str">
        <f>IF(INDEX('Calculator Cost per Bucata'!$Y:$Y,ROW()+4)=1,INDEX('Calculator Cost per Bucata'!$S:$S,ROW()+4),"")</f>
        <v/>
      </c>
      <c r="F18" s="33" t="str">
        <f>IF($A18="","",IF(N(INDEX('PI Furnizor'!$L:$L,ROW()+1))&gt;0,INDEX('PI Furnizor'!$L:$L,ROW()+1),""))</f>
        <v/>
      </c>
      <c r="G18" s="33" t="str">
        <f>IF($A18="","",IF(Comenzi!$D$6="Da",$D18,$E18))</f>
        <v/>
      </c>
      <c r="H18" s="33" t="str">
        <f>IF(OR($A18="",$F18=""),"",IF(Comenzi!$D$6="Da",IFERROR($F18/(1+INDEX('Calculator Cost per Bucata'!$AC:$AC,ROW()+4)),""),$F18))</f>
        <v/>
      </c>
      <c r="I18" s="46" t="str">
        <f t="shared" si="0"/>
        <v/>
      </c>
      <c r="J18" s="47" t="str">
        <f t="shared" si="1"/>
        <v/>
      </c>
      <c r="K18" s="48" t="str">
        <f t="shared" si="2"/>
        <v/>
      </c>
    </row>
    <row r="19" spans="1:11" x14ac:dyDescent="0.3">
      <c r="A19" s="28" t="str">
        <f>IF(INDEX('Calculator Cost per Bucata'!$A:$A,ROW()+4)="","",INDEX('Calculator Cost per Bucata'!$A:$A,ROW()+4))</f>
        <v/>
      </c>
      <c r="B19" s="28" t="str">
        <f>IF($A19="","",INDEX('Calculator Cost per Bucata'!$C:$C,ROW()+4))</f>
        <v/>
      </c>
      <c r="C19" s="28" t="str">
        <f>IF($A19="","",INDEX('Calculator Cost per Bucata'!$D:$D,ROW()+4))</f>
        <v/>
      </c>
      <c r="D19" s="33" t="str">
        <f>IF(INDEX('Calculator Cost per Bucata'!$Y:$Y,ROW()+4)=1,INDEX('Calculator Cost per Bucata'!$P:$P,ROW()+4),"")</f>
        <v/>
      </c>
      <c r="E19" s="33" t="str">
        <f>IF(INDEX('Calculator Cost per Bucata'!$Y:$Y,ROW()+4)=1,INDEX('Calculator Cost per Bucata'!$S:$S,ROW()+4),"")</f>
        <v/>
      </c>
      <c r="F19" s="33" t="str">
        <f>IF($A19="","",IF(N(INDEX('PI Furnizor'!$L:$L,ROW()+1))&gt;0,INDEX('PI Furnizor'!$L:$L,ROW()+1),""))</f>
        <v/>
      </c>
      <c r="G19" s="33" t="str">
        <f>IF($A19="","",IF(Comenzi!$D$6="Da",$D19,$E19))</f>
        <v/>
      </c>
      <c r="H19" s="33" t="str">
        <f>IF(OR($A19="",$F19=""),"",IF(Comenzi!$D$6="Da",IFERROR($F19/(1+INDEX('Calculator Cost per Bucata'!$AC:$AC,ROW()+4)),""),$F19))</f>
        <v/>
      </c>
      <c r="I19" s="46" t="str">
        <f t="shared" si="0"/>
        <v/>
      </c>
      <c r="J19" s="47" t="str">
        <f t="shared" si="1"/>
        <v/>
      </c>
      <c r="K19" s="48" t="str">
        <f t="shared" si="2"/>
        <v/>
      </c>
    </row>
    <row r="20" spans="1:11" x14ac:dyDescent="0.3">
      <c r="A20" s="28" t="str">
        <f>IF(INDEX('Calculator Cost per Bucata'!$A:$A,ROW()+4)="","",INDEX('Calculator Cost per Bucata'!$A:$A,ROW()+4))</f>
        <v/>
      </c>
      <c r="B20" s="28" t="str">
        <f>IF($A20="","",INDEX('Calculator Cost per Bucata'!$C:$C,ROW()+4))</f>
        <v/>
      </c>
      <c r="C20" s="28" t="str">
        <f>IF($A20="","",INDEX('Calculator Cost per Bucata'!$D:$D,ROW()+4))</f>
        <v/>
      </c>
      <c r="D20" s="33" t="str">
        <f>IF(INDEX('Calculator Cost per Bucata'!$Y:$Y,ROW()+4)=1,INDEX('Calculator Cost per Bucata'!$P:$P,ROW()+4),"")</f>
        <v/>
      </c>
      <c r="E20" s="33" t="str">
        <f>IF(INDEX('Calculator Cost per Bucata'!$Y:$Y,ROW()+4)=1,INDEX('Calculator Cost per Bucata'!$S:$S,ROW()+4),"")</f>
        <v/>
      </c>
      <c r="F20" s="33" t="str">
        <f>IF($A20="","",IF(N(INDEX('PI Furnizor'!$L:$L,ROW()+1))&gt;0,INDEX('PI Furnizor'!$L:$L,ROW()+1),""))</f>
        <v/>
      </c>
      <c r="G20" s="33" t="str">
        <f>IF($A20="","",IF(Comenzi!$D$6="Da",$D20,$E20))</f>
        <v/>
      </c>
      <c r="H20" s="33" t="str">
        <f>IF(OR($A20="",$F20=""),"",IF(Comenzi!$D$6="Da",IFERROR($F20/(1+INDEX('Calculator Cost per Bucata'!$AC:$AC,ROW()+4)),""),$F20))</f>
        <v/>
      </c>
      <c r="I20" s="46" t="str">
        <f t="shared" si="0"/>
        <v/>
      </c>
      <c r="J20" s="47" t="str">
        <f t="shared" si="1"/>
        <v/>
      </c>
      <c r="K20" s="48" t="str">
        <f t="shared" si="2"/>
        <v/>
      </c>
    </row>
    <row r="21" spans="1:11" x14ac:dyDescent="0.3">
      <c r="A21" s="28" t="str">
        <f>IF(INDEX('Calculator Cost per Bucata'!$A:$A,ROW()+4)="","",INDEX('Calculator Cost per Bucata'!$A:$A,ROW()+4))</f>
        <v/>
      </c>
      <c r="B21" s="28" t="str">
        <f>IF($A21="","",INDEX('Calculator Cost per Bucata'!$C:$C,ROW()+4))</f>
        <v/>
      </c>
      <c r="C21" s="28" t="str">
        <f>IF($A21="","",INDEX('Calculator Cost per Bucata'!$D:$D,ROW()+4))</f>
        <v/>
      </c>
      <c r="D21" s="33" t="str">
        <f>IF(INDEX('Calculator Cost per Bucata'!$Y:$Y,ROW()+4)=1,INDEX('Calculator Cost per Bucata'!$P:$P,ROW()+4),"")</f>
        <v/>
      </c>
      <c r="E21" s="33" t="str">
        <f>IF(INDEX('Calculator Cost per Bucata'!$Y:$Y,ROW()+4)=1,INDEX('Calculator Cost per Bucata'!$S:$S,ROW()+4),"")</f>
        <v/>
      </c>
      <c r="F21" s="33" t="str">
        <f>IF($A21="","",IF(N(INDEX('PI Furnizor'!$L:$L,ROW()+1))&gt;0,INDEX('PI Furnizor'!$L:$L,ROW()+1),""))</f>
        <v/>
      </c>
      <c r="G21" s="33" t="str">
        <f>IF($A21="","",IF(Comenzi!$D$6="Da",$D21,$E21))</f>
        <v/>
      </c>
      <c r="H21" s="33" t="str">
        <f>IF(OR($A21="",$F21=""),"",IF(Comenzi!$D$6="Da",IFERROR($F21/(1+INDEX('Calculator Cost per Bucata'!$AC:$AC,ROW()+4)),""),$F21))</f>
        <v/>
      </c>
      <c r="I21" s="46" t="str">
        <f t="shared" si="0"/>
        <v/>
      </c>
      <c r="J21" s="47" t="str">
        <f t="shared" si="1"/>
        <v/>
      </c>
      <c r="K21" s="48" t="str">
        <f t="shared" si="2"/>
        <v/>
      </c>
    </row>
    <row r="22" spans="1:11" x14ac:dyDescent="0.3">
      <c r="A22" s="28" t="str">
        <f>IF(INDEX('Calculator Cost per Bucata'!$A:$A,ROW()+4)="","",INDEX('Calculator Cost per Bucata'!$A:$A,ROW()+4))</f>
        <v/>
      </c>
      <c r="B22" s="28" t="str">
        <f>IF($A22="","",INDEX('Calculator Cost per Bucata'!$C:$C,ROW()+4))</f>
        <v/>
      </c>
      <c r="C22" s="28" t="str">
        <f>IF($A22="","",INDEX('Calculator Cost per Bucata'!$D:$D,ROW()+4))</f>
        <v/>
      </c>
      <c r="D22" s="33" t="str">
        <f>IF(INDEX('Calculator Cost per Bucata'!$Y:$Y,ROW()+4)=1,INDEX('Calculator Cost per Bucata'!$P:$P,ROW()+4),"")</f>
        <v/>
      </c>
      <c r="E22" s="33" t="str">
        <f>IF(INDEX('Calculator Cost per Bucata'!$Y:$Y,ROW()+4)=1,INDEX('Calculator Cost per Bucata'!$S:$S,ROW()+4),"")</f>
        <v/>
      </c>
      <c r="F22" s="33" t="str">
        <f>IF($A22="","",IF(N(INDEX('PI Furnizor'!$L:$L,ROW()+1))&gt;0,INDEX('PI Furnizor'!$L:$L,ROW()+1),""))</f>
        <v/>
      </c>
      <c r="G22" s="33" t="str">
        <f>IF($A22="","",IF(Comenzi!$D$6="Da",$D22,$E22))</f>
        <v/>
      </c>
      <c r="H22" s="33" t="str">
        <f>IF(OR($A22="",$F22=""),"",IF(Comenzi!$D$6="Da",IFERROR($F22/(1+INDEX('Calculator Cost per Bucata'!$AC:$AC,ROW()+4)),""),$F22))</f>
        <v/>
      </c>
      <c r="I22" s="46" t="str">
        <f t="shared" si="0"/>
        <v/>
      </c>
      <c r="J22" s="47" t="str">
        <f t="shared" si="1"/>
        <v/>
      </c>
      <c r="K22" s="48" t="str">
        <f t="shared" si="2"/>
        <v/>
      </c>
    </row>
    <row r="23" spans="1:11" x14ac:dyDescent="0.3">
      <c r="A23" s="28" t="str">
        <f>IF(INDEX('Calculator Cost per Bucata'!$A:$A,ROW()+4)="","",INDEX('Calculator Cost per Bucata'!$A:$A,ROW()+4))</f>
        <v/>
      </c>
      <c r="B23" s="28" t="str">
        <f>IF($A23="","",INDEX('Calculator Cost per Bucata'!$C:$C,ROW()+4))</f>
        <v/>
      </c>
      <c r="C23" s="28" t="str">
        <f>IF($A23="","",INDEX('Calculator Cost per Bucata'!$D:$D,ROW()+4))</f>
        <v/>
      </c>
      <c r="D23" s="33" t="str">
        <f>IF(INDEX('Calculator Cost per Bucata'!$Y:$Y,ROW()+4)=1,INDEX('Calculator Cost per Bucata'!$P:$P,ROW()+4),"")</f>
        <v/>
      </c>
      <c r="E23" s="33" t="str">
        <f>IF(INDEX('Calculator Cost per Bucata'!$Y:$Y,ROW()+4)=1,INDEX('Calculator Cost per Bucata'!$S:$S,ROW()+4),"")</f>
        <v/>
      </c>
      <c r="F23" s="33" t="str">
        <f>IF($A23="","",IF(N(INDEX('PI Furnizor'!$L:$L,ROW()+1))&gt;0,INDEX('PI Furnizor'!$L:$L,ROW()+1),""))</f>
        <v/>
      </c>
      <c r="G23" s="33" t="str">
        <f>IF($A23="","",IF(Comenzi!$D$6="Da",$D23,$E23))</f>
        <v/>
      </c>
      <c r="H23" s="33" t="str">
        <f>IF(OR($A23="",$F23=""),"",IF(Comenzi!$D$6="Da",IFERROR($F23/(1+INDEX('Calculator Cost per Bucata'!$AC:$AC,ROW()+4)),""),$F23))</f>
        <v/>
      </c>
      <c r="I23" s="46" t="str">
        <f t="shared" si="0"/>
        <v/>
      </c>
      <c r="J23" s="47" t="str">
        <f t="shared" si="1"/>
        <v/>
      </c>
      <c r="K23" s="48" t="str">
        <f t="shared" si="2"/>
        <v/>
      </c>
    </row>
    <row r="24" spans="1:11" x14ac:dyDescent="0.3">
      <c r="A24" s="28" t="str">
        <f>IF(INDEX('Calculator Cost per Bucata'!$A:$A,ROW()+4)="","",INDEX('Calculator Cost per Bucata'!$A:$A,ROW()+4))</f>
        <v/>
      </c>
      <c r="B24" s="28" t="str">
        <f>IF($A24="","",INDEX('Calculator Cost per Bucata'!$C:$C,ROW()+4))</f>
        <v/>
      </c>
      <c r="C24" s="28" t="str">
        <f>IF($A24="","",INDEX('Calculator Cost per Bucata'!$D:$D,ROW()+4))</f>
        <v/>
      </c>
      <c r="D24" s="33" t="str">
        <f>IF(INDEX('Calculator Cost per Bucata'!$Y:$Y,ROW()+4)=1,INDEX('Calculator Cost per Bucata'!$P:$P,ROW()+4),"")</f>
        <v/>
      </c>
      <c r="E24" s="33" t="str">
        <f>IF(INDEX('Calculator Cost per Bucata'!$Y:$Y,ROW()+4)=1,INDEX('Calculator Cost per Bucata'!$S:$S,ROW()+4),"")</f>
        <v/>
      </c>
      <c r="F24" s="33" t="str">
        <f>IF($A24="","",IF(N(INDEX('PI Furnizor'!$L:$L,ROW()+1))&gt;0,INDEX('PI Furnizor'!$L:$L,ROW()+1),""))</f>
        <v/>
      </c>
      <c r="G24" s="33" t="str">
        <f>IF($A24="","",IF(Comenzi!$D$6="Da",$D24,$E24))</f>
        <v/>
      </c>
      <c r="H24" s="33" t="str">
        <f>IF(OR($A24="",$F24=""),"",IF(Comenzi!$D$6="Da",IFERROR($F24/(1+INDEX('Calculator Cost per Bucata'!$AC:$AC,ROW()+4)),""),$F24))</f>
        <v/>
      </c>
      <c r="I24" s="46" t="str">
        <f t="shared" si="0"/>
        <v/>
      </c>
      <c r="J24" s="47" t="str">
        <f t="shared" si="1"/>
        <v/>
      </c>
      <c r="K24" s="48" t="str">
        <f t="shared" si="2"/>
        <v/>
      </c>
    </row>
    <row r="25" spans="1:11" x14ac:dyDescent="0.3">
      <c r="A25" s="28" t="str">
        <f>IF(INDEX('Calculator Cost per Bucata'!$A:$A,ROW()+4)="","",INDEX('Calculator Cost per Bucata'!$A:$A,ROW()+4))</f>
        <v/>
      </c>
      <c r="B25" s="28" t="str">
        <f>IF($A25="","",INDEX('Calculator Cost per Bucata'!$C:$C,ROW()+4))</f>
        <v/>
      </c>
      <c r="C25" s="28" t="str">
        <f>IF($A25="","",INDEX('Calculator Cost per Bucata'!$D:$D,ROW()+4))</f>
        <v/>
      </c>
      <c r="D25" s="33" t="str">
        <f>IF(INDEX('Calculator Cost per Bucata'!$Y:$Y,ROW()+4)=1,INDEX('Calculator Cost per Bucata'!$P:$P,ROW()+4),"")</f>
        <v/>
      </c>
      <c r="E25" s="33" t="str">
        <f>IF(INDEX('Calculator Cost per Bucata'!$Y:$Y,ROW()+4)=1,INDEX('Calculator Cost per Bucata'!$S:$S,ROW()+4),"")</f>
        <v/>
      </c>
      <c r="F25" s="33" t="str">
        <f>IF($A25="","",IF(N(INDEX('PI Furnizor'!$L:$L,ROW()+1))&gt;0,INDEX('PI Furnizor'!$L:$L,ROW()+1),""))</f>
        <v/>
      </c>
      <c r="G25" s="33" t="str">
        <f>IF($A25="","",IF(Comenzi!$D$6="Da",$D25,$E25))</f>
        <v/>
      </c>
      <c r="H25" s="33" t="str">
        <f>IF(OR($A25="",$F25=""),"",IF(Comenzi!$D$6="Da",IFERROR($F25/(1+INDEX('Calculator Cost per Bucata'!$AC:$AC,ROW()+4)),""),$F25))</f>
        <v/>
      </c>
      <c r="I25" s="46" t="str">
        <f t="shared" si="0"/>
        <v/>
      </c>
      <c r="J25" s="47" t="str">
        <f t="shared" si="1"/>
        <v/>
      </c>
      <c r="K25" s="48" t="str">
        <f t="shared" si="2"/>
        <v/>
      </c>
    </row>
    <row r="26" spans="1:11" x14ac:dyDescent="0.3">
      <c r="A26" s="28" t="str">
        <f>IF(INDEX('Calculator Cost per Bucata'!$A:$A,ROW()+4)="","",INDEX('Calculator Cost per Bucata'!$A:$A,ROW()+4))</f>
        <v/>
      </c>
      <c r="B26" s="28" t="str">
        <f>IF($A26="","",INDEX('Calculator Cost per Bucata'!$C:$C,ROW()+4))</f>
        <v/>
      </c>
      <c r="C26" s="28" t="str">
        <f>IF($A26="","",INDEX('Calculator Cost per Bucata'!$D:$D,ROW()+4))</f>
        <v/>
      </c>
      <c r="D26" s="33" t="str">
        <f>IF(INDEX('Calculator Cost per Bucata'!$Y:$Y,ROW()+4)=1,INDEX('Calculator Cost per Bucata'!$P:$P,ROW()+4),"")</f>
        <v/>
      </c>
      <c r="E26" s="33" t="str">
        <f>IF(INDEX('Calculator Cost per Bucata'!$Y:$Y,ROW()+4)=1,INDEX('Calculator Cost per Bucata'!$S:$S,ROW()+4),"")</f>
        <v/>
      </c>
      <c r="F26" s="33" t="str">
        <f>IF($A26="","",IF(N(INDEX('PI Furnizor'!$L:$L,ROW()+1))&gt;0,INDEX('PI Furnizor'!$L:$L,ROW()+1),""))</f>
        <v/>
      </c>
      <c r="G26" s="33" t="str">
        <f>IF($A26="","",IF(Comenzi!$D$6="Da",$D26,$E26))</f>
        <v/>
      </c>
      <c r="H26" s="33" t="str">
        <f>IF(OR($A26="",$F26=""),"",IF(Comenzi!$D$6="Da",IFERROR($F26/(1+INDEX('Calculator Cost per Bucata'!$AC:$AC,ROW()+4)),""),$F26))</f>
        <v/>
      </c>
      <c r="I26" s="46" t="str">
        <f t="shared" si="0"/>
        <v/>
      </c>
      <c r="J26" s="47" t="str">
        <f t="shared" si="1"/>
        <v/>
      </c>
      <c r="K26" s="48" t="str">
        <f t="shared" si="2"/>
        <v/>
      </c>
    </row>
    <row r="27" spans="1:11" x14ac:dyDescent="0.3">
      <c r="A27" s="28" t="str">
        <f>IF(INDEX('Calculator Cost per Bucata'!$A:$A,ROW()+4)="","",INDEX('Calculator Cost per Bucata'!$A:$A,ROW()+4))</f>
        <v/>
      </c>
      <c r="B27" s="28" t="str">
        <f>IF($A27="","",INDEX('Calculator Cost per Bucata'!$C:$C,ROW()+4))</f>
        <v/>
      </c>
      <c r="C27" s="28" t="str">
        <f>IF($A27="","",INDEX('Calculator Cost per Bucata'!$D:$D,ROW()+4))</f>
        <v/>
      </c>
      <c r="D27" s="33" t="str">
        <f>IF(INDEX('Calculator Cost per Bucata'!$Y:$Y,ROW()+4)=1,INDEX('Calculator Cost per Bucata'!$P:$P,ROW()+4),"")</f>
        <v/>
      </c>
      <c r="E27" s="33" t="str">
        <f>IF(INDEX('Calculator Cost per Bucata'!$Y:$Y,ROW()+4)=1,INDEX('Calculator Cost per Bucata'!$S:$S,ROW()+4),"")</f>
        <v/>
      </c>
      <c r="F27" s="33" t="str">
        <f>IF($A27="","",IF(N(INDEX('PI Furnizor'!$L:$L,ROW()+1))&gt;0,INDEX('PI Furnizor'!$L:$L,ROW()+1),""))</f>
        <v/>
      </c>
      <c r="G27" s="33" t="str">
        <f>IF($A27="","",IF(Comenzi!$D$6="Da",$D27,$E27))</f>
        <v/>
      </c>
      <c r="H27" s="33" t="str">
        <f>IF(OR($A27="",$F27=""),"",IF(Comenzi!$D$6="Da",IFERROR($F27/(1+INDEX('Calculator Cost per Bucata'!$AC:$AC,ROW()+4)),""),$F27))</f>
        <v/>
      </c>
      <c r="I27" s="46" t="str">
        <f t="shared" si="0"/>
        <v/>
      </c>
      <c r="J27" s="47" t="str">
        <f t="shared" si="1"/>
        <v/>
      </c>
      <c r="K27" s="48" t="str">
        <f t="shared" si="2"/>
        <v/>
      </c>
    </row>
    <row r="28" spans="1:11" x14ac:dyDescent="0.3">
      <c r="A28" s="28" t="str">
        <f>IF(INDEX('Calculator Cost per Bucata'!$A:$A,ROW()+4)="","",INDEX('Calculator Cost per Bucata'!$A:$A,ROW()+4))</f>
        <v/>
      </c>
      <c r="B28" s="28" t="str">
        <f>IF($A28="","",INDEX('Calculator Cost per Bucata'!$C:$C,ROW()+4))</f>
        <v/>
      </c>
      <c r="C28" s="28" t="str">
        <f>IF($A28="","",INDEX('Calculator Cost per Bucata'!$D:$D,ROW()+4))</f>
        <v/>
      </c>
      <c r="D28" s="33" t="str">
        <f>IF(INDEX('Calculator Cost per Bucata'!$Y:$Y,ROW()+4)=1,INDEX('Calculator Cost per Bucata'!$P:$P,ROW()+4),"")</f>
        <v/>
      </c>
      <c r="E28" s="33" t="str">
        <f>IF(INDEX('Calculator Cost per Bucata'!$Y:$Y,ROW()+4)=1,INDEX('Calculator Cost per Bucata'!$S:$S,ROW()+4),"")</f>
        <v/>
      </c>
      <c r="F28" s="33" t="str">
        <f>IF($A28="","",IF(N(INDEX('PI Furnizor'!$L:$L,ROW()+1))&gt;0,INDEX('PI Furnizor'!$L:$L,ROW()+1),""))</f>
        <v/>
      </c>
      <c r="G28" s="33" t="str">
        <f>IF($A28="","",IF(Comenzi!$D$6="Da",$D28,$E28))</f>
        <v/>
      </c>
      <c r="H28" s="33" t="str">
        <f>IF(OR($A28="",$F28=""),"",IF(Comenzi!$D$6="Da",IFERROR($F28/(1+INDEX('Calculator Cost per Bucata'!$AC:$AC,ROW()+4)),""),$F28))</f>
        <v/>
      </c>
      <c r="I28" s="46" t="str">
        <f t="shared" si="0"/>
        <v/>
      </c>
      <c r="J28" s="47" t="str">
        <f t="shared" si="1"/>
        <v/>
      </c>
      <c r="K28" s="48" t="str">
        <f t="shared" si="2"/>
        <v/>
      </c>
    </row>
    <row r="29" spans="1:11" x14ac:dyDescent="0.3">
      <c r="A29" s="28" t="str">
        <f>IF(INDEX('Calculator Cost per Bucata'!$A:$A,ROW()+4)="","",INDEX('Calculator Cost per Bucata'!$A:$A,ROW()+4))</f>
        <v/>
      </c>
      <c r="B29" s="28" t="str">
        <f>IF($A29="","",INDEX('Calculator Cost per Bucata'!$C:$C,ROW()+4))</f>
        <v/>
      </c>
      <c r="C29" s="28" t="str">
        <f>IF($A29="","",INDEX('Calculator Cost per Bucata'!$D:$D,ROW()+4))</f>
        <v/>
      </c>
      <c r="D29" s="33" t="str">
        <f>IF(INDEX('Calculator Cost per Bucata'!$Y:$Y,ROW()+4)=1,INDEX('Calculator Cost per Bucata'!$P:$P,ROW()+4),"")</f>
        <v/>
      </c>
      <c r="E29" s="33" t="str">
        <f>IF(INDEX('Calculator Cost per Bucata'!$Y:$Y,ROW()+4)=1,INDEX('Calculator Cost per Bucata'!$S:$S,ROW()+4),"")</f>
        <v/>
      </c>
      <c r="F29" s="33" t="str">
        <f>IF($A29="","",IF(N(INDEX('PI Furnizor'!$L:$L,ROW()+1))&gt;0,INDEX('PI Furnizor'!$L:$L,ROW()+1),""))</f>
        <v/>
      </c>
      <c r="G29" s="33" t="str">
        <f>IF($A29="","",IF(Comenzi!$D$6="Da",$D29,$E29))</f>
        <v/>
      </c>
      <c r="H29" s="33" t="str">
        <f>IF(OR($A29="",$F29=""),"",IF(Comenzi!$D$6="Da",IFERROR($F29/(1+INDEX('Calculator Cost per Bucata'!$AC:$AC,ROW()+4)),""),$F29))</f>
        <v/>
      </c>
      <c r="I29" s="46" t="str">
        <f t="shared" si="0"/>
        <v/>
      </c>
      <c r="J29" s="47" t="str">
        <f t="shared" si="1"/>
        <v/>
      </c>
      <c r="K29" s="48" t="str">
        <f t="shared" si="2"/>
        <v/>
      </c>
    </row>
    <row r="30" spans="1:11" x14ac:dyDescent="0.3">
      <c r="A30" s="28" t="str">
        <f>IF(INDEX('Calculator Cost per Bucata'!$A:$A,ROW()+4)="","",INDEX('Calculator Cost per Bucata'!$A:$A,ROW()+4))</f>
        <v/>
      </c>
      <c r="B30" s="28" t="str">
        <f>IF($A30="","",INDEX('Calculator Cost per Bucata'!$C:$C,ROW()+4))</f>
        <v/>
      </c>
      <c r="C30" s="28" t="str">
        <f>IF($A30="","",INDEX('Calculator Cost per Bucata'!$D:$D,ROW()+4))</f>
        <v/>
      </c>
      <c r="D30" s="33" t="str">
        <f>IF(INDEX('Calculator Cost per Bucata'!$Y:$Y,ROW()+4)=1,INDEX('Calculator Cost per Bucata'!$P:$P,ROW()+4),"")</f>
        <v/>
      </c>
      <c r="E30" s="33" t="str">
        <f>IF(INDEX('Calculator Cost per Bucata'!$Y:$Y,ROW()+4)=1,INDEX('Calculator Cost per Bucata'!$S:$S,ROW()+4),"")</f>
        <v/>
      </c>
      <c r="F30" s="33" t="str">
        <f>IF($A30="","",IF(N(INDEX('PI Furnizor'!$L:$L,ROW()+1))&gt;0,INDEX('PI Furnizor'!$L:$L,ROW()+1),""))</f>
        <v/>
      </c>
      <c r="G30" s="33" t="str">
        <f>IF($A30="","",IF(Comenzi!$D$6="Da",$D30,$E30))</f>
        <v/>
      </c>
      <c r="H30" s="33" t="str">
        <f>IF(OR($A30="",$F30=""),"",IF(Comenzi!$D$6="Da",IFERROR($F30/(1+INDEX('Calculator Cost per Bucata'!$AC:$AC,ROW()+4)),""),$F30))</f>
        <v/>
      </c>
      <c r="I30" s="46" t="str">
        <f t="shared" si="0"/>
        <v/>
      </c>
      <c r="J30" s="47" t="str">
        <f t="shared" si="1"/>
        <v/>
      </c>
      <c r="K30" s="48" t="str">
        <f t="shared" si="2"/>
        <v/>
      </c>
    </row>
    <row r="31" spans="1:11" x14ac:dyDescent="0.3">
      <c r="A31" s="28" t="str">
        <f>IF(INDEX('Calculator Cost per Bucata'!$A:$A,ROW()+4)="","",INDEX('Calculator Cost per Bucata'!$A:$A,ROW()+4))</f>
        <v/>
      </c>
      <c r="B31" s="28" t="str">
        <f>IF($A31="","",INDEX('Calculator Cost per Bucata'!$C:$C,ROW()+4))</f>
        <v/>
      </c>
      <c r="C31" s="28" t="str">
        <f>IF($A31="","",INDEX('Calculator Cost per Bucata'!$D:$D,ROW()+4))</f>
        <v/>
      </c>
      <c r="D31" s="33" t="str">
        <f>IF(INDEX('Calculator Cost per Bucata'!$Y:$Y,ROW()+4)=1,INDEX('Calculator Cost per Bucata'!$P:$P,ROW()+4),"")</f>
        <v/>
      </c>
      <c r="E31" s="33" t="str">
        <f>IF(INDEX('Calculator Cost per Bucata'!$Y:$Y,ROW()+4)=1,INDEX('Calculator Cost per Bucata'!$S:$S,ROW()+4),"")</f>
        <v/>
      </c>
      <c r="F31" s="33" t="str">
        <f>IF($A31="","",IF(N(INDEX('PI Furnizor'!$L:$L,ROW()+1))&gt;0,INDEX('PI Furnizor'!$L:$L,ROW()+1),""))</f>
        <v/>
      </c>
      <c r="G31" s="33" t="str">
        <f>IF($A31="","",IF(Comenzi!$D$6="Da",$D31,$E31))</f>
        <v/>
      </c>
      <c r="H31" s="33" t="str">
        <f>IF(OR($A31="",$F31=""),"",IF(Comenzi!$D$6="Da",IFERROR($F31/(1+INDEX('Calculator Cost per Bucata'!$AC:$AC,ROW()+4)),""),$F31))</f>
        <v/>
      </c>
      <c r="I31" s="46" t="str">
        <f t="shared" si="0"/>
        <v/>
      </c>
      <c r="J31" s="47" t="str">
        <f t="shared" si="1"/>
        <v/>
      </c>
      <c r="K31" s="48" t="str">
        <f t="shared" si="2"/>
        <v/>
      </c>
    </row>
    <row r="32" spans="1:11" x14ac:dyDescent="0.3">
      <c r="A32" s="28" t="str">
        <f>IF(INDEX('Calculator Cost per Bucata'!$A:$A,ROW()+4)="","",INDEX('Calculator Cost per Bucata'!$A:$A,ROW()+4))</f>
        <v/>
      </c>
      <c r="B32" s="28" t="str">
        <f>IF($A32="","",INDEX('Calculator Cost per Bucata'!$C:$C,ROW()+4))</f>
        <v/>
      </c>
      <c r="C32" s="28" t="str">
        <f>IF($A32="","",INDEX('Calculator Cost per Bucata'!$D:$D,ROW()+4))</f>
        <v/>
      </c>
      <c r="D32" s="33" t="str">
        <f>IF(INDEX('Calculator Cost per Bucata'!$Y:$Y,ROW()+4)=1,INDEX('Calculator Cost per Bucata'!$P:$P,ROW()+4),"")</f>
        <v/>
      </c>
      <c r="E32" s="33" t="str">
        <f>IF(INDEX('Calculator Cost per Bucata'!$Y:$Y,ROW()+4)=1,INDEX('Calculator Cost per Bucata'!$S:$S,ROW()+4),"")</f>
        <v/>
      </c>
      <c r="F32" s="33" t="str">
        <f>IF($A32="","",IF(N(INDEX('PI Furnizor'!$L:$L,ROW()+1))&gt;0,INDEX('PI Furnizor'!$L:$L,ROW()+1),""))</f>
        <v/>
      </c>
      <c r="G32" s="33" t="str">
        <f>IF($A32="","",IF(Comenzi!$D$6="Da",$D32,$E32))</f>
        <v/>
      </c>
      <c r="H32" s="33" t="str">
        <f>IF(OR($A32="",$F32=""),"",IF(Comenzi!$D$6="Da",IFERROR($F32/(1+INDEX('Calculator Cost per Bucata'!$AC:$AC,ROW()+4)),""),$F32))</f>
        <v/>
      </c>
      <c r="I32" s="46" t="str">
        <f t="shared" si="0"/>
        <v/>
      </c>
      <c r="J32" s="47" t="str">
        <f t="shared" si="1"/>
        <v/>
      </c>
      <c r="K32" s="48" t="str">
        <f t="shared" si="2"/>
        <v/>
      </c>
    </row>
    <row r="33" spans="1:11" x14ac:dyDescent="0.3">
      <c r="A33" s="28" t="str">
        <f>IF(INDEX('Calculator Cost per Bucata'!$A:$A,ROW()+4)="","",INDEX('Calculator Cost per Bucata'!$A:$A,ROW()+4))</f>
        <v/>
      </c>
      <c r="B33" s="28" t="str">
        <f>IF($A33="","",INDEX('Calculator Cost per Bucata'!$C:$C,ROW()+4))</f>
        <v/>
      </c>
      <c r="C33" s="28" t="str">
        <f>IF($A33="","",INDEX('Calculator Cost per Bucata'!$D:$D,ROW()+4))</f>
        <v/>
      </c>
      <c r="D33" s="33" t="str">
        <f>IF(INDEX('Calculator Cost per Bucata'!$Y:$Y,ROW()+4)=1,INDEX('Calculator Cost per Bucata'!$P:$P,ROW()+4),"")</f>
        <v/>
      </c>
      <c r="E33" s="33" t="str">
        <f>IF(INDEX('Calculator Cost per Bucata'!$Y:$Y,ROW()+4)=1,INDEX('Calculator Cost per Bucata'!$S:$S,ROW()+4),"")</f>
        <v/>
      </c>
      <c r="F33" s="33" t="str">
        <f>IF($A33="","",IF(N(INDEX('PI Furnizor'!$L:$L,ROW()+1))&gt;0,INDEX('PI Furnizor'!$L:$L,ROW()+1),""))</f>
        <v/>
      </c>
      <c r="G33" s="33" t="str">
        <f>IF($A33="","",IF(Comenzi!$D$6="Da",$D33,$E33))</f>
        <v/>
      </c>
      <c r="H33" s="33" t="str">
        <f>IF(OR($A33="",$F33=""),"",IF(Comenzi!$D$6="Da",IFERROR($F33/(1+INDEX('Calculator Cost per Bucata'!$AC:$AC,ROW()+4)),""),$F33))</f>
        <v/>
      </c>
      <c r="I33" s="46" t="str">
        <f t="shared" si="0"/>
        <v/>
      </c>
      <c r="J33" s="47" t="str">
        <f t="shared" si="1"/>
        <v/>
      </c>
      <c r="K33" s="48" t="str">
        <f t="shared" si="2"/>
        <v/>
      </c>
    </row>
    <row r="34" spans="1:11" x14ac:dyDescent="0.3">
      <c r="A34" s="28" t="str">
        <f>IF(INDEX('Calculator Cost per Bucata'!$A:$A,ROW()+4)="","",INDEX('Calculator Cost per Bucata'!$A:$A,ROW()+4))</f>
        <v/>
      </c>
      <c r="B34" s="28" t="str">
        <f>IF($A34="","",INDEX('Calculator Cost per Bucata'!$C:$C,ROW()+4))</f>
        <v/>
      </c>
      <c r="C34" s="28" t="str">
        <f>IF($A34="","",INDEX('Calculator Cost per Bucata'!$D:$D,ROW()+4))</f>
        <v/>
      </c>
      <c r="D34" s="33" t="str">
        <f>IF(INDEX('Calculator Cost per Bucata'!$Y:$Y,ROW()+4)=1,INDEX('Calculator Cost per Bucata'!$P:$P,ROW()+4),"")</f>
        <v/>
      </c>
      <c r="E34" s="33" t="str">
        <f>IF(INDEX('Calculator Cost per Bucata'!$Y:$Y,ROW()+4)=1,INDEX('Calculator Cost per Bucata'!$S:$S,ROW()+4),"")</f>
        <v/>
      </c>
      <c r="F34" s="33" t="str">
        <f>IF($A34="","",IF(N(INDEX('PI Furnizor'!$L:$L,ROW()+1))&gt;0,INDEX('PI Furnizor'!$L:$L,ROW()+1),""))</f>
        <v/>
      </c>
      <c r="G34" s="33" t="str">
        <f>IF($A34="","",IF(Comenzi!$D$6="Da",$D34,$E34))</f>
        <v/>
      </c>
      <c r="H34" s="33" t="str">
        <f>IF(OR($A34="",$F34=""),"",IF(Comenzi!$D$6="Da",IFERROR($F34/(1+INDEX('Calculator Cost per Bucata'!$AC:$AC,ROW()+4)),""),$F34))</f>
        <v/>
      </c>
      <c r="I34" s="46" t="str">
        <f t="shared" si="0"/>
        <v/>
      </c>
      <c r="J34" s="47" t="str">
        <f t="shared" si="1"/>
        <v/>
      </c>
      <c r="K34" s="48" t="str">
        <f t="shared" si="2"/>
        <v/>
      </c>
    </row>
    <row r="35" spans="1:11" x14ac:dyDescent="0.3">
      <c r="A35" s="28" t="str">
        <f>IF(INDEX('Calculator Cost per Bucata'!$A:$A,ROW()+4)="","",INDEX('Calculator Cost per Bucata'!$A:$A,ROW()+4))</f>
        <v/>
      </c>
      <c r="B35" s="28" t="str">
        <f>IF($A35="","",INDEX('Calculator Cost per Bucata'!$C:$C,ROW()+4))</f>
        <v/>
      </c>
      <c r="C35" s="28" t="str">
        <f>IF($A35="","",INDEX('Calculator Cost per Bucata'!$D:$D,ROW()+4))</f>
        <v/>
      </c>
      <c r="D35" s="33" t="str">
        <f>IF(INDEX('Calculator Cost per Bucata'!$Y:$Y,ROW()+4)=1,INDEX('Calculator Cost per Bucata'!$P:$P,ROW()+4),"")</f>
        <v/>
      </c>
      <c r="E35" s="33" t="str">
        <f>IF(INDEX('Calculator Cost per Bucata'!$Y:$Y,ROW()+4)=1,INDEX('Calculator Cost per Bucata'!$S:$S,ROW()+4),"")</f>
        <v/>
      </c>
      <c r="F35" s="33" t="str">
        <f>IF($A35="","",IF(N(INDEX('PI Furnizor'!$L:$L,ROW()+1))&gt;0,INDEX('PI Furnizor'!$L:$L,ROW()+1),""))</f>
        <v/>
      </c>
      <c r="G35" s="33" t="str">
        <f>IF($A35="","",IF(Comenzi!$D$6="Da",$D35,$E35))</f>
        <v/>
      </c>
      <c r="H35" s="33" t="str">
        <f>IF(OR($A35="",$F35=""),"",IF(Comenzi!$D$6="Da",IFERROR($F35/(1+INDEX('Calculator Cost per Bucata'!$AC:$AC,ROW()+4)),""),$F35))</f>
        <v/>
      </c>
      <c r="I35" s="46" t="str">
        <f t="shared" si="0"/>
        <v/>
      </c>
      <c r="J35" s="47" t="str">
        <f t="shared" si="1"/>
        <v/>
      </c>
      <c r="K35" s="48" t="str">
        <f t="shared" si="2"/>
        <v/>
      </c>
    </row>
    <row r="36" spans="1:11" x14ac:dyDescent="0.3">
      <c r="A36" s="28" t="str">
        <f>IF(INDEX('Calculator Cost per Bucata'!$A:$A,ROW()+4)="","",INDEX('Calculator Cost per Bucata'!$A:$A,ROW()+4))</f>
        <v/>
      </c>
      <c r="B36" s="28" t="str">
        <f>IF($A36="","",INDEX('Calculator Cost per Bucata'!$C:$C,ROW()+4))</f>
        <v/>
      </c>
      <c r="C36" s="28" t="str">
        <f>IF($A36="","",INDEX('Calculator Cost per Bucata'!$D:$D,ROW()+4))</f>
        <v/>
      </c>
      <c r="D36" s="33" t="str">
        <f>IF(INDEX('Calculator Cost per Bucata'!$Y:$Y,ROW()+4)=1,INDEX('Calculator Cost per Bucata'!$P:$P,ROW()+4),"")</f>
        <v/>
      </c>
      <c r="E36" s="33" t="str">
        <f>IF(INDEX('Calculator Cost per Bucata'!$Y:$Y,ROW()+4)=1,INDEX('Calculator Cost per Bucata'!$S:$S,ROW()+4),"")</f>
        <v/>
      </c>
      <c r="F36" s="33" t="str">
        <f>IF($A36="","",IF(N(INDEX('PI Furnizor'!$L:$L,ROW()+1))&gt;0,INDEX('PI Furnizor'!$L:$L,ROW()+1),""))</f>
        <v/>
      </c>
      <c r="G36" s="33" t="str">
        <f>IF($A36="","",IF(Comenzi!$D$6="Da",$D36,$E36))</f>
        <v/>
      </c>
      <c r="H36" s="33" t="str">
        <f>IF(OR($A36="",$F36=""),"",IF(Comenzi!$D$6="Da",IFERROR($F36/(1+INDEX('Calculator Cost per Bucata'!$AC:$AC,ROW()+4)),""),$F36))</f>
        <v/>
      </c>
      <c r="I36" s="46" t="str">
        <f t="shared" si="0"/>
        <v/>
      </c>
      <c r="J36" s="47" t="str">
        <f t="shared" si="1"/>
        <v/>
      </c>
      <c r="K36" s="48" t="str">
        <f t="shared" si="2"/>
        <v/>
      </c>
    </row>
    <row r="37" spans="1:11" x14ac:dyDescent="0.3">
      <c r="A37" s="28" t="str">
        <f>IF(INDEX('Calculator Cost per Bucata'!$A:$A,ROW()+4)="","",INDEX('Calculator Cost per Bucata'!$A:$A,ROW()+4))</f>
        <v/>
      </c>
      <c r="B37" s="28" t="str">
        <f>IF($A37="","",INDEX('Calculator Cost per Bucata'!$C:$C,ROW()+4))</f>
        <v/>
      </c>
      <c r="C37" s="28" t="str">
        <f>IF($A37="","",INDEX('Calculator Cost per Bucata'!$D:$D,ROW()+4))</f>
        <v/>
      </c>
      <c r="D37" s="33" t="str">
        <f>IF(INDEX('Calculator Cost per Bucata'!$Y:$Y,ROW()+4)=1,INDEX('Calculator Cost per Bucata'!$P:$P,ROW()+4),"")</f>
        <v/>
      </c>
      <c r="E37" s="33" t="str">
        <f>IF(INDEX('Calculator Cost per Bucata'!$Y:$Y,ROW()+4)=1,INDEX('Calculator Cost per Bucata'!$S:$S,ROW()+4),"")</f>
        <v/>
      </c>
      <c r="F37" s="33" t="str">
        <f>IF($A37="","",IF(N(INDEX('PI Furnizor'!$L:$L,ROW()+1))&gt;0,INDEX('PI Furnizor'!$L:$L,ROW()+1),""))</f>
        <v/>
      </c>
      <c r="G37" s="33" t="str">
        <f>IF($A37="","",IF(Comenzi!$D$6="Da",$D37,$E37))</f>
        <v/>
      </c>
      <c r="H37" s="33" t="str">
        <f>IF(OR($A37="",$F37=""),"",IF(Comenzi!$D$6="Da",IFERROR($F37/(1+INDEX('Calculator Cost per Bucata'!$AC:$AC,ROW()+4)),""),$F37))</f>
        <v/>
      </c>
      <c r="I37" s="46" t="str">
        <f t="shared" si="0"/>
        <v/>
      </c>
      <c r="J37" s="47" t="str">
        <f t="shared" si="1"/>
        <v/>
      </c>
      <c r="K37" s="48" t="str">
        <f t="shared" si="2"/>
        <v/>
      </c>
    </row>
    <row r="38" spans="1:11" x14ac:dyDescent="0.3">
      <c r="A38" s="28" t="str">
        <f>IF(INDEX('Calculator Cost per Bucata'!$A:$A,ROW()+4)="","",INDEX('Calculator Cost per Bucata'!$A:$A,ROW()+4))</f>
        <v/>
      </c>
      <c r="B38" s="28" t="str">
        <f>IF($A38="","",INDEX('Calculator Cost per Bucata'!$C:$C,ROW()+4))</f>
        <v/>
      </c>
      <c r="C38" s="28" t="str">
        <f>IF($A38="","",INDEX('Calculator Cost per Bucata'!$D:$D,ROW()+4))</f>
        <v/>
      </c>
      <c r="D38" s="33" t="str">
        <f>IF(INDEX('Calculator Cost per Bucata'!$Y:$Y,ROW()+4)=1,INDEX('Calculator Cost per Bucata'!$P:$P,ROW()+4),"")</f>
        <v/>
      </c>
      <c r="E38" s="33" t="str">
        <f>IF(INDEX('Calculator Cost per Bucata'!$Y:$Y,ROW()+4)=1,INDEX('Calculator Cost per Bucata'!$S:$S,ROW()+4),"")</f>
        <v/>
      </c>
      <c r="F38" s="33" t="str">
        <f>IF($A38="","",IF(N(INDEX('PI Furnizor'!$L:$L,ROW()+1))&gt;0,INDEX('PI Furnizor'!$L:$L,ROW()+1),""))</f>
        <v/>
      </c>
      <c r="G38" s="33" t="str">
        <f>IF($A38="","",IF(Comenzi!$D$6="Da",$D38,$E38))</f>
        <v/>
      </c>
      <c r="H38" s="33" t="str">
        <f>IF(OR($A38="",$F38=""),"",IF(Comenzi!$D$6="Da",IFERROR($F38/(1+INDEX('Calculator Cost per Bucata'!$AC:$AC,ROW()+4)),""),$F38))</f>
        <v/>
      </c>
      <c r="I38" s="46" t="str">
        <f t="shared" si="0"/>
        <v/>
      </c>
      <c r="J38" s="47" t="str">
        <f t="shared" si="1"/>
        <v/>
      </c>
      <c r="K38" s="48" t="str">
        <f t="shared" si="2"/>
        <v/>
      </c>
    </row>
    <row r="39" spans="1:11" x14ac:dyDescent="0.3">
      <c r="A39" s="28" t="str">
        <f>IF(INDEX('Calculator Cost per Bucata'!$A:$A,ROW()+4)="","",INDEX('Calculator Cost per Bucata'!$A:$A,ROW()+4))</f>
        <v/>
      </c>
      <c r="B39" s="28" t="str">
        <f>IF($A39="","",INDEX('Calculator Cost per Bucata'!$C:$C,ROW()+4))</f>
        <v/>
      </c>
      <c r="C39" s="28" t="str">
        <f>IF($A39="","",INDEX('Calculator Cost per Bucata'!$D:$D,ROW()+4))</f>
        <v/>
      </c>
      <c r="D39" s="33" t="str">
        <f>IF(INDEX('Calculator Cost per Bucata'!$Y:$Y,ROW()+4)=1,INDEX('Calculator Cost per Bucata'!$P:$P,ROW()+4),"")</f>
        <v/>
      </c>
      <c r="E39" s="33" t="str">
        <f>IF(INDEX('Calculator Cost per Bucata'!$Y:$Y,ROW()+4)=1,INDEX('Calculator Cost per Bucata'!$S:$S,ROW()+4),"")</f>
        <v/>
      </c>
      <c r="F39" s="33" t="str">
        <f>IF($A39="","",IF(N(INDEX('PI Furnizor'!$L:$L,ROW()+1))&gt;0,INDEX('PI Furnizor'!$L:$L,ROW()+1),""))</f>
        <v/>
      </c>
      <c r="G39" s="33" t="str">
        <f>IF($A39="","",IF(Comenzi!$D$6="Da",$D39,$E39))</f>
        <v/>
      </c>
      <c r="H39" s="33" t="str">
        <f>IF(OR($A39="",$F39=""),"",IF(Comenzi!$D$6="Da",IFERROR($F39/(1+INDEX('Calculator Cost per Bucata'!$AC:$AC,ROW()+4)),""),$F39))</f>
        <v/>
      </c>
      <c r="I39" s="46" t="str">
        <f t="shared" si="0"/>
        <v/>
      </c>
      <c r="J39" s="47" t="str">
        <f t="shared" si="1"/>
        <v/>
      </c>
      <c r="K39" s="48" t="str">
        <f t="shared" si="2"/>
        <v/>
      </c>
    </row>
    <row r="40" spans="1:11" x14ac:dyDescent="0.3">
      <c r="A40" s="28" t="str">
        <f>IF(INDEX('Calculator Cost per Bucata'!$A:$A,ROW()+4)="","",INDEX('Calculator Cost per Bucata'!$A:$A,ROW()+4))</f>
        <v/>
      </c>
      <c r="B40" s="28" t="str">
        <f>IF($A40="","",INDEX('Calculator Cost per Bucata'!$C:$C,ROW()+4))</f>
        <v/>
      </c>
      <c r="C40" s="28" t="str">
        <f>IF($A40="","",INDEX('Calculator Cost per Bucata'!$D:$D,ROW()+4))</f>
        <v/>
      </c>
      <c r="D40" s="33" t="str">
        <f>IF(INDEX('Calculator Cost per Bucata'!$Y:$Y,ROW()+4)=1,INDEX('Calculator Cost per Bucata'!$P:$P,ROW()+4),"")</f>
        <v/>
      </c>
      <c r="E40" s="33" t="str">
        <f>IF(INDEX('Calculator Cost per Bucata'!$Y:$Y,ROW()+4)=1,INDEX('Calculator Cost per Bucata'!$S:$S,ROW()+4),"")</f>
        <v/>
      </c>
      <c r="F40" s="33" t="str">
        <f>IF($A40="","",IF(N(INDEX('PI Furnizor'!$L:$L,ROW()+1))&gt;0,INDEX('PI Furnizor'!$L:$L,ROW()+1),""))</f>
        <v/>
      </c>
      <c r="G40" s="33" t="str">
        <f>IF($A40="","",IF(Comenzi!$D$6="Da",$D40,$E40))</f>
        <v/>
      </c>
      <c r="H40" s="33" t="str">
        <f>IF(OR($A40="",$F40=""),"",IF(Comenzi!$D$6="Da",IFERROR($F40/(1+INDEX('Calculator Cost per Bucata'!$AC:$AC,ROW()+4)),""),$F40))</f>
        <v/>
      </c>
      <c r="I40" s="46" t="str">
        <f t="shared" si="0"/>
        <v/>
      </c>
      <c r="J40" s="47" t="str">
        <f t="shared" si="1"/>
        <v/>
      </c>
      <c r="K40" s="48" t="str">
        <f t="shared" si="2"/>
        <v/>
      </c>
    </row>
    <row r="41" spans="1:11" x14ac:dyDescent="0.3">
      <c r="A41" s="28" t="str">
        <f>IF(INDEX('Calculator Cost per Bucata'!$A:$A,ROW()+4)="","",INDEX('Calculator Cost per Bucata'!$A:$A,ROW()+4))</f>
        <v/>
      </c>
      <c r="B41" s="28" t="str">
        <f>IF($A41="","",INDEX('Calculator Cost per Bucata'!$C:$C,ROW()+4))</f>
        <v/>
      </c>
      <c r="C41" s="28" t="str">
        <f>IF($A41="","",INDEX('Calculator Cost per Bucata'!$D:$D,ROW()+4))</f>
        <v/>
      </c>
      <c r="D41" s="33" t="str">
        <f>IF(INDEX('Calculator Cost per Bucata'!$Y:$Y,ROW()+4)=1,INDEX('Calculator Cost per Bucata'!$P:$P,ROW()+4),"")</f>
        <v/>
      </c>
      <c r="E41" s="33" t="str">
        <f>IF(INDEX('Calculator Cost per Bucata'!$Y:$Y,ROW()+4)=1,INDEX('Calculator Cost per Bucata'!$S:$S,ROW()+4),"")</f>
        <v/>
      </c>
      <c r="F41" s="33" t="str">
        <f>IF($A41="","",IF(N(INDEX('PI Furnizor'!$L:$L,ROW()+1))&gt;0,INDEX('PI Furnizor'!$L:$L,ROW()+1),""))</f>
        <v/>
      </c>
      <c r="G41" s="33" t="str">
        <f>IF($A41="","",IF(Comenzi!$D$6="Da",$D41,$E41))</f>
        <v/>
      </c>
      <c r="H41" s="33" t="str">
        <f>IF(OR($A41="",$F41=""),"",IF(Comenzi!$D$6="Da",IFERROR($F41/(1+INDEX('Calculator Cost per Bucata'!$AC:$AC,ROW()+4)),""),$F41))</f>
        <v/>
      </c>
      <c r="I41" s="46" t="str">
        <f t="shared" si="0"/>
        <v/>
      </c>
      <c r="J41" s="47" t="str">
        <f t="shared" si="1"/>
        <v/>
      </c>
      <c r="K41" s="48" t="str">
        <f t="shared" si="2"/>
        <v/>
      </c>
    </row>
    <row r="42" spans="1:11" x14ac:dyDescent="0.3">
      <c r="A42" s="28" t="str">
        <f>IF(INDEX('Calculator Cost per Bucata'!$A:$A,ROW()+4)="","",INDEX('Calculator Cost per Bucata'!$A:$A,ROW()+4))</f>
        <v/>
      </c>
      <c r="B42" s="28" t="str">
        <f>IF($A42="","",INDEX('Calculator Cost per Bucata'!$C:$C,ROW()+4))</f>
        <v/>
      </c>
      <c r="C42" s="28" t="str">
        <f>IF($A42="","",INDEX('Calculator Cost per Bucata'!$D:$D,ROW()+4))</f>
        <v/>
      </c>
      <c r="D42" s="33" t="str">
        <f>IF(INDEX('Calculator Cost per Bucata'!$Y:$Y,ROW()+4)=1,INDEX('Calculator Cost per Bucata'!$P:$P,ROW()+4),"")</f>
        <v/>
      </c>
      <c r="E42" s="33" t="str">
        <f>IF(INDEX('Calculator Cost per Bucata'!$Y:$Y,ROW()+4)=1,INDEX('Calculator Cost per Bucata'!$S:$S,ROW()+4),"")</f>
        <v/>
      </c>
      <c r="F42" s="33" t="str">
        <f>IF($A42="","",IF(N(INDEX('PI Furnizor'!$L:$L,ROW()+1))&gt;0,INDEX('PI Furnizor'!$L:$L,ROW()+1),""))</f>
        <v/>
      </c>
      <c r="G42" s="33" t="str">
        <f>IF($A42="","",IF(Comenzi!$D$6="Da",$D42,$E42))</f>
        <v/>
      </c>
      <c r="H42" s="33" t="str">
        <f>IF(OR($A42="",$F42=""),"",IF(Comenzi!$D$6="Da",IFERROR($F42/(1+INDEX('Calculator Cost per Bucata'!$AC:$AC,ROW()+4)),""),$F42))</f>
        <v/>
      </c>
      <c r="I42" s="46" t="str">
        <f t="shared" si="0"/>
        <v/>
      </c>
      <c r="J42" s="47" t="str">
        <f t="shared" si="1"/>
        <v/>
      </c>
      <c r="K42" s="48" t="str">
        <f t="shared" si="2"/>
        <v/>
      </c>
    </row>
    <row r="43" spans="1:11" x14ac:dyDescent="0.3">
      <c r="A43" s="28" t="str">
        <f>IF(INDEX('Calculator Cost per Bucata'!$A:$A,ROW()+4)="","",INDEX('Calculator Cost per Bucata'!$A:$A,ROW()+4))</f>
        <v/>
      </c>
      <c r="B43" s="28" t="str">
        <f>IF($A43="","",INDEX('Calculator Cost per Bucata'!$C:$C,ROW()+4))</f>
        <v/>
      </c>
      <c r="C43" s="28" t="str">
        <f>IF($A43="","",INDEX('Calculator Cost per Bucata'!$D:$D,ROW()+4))</f>
        <v/>
      </c>
      <c r="D43" s="33" t="str">
        <f>IF(INDEX('Calculator Cost per Bucata'!$Y:$Y,ROW()+4)=1,INDEX('Calculator Cost per Bucata'!$P:$P,ROW()+4),"")</f>
        <v/>
      </c>
      <c r="E43" s="33" t="str">
        <f>IF(INDEX('Calculator Cost per Bucata'!$Y:$Y,ROW()+4)=1,INDEX('Calculator Cost per Bucata'!$S:$S,ROW()+4),"")</f>
        <v/>
      </c>
      <c r="F43" s="33" t="str">
        <f>IF($A43="","",IF(N(INDEX('PI Furnizor'!$L:$L,ROW()+1))&gt;0,INDEX('PI Furnizor'!$L:$L,ROW()+1),""))</f>
        <v/>
      </c>
      <c r="G43" s="33" t="str">
        <f>IF($A43="","",IF(Comenzi!$D$6="Da",$D43,$E43))</f>
        <v/>
      </c>
      <c r="H43" s="33" t="str">
        <f>IF(OR($A43="",$F43=""),"",IF(Comenzi!$D$6="Da",IFERROR($F43/(1+INDEX('Calculator Cost per Bucata'!$AC:$AC,ROW()+4)),""),$F43))</f>
        <v/>
      </c>
      <c r="I43" s="46" t="str">
        <f t="shared" si="0"/>
        <v/>
      </c>
      <c r="J43" s="47" t="str">
        <f t="shared" si="1"/>
        <v/>
      </c>
      <c r="K43" s="48" t="str">
        <f t="shared" si="2"/>
        <v/>
      </c>
    </row>
    <row r="44" spans="1:11" x14ac:dyDescent="0.3">
      <c r="A44" s="28" t="str">
        <f>IF(INDEX('Calculator Cost per Bucata'!$A:$A,ROW()+4)="","",INDEX('Calculator Cost per Bucata'!$A:$A,ROW()+4))</f>
        <v/>
      </c>
      <c r="B44" s="28" t="str">
        <f>IF($A44="","",INDEX('Calculator Cost per Bucata'!$C:$C,ROW()+4))</f>
        <v/>
      </c>
      <c r="C44" s="28" t="str">
        <f>IF($A44="","",INDEX('Calculator Cost per Bucata'!$D:$D,ROW()+4))</f>
        <v/>
      </c>
      <c r="D44" s="33" t="str">
        <f>IF(INDEX('Calculator Cost per Bucata'!$Y:$Y,ROW()+4)=1,INDEX('Calculator Cost per Bucata'!$P:$P,ROW()+4),"")</f>
        <v/>
      </c>
      <c r="E44" s="33" t="str">
        <f>IF(INDEX('Calculator Cost per Bucata'!$Y:$Y,ROW()+4)=1,INDEX('Calculator Cost per Bucata'!$S:$S,ROW()+4),"")</f>
        <v/>
      </c>
      <c r="F44" s="33" t="str">
        <f>IF($A44="","",IF(N(INDEX('PI Furnizor'!$L:$L,ROW()+1))&gt;0,INDEX('PI Furnizor'!$L:$L,ROW()+1),""))</f>
        <v/>
      </c>
      <c r="G44" s="33" t="str">
        <f>IF($A44="","",IF(Comenzi!$D$6="Da",$D44,$E44))</f>
        <v/>
      </c>
      <c r="H44" s="33" t="str">
        <f>IF(OR($A44="",$F44=""),"",IF(Comenzi!$D$6="Da",IFERROR($F44/(1+INDEX('Calculator Cost per Bucata'!$AC:$AC,ROW()+4)),""),$F44))</f>
        <v/>
      </c>
      <c r="I44" s="46" t="str">
        <f t="shared" si="0"/>
        <v/>
      </c>
      <c r="J44" s="47" t="str">
        <f t="shared" si="1"/>
        <v/>
      </c>
      <c r="K44" s="48" t="str">
        <f t="shared" si="2"/>
        <v/>
      </c>
    </row>
    <row r="45" spans="1:11" x14ac:dyDescent="0.3">
      <c r="A45" s="28" t="str">
        <f>IF(INDEX('Calculator Cost per Bucata'!$A:$A,ROW()+4)="","",INDEX('Calculator Cost per Bucata'!$A:$A,ROW()+4))</f>
        <v/>
      </c>
      <c r="B45" s="28" t="str">
        <f>IF($A45="","",INDEX('Calculator Cost per Bucata'!$C:$C,ROW()+4))</f>
        <v/>
      </c>
      <c r="C45" s="28" t="str">
        <f>IF($A45="","",INDEX('Calculator Cost per Bucata'!$D:$D,ROW()+4))</f>
        <v/>
      </c>
      <c r="D45" s="33" t="str">
        <f>IF(INDEX('Calculator Cost per Bucata'!$Y:$Y,ROW()+4)=1,INDEX('Calculator Cost per Bucata'!$P:$P,ROW()+4),"")</f>
        <v/>
      </c>
      <c r="E45" s="33" t="str">
        <f>IF(INDEX('Calculator Cost per Bucata'!$Y:$Y,ROW()+4)=1,INDEX('Calculator Cost per Bucata'!$S:$S,ROW()+4),"")</f>
        <v/>
      </c>
      <c r="F45" s="33" t="str">
        <f>IF($A45="","",IF(N(INDEX('PI Furnizor'!$L:$L,ROW()+1))&gt;0,INDEX('PI Furnizor'!$L:$L,ROW()+1),""))</f>
        <v/>
      </c>
      <c r="G45" s="33" t="str">
        <f>IF($A45="","",IF(Comenzi!$D$6="Da",$D45,$E45))</f>
        <v/>
      </c>
      <c r="H45" s="33" t="str">
        <f>IF(OR($A45="",$F45=""),"",IF(Comenzi!$D$6="Da",IFERROR($F45/(1+INDEX('Calculator Cost per Bucata'!$AC:$AC,ROW()+4)),""),$F45))</f>
        <v/>
      </c>
      <c r="I45" s="46" t="str">
        <f t="shared" si="0"/>
        <v/>
      </c>
      <c r="J45" s="47" t="str">
        <f t="shared" si="1"/>
        <v/>
      </c>
      <c r="K45" s="48" t="str">
        <f t="shared" si="2"/>
        <v/>
      </c>
    </row>
    <row r="46" spans="1:11" x14ac:dyDescent="0.3">
      <c r="A46" s="28" t="str">
        <f>IF(INDEX('Calculator Cost per Bucata'!$A:$A,ROW()+4)="","",INDEX('Calculator Cost per Bucata'!$A:$A,ROW()+4))</f>
        <v/>
      </c>
      <c r="B46" s="28" t="str">
        <f>IF($A46="","",INDEX('Calculator Cost per Bucata'!$C:$C,ROW()+4))</f>
        <v/>
      </c>
      <c r="C46" s="28" t="str">
        <f>IF($A46="","",INDEX('Calculator Cost per Bucata'!$D:$D,ROW()+4))</f>
        <v/>
      </c>
      <c r="D46" s="33" t="str">
        <f>IF(INDEX('Calculator Cost per Bucata'!$Y:$Y,ROW()+4)=1,INDEX('Calculator Cost per Bucata'!$P:$P,ROW()+4),"")</f>
        <v/>
      </c>
      <c r="E46" s="33" t="str">
        <f>IF(INDEX('Calculator Cost per Bucata'!$Y:$Y,ROW()+4)=1,INDEX('Calculator Cost per Bucata'!$S:$S,ROW()+4),"")</f>
        <v/>
      </c>
      <c r="F46" s="33" t="str">
        <f>IF($A46="","",IF(N(INDEX('PI Furnizor'!$L:$L,ROW()+1))&gt;0,INDEX('PI Furnizor'!$L:$L,ROW()+1),""))</f>
        <v/>
      </c>
      <c r="G46" s="33" t="str">
        <f>IF($A46="","",IF(Comenzi!$D$6="Da",$D46,$E46))</f>
        <v/>
      </c>
      <c r="H46" s="33" t="str">
        <f>IF(OR($A46="",$F46=""),"",IF(Comenzi!$D$6="Da",IFERROR($F46/(1+INDEX('Calculator Cost per Bucata'!$AC:$AC,ROW()+4)),""),$F46))</f>
        <v/>
      </c>
      <c r="I46" s="46" t="str">
        <f t="shared" si="0"/>
        <v/>
      </c>
      <c r="J46" s="47" t="str">
        <f t="shared" si="1"/>
        <v/>
      </c>
      <c r="K46" s="48" t="str">
        <f t="shared" si="2"/>
        <v/>
      </c>
    </row>
    <row r="47" spans="1:11" x14ac:dyDescent="0.3">
      <c r="A47" s="28" t="str">
        <f>IF(INDEX('Calculator Cost per Bucata'!$A:$A,ROW()+4)="","",INDEX('Calculator Cost per Bucata'!$A:$A,ROW()+4))</f>
        <v/>
      </c>
      <c r="B47" s="28" t="str">
        <f>IF($A47="","",INDEX('Calculator Cost per Bucata'!$C:$C,ROW()+4))</f>
        <v/>
      </c>
      <c r="C47" s="28" t="str">
        <f>IF($A47="","",INDEX('Calculator Cost per Bucata'!$D:$D,ROW()+4))</f>
        <v/>
      </c>
      <c r="D47" s="33" t="str">
        <f>IF(INDEX('Calculator Cost per Bucata'!$Y:$Y,ROW()+4)=1,INDEX('Calculator Cost per Bucata'!$P:$P,ROW()+4),"")</f>
        <v/>
      </c>
      <c r="E47" s="33" t="str">
        <f>IF(INDEX('Calculator Cost per Bucata'!$Y:$Y,ROW()+4)=1,INDEX('Calculator Cost per Bucata'!$S:$S,ROW()+4),"")</f>
        <v/>
      </c>
      <c r="F47" s="33" t="str">
        <f>IF($A47="","",IF(N(INDEX('PI Furnizor'!$L:$L,ROW()+1))&gt;0,INDEX('PI Furnizor'!$L:$L,ROW()+1),""))</f>
        <v/>
      </c>
      <c r="G47" s="33" t="str">
        <f>IF($A47="","",IF(Comenzi!$D$6="Da",$D47,$E47))</f>
        <v/>
      </c>
      <c r="H47" s="33" t="str">
        <f>IF(OR($A47="",$F47=""),"",IF(Comenzi!$D$6="Da",IFERROR($F47/(1+INDEX('Calculator Cost per Bucata'!$AC:$AC,ROW()+4)),""),$F47))</f>
        <v/>
      </c>
      <c r="I47" s="46" t="str">
        <f t="shared" si="0"/>
        <v/>
      </c>
      <c r="J47" s="47" t="str">
        <f t="shared" si="1"/>
        <v/>
      </c>
      <c r="K47" s="48" t="str">
        <f t="shared" si="2"/>
        <v/>
      </c>
    </row>
    <row r="48" spans="1:11" x14ac:dyDescent="0.3">
      <c r="A48" s="28" t="str">
        <f>IF(INDEX('Calculator Cost per Bucata'!$A:$A,ROW()+4)="","",INDEX('Calculator Cost per Bucata'!$A:$A,ROW()+4))</f>
        <v/>
      </c>
      <c r="B48" s="28" t="str">
        <f>IF($A48="","",INDEX('Calculator Cost per Bucata'!$C:$C,ROW()+4))</f>
        <v/>
      </c>
      <c r="C48" s="28" t="str">
        <f>IF($A48="","",INDEX('Calculator Cost per Bucata'!$D:$D,ROW()+4))</f>
        <v/>
      </c>
      <c r="D48" s="33" t="str">
        <f>IF(INDEX('Calculator Cost per Bucata'!$Y:$Y,ROW()+4)=1,INDEX('Calculator Cost per Bucata'!$P:$P,ROW()+4),"")</f>
        <v/>
      </c>
      <c r="E48" s="33" t="str">
        <f>IF(INDEX('Calculator Cost per Bucata'!$Y:$Y,ROW()+4)=1,INDEX('Calculator Cost per Bucata'!$S:$S,ROW()+4),"")</f>
        <v/>
      </c>
      <c r="F48" s="33" t="str">
        <f>IF($A48="","",IF(N(INDEX('PI Furnizor'!$L:$L,ROW()+1))&gt;0,INDEX('PI Furnizor'!$L:$L,ROW()+1),""))</f>
        <v/>
      </c>
      <c r="G48" s="33" t="str">
        <f>IF($A48="","",IF(Comenzi!$D$6="Da",$D48,$E48))</f>
        <v/>
      </c>
      <c r="H48" s="33" t="str">
        <f>IF(OR($A48="",$F48=""),"",IF(Comenzi!$D$6="Da",IFERROR($F48/(1+INDEX('Calculator Cost per Bucata'!$AC:$AC,ROW()+4)),""),$F48))</f>
        <v/>
      </c>
      <c r="I48" s="46" t="str">
        <f t="shared" si="0"/>
        <v/>
      </c>
      <c r="J48" s="47" t="str">
        <f t="shared" si="1"/>
        <v/>
      </c>
      <c r="K48" s="48" t="str">
        <f t="shared" si="2"/>
        <v/>
      </c>
    </row>
    <row r="49" spans="1:11" x14ac:dyDescent="0.3">
      <c r="A49" s="28" t="str">
        <f>IF(INDEX('Calculator Cost per Bucata'!$A:$A,ROW()+4)="","",INDEX('Calculator Cost per Bucata'!$A:$A,ROW()+4))</f>
        <v/>
      </c>
      <c r="B49" s="28" t="str">
        <f>IF($A49="","",INDEX('Calculator Cost per Bucata'!$C:$C,ROW()+4))</f>
        <v/>
      </c>
      <c r="C49" s="28" t="str">
        <f>IF($A49="","",INDEX('Calculator Cost per Bucata'!$D:$D,ROW()+4))</f>
        <v/>
      </c>
      <c r="D49" s="33" t="str">
        <f>IF(INDEX('Calculator Cost per Bucata'!$Y:$Y,ROW()+4)=1,INDEX('Calculator Cost per Bucata'!$P:$P,ROW()+4),"")</f>
        <v/>
      </c>
      <c r="E49" s="33" t="str">
        <f>IF(INDEX('Calculator Cost per Bucata'!$Y:$Y,ROW()+4)=1,INDEX('Calculator Cost per Bucata'!$S:$S,ROW()+4),"")</f>
        <v/>
      </c>
      <c r="F49" s="33" t="str">
        <f>IF($A49="","",IF(N(INDEX('PI Furnizor'!$L:$L,ROW()+1))&gt;0,INDEX('PI Furnizor'!$L:$L,ROW()+1),""))</f>
        <v/>
      </c>
      <c r="G49" s="33" t="str">
        <f>IF($A49="","",IF(Comenzi!$D$6="Da",$D49,$E49))</f>
        <v/>
      </c>
      <c r="H49" s="33" t="str">
        <f>IF(OR($A49="",$F49=""),"",IF(Comenzi!$D$6="Da",IFERROR($F49/(1+INDEX('Calculator Cost per Bucata'!$AC:$AC,ROW()+4)),""),$F49))</f>
        <v/>
      </c>
      <c r="I49" s="46" t="str">
        <f t="shared" si="0"/>
        <v/>
      </c>
      <c r="J49" s="47" t="str">
        <f t="shared" si="1"/>
        <v/>
      </c>
      <c r="K49" s="48" t="str">
        <f t="shared" si="2"/>
        <v/>
      </c>
    </row>
    <row r="50" spans="1:11" x14ac:dyDescent="0.3">
      <c r="A50" s="28" t="str">
        <f>IF(INDEX('Calculator Cost per Bucata'!$A:$A,ROW()+4)="","",INDEX('Calculator Cost per Bucata'!$A:$A,ROW()+4))</f>
        <v/>
      </c>
      <c r="B50" s="28" t="str">
        <f>IF($A50="","",INDEX('Calculator Cost per Bucata'!$C:$C,ROW()+4))</f>
        <v/>
      </c>
      <c r="C50" s="28" t="str">
        <f>IF($A50="","",INDEX('Calculator Cost per Bucata'!$D:$D,ROW()+4))</f>
        <v/>
      </c>
      <c r="D50" s="33" t="str">
        <f>IF(INDEX('Calculator Cost per Bucata'!$Y:$Y,ROW()+4)=1,INDEX('Calculator Cost per Bucata'!$P:$P,ROW()+4),"")</f>
        <v/>
      </c>
      <c r="E50" s="33" t="str">
        <f>IF(INDEX('Calculator Cost per Bucata'!$Y:$Y,ROW()+4)=1,INDEX('Calculator Cost per Bucata'!$S:$S,ROW()+4),"")</f>
        <v/>
      </c>
      <c r="F50" s="33" t="str">
        <f>IF($A50="","",IF(N(INDEX('PI Furnizor'!$L:$L,ROW()+1))&gt;0,INDEX('PI Furnizor'!$L:$L,ROW()+1),""))</f>
        <v/>
      </c>
      <c r="G50" s="33" t="str">
        <f>IF($A50="","",IF(Comenzi!$D$6="Da",$D50,$E50))</f>
        <v/>
      </c>
      <c r="H50" s="33" t="str">
        <f>IF(OR($A50="",$F50=""),"",IF(Comenzi!$D$6="Da",IFERROR($F50/(1+INDEX('Calculator Cost per Bucata'!$AC:$AC,ROW()+4)),""),$F50))</f>
        <v/>
      </c>
      <c r="I50" s="46" t="str">
        <f t="shared" si="0"/>
        <v/>
      </c>
      <c r="J50" s="47" t="str">
        <f t="shared" si="1"/>
        <v/>
      </c>
      <c r="K50" s="48" t="str">
        <f t="shared" si="2"/>
        <v/>
      </c>
    </row>
    <row r="51" spans="1:11" x14ac:dyDescent="0.3">
      <c r="A51" s="28" t="str">
        <f>IF(INDEX('Calculator Cost per Bucata'!$A:$A,ROW()+4)="","",INDEX('Calculator Cost per Bucata'!$A:$A,ROW()+4))</f>
        <v/>
      </c>
      <c r="B51" s="28" t="str">
        <f>IF($A51="","",INDEX('Calculator Cost per Bucata'!$C:$C,ROW()+4))</f>
        <v/>
      </c>
      <c r="C51" s="28" t="str">
        <f>IF($A51="","",INDEX('Calculator Cost per Bucata'!$D:$D,ROW()+4))</f>
        <v/>
      </c>
      <c r="D51" s="33" t="str">
        <f>IF(INDEX('Calculator Cost per Bucata'!$Y:$Y,ROW()+4)=1,INDEX('Calculator Cost per Bucata'!$P:$P,ROW()+4),"")</f>
        <v/>
      </c>
      <c r="E51" s="33" t="str">
        <f>IF(INDEX('Calculator Cost per Bucata'!$Y:$Y,ROW()+4)=1,INDEX('Calculator Cost per Bucata'!$S:$S,ROW()+4),"")</f>
        <v/>
      </c>
      <c r="F51" s="33" t="str">
        <f>IF($A51="","",IF(N(INDEX('PI Furnizor'!$L:$L,ROW()+1))&gt;0,INDEX('PI Furnizor'!$L:$L,ROW()+1),""))</f>
        <v/>
      </c>
      <c r="G51" s="33" t="str">
        <f>IF($A51="","",IF(Comenzi!$D$6="Da",$D51,$E51))</f>
        <v/>
      </c>
      <c r="H51" s="33" t="str">
        <f>IF(OR($A51="",$F51=""),"",IF(Comenzi!$D$6="Da",IFERROR($F51/(1+INDEX('Calculator Cost per Bucata'!$AC:$AC,ROW()+4)),""),$F51))</f>
        <v/>
      </c>
      <c r="I51" s="46" t="str">
        <f t="shared" si="0"/>
        <v/>
      </c>
      <c r="J51" s="47" t="str">
        <f t="shared" si="1"/>
        <v/>
      </c>
      <c r="K51" s="48" t="str">
        <f t="shared" si="2"/>
        <v/>
      </c>
    </row>
    <row r="52" spans="1:11" x14ac:dyDescent="0.3">
      <c r="A52" s="28" t="str">
        <f>IF(INDEX('Calculator Cost per Bucata'!$A:$A,ROW()+4)="","",INDEX('Calculator Cost per Bucata'!$A:$A,ROW()+4))</f>
        <v/>
      </c>
      <c r="B52" s="28" t="str">
        <f>IF($A52="","",INDEX('Calculator Cost per Bucata'!$C:$C,ROW()+4))</f>
        <v/>
      </c>
      <c r="C52" s="28" t="str">
        <f>IF($A52="","",INDEX('Calculator Cost per Bucata'!$D:$D,ROW()+4))</f>
        <v/>
      </c>
      <c r="D52" s="33" t="str">
        <f>IF(INDEX('Calculator Cost per Bucata'!$Y:$Y,ROW()+4)=1,INDEX('Calculator Cost per Bucata'!$P:$P,ROW()+4),"")</f>
        <v/>
      </c>
      <c r="E52" s="33" t="str">
        <f>IF(INDEX('Calculator Cost per Bucata'!$Y:$Y,ROW()+4)=1,INDEX('Calculator Cost per Bucata'!$S:$S,ROW()+4),"")</f>
        <v/>
      </c>
      <c r="F52" s="33" t="str">
        <f>IF($A52="","",IF(N(INDEX('PI Furnizor'!$L:$L,ROW()+1))&gt;0,INDEX('PI Furnizor'!$L:$L,ROW()+1),""))</f>
        <v/>
      </c>
      <c r="G52" s="33" t="str">
        <f>IF($A52="","",IF(Comenzi!$D$6="Da",$D52,$E52))</f>
        <v/>
      </c>
      <c r="H52" s="33" t="str">
        <f>IF(OR($A52="",$F52=""),"",IF(Comenzi!$D$6="Da",IFERROR($F52/(1+INDEX('Calculator Cost per Bucata'!$AC:$AC,ROW()+4)),""),$F52))</f>
        <v/>
      </c>
      <c r="I52" s="46" t="str">
        <f t="shared" si="0"/>
        <v/>
      </c>
      <c r="J52" s="47" t="str">
        <f t="shared" si="1"/>
        <v/>
      </c>
      <c r="K52" s="48" t="str">
        <f t="shared" si="2"/>
        <v/>
      </c>
    </row>
    <row r="53" spans="1:11" x14ac:dyDescent="0.3">
      <c r="A53" s="28" t="str">
        <f>IF(INDEX('Calculator Cost per Bucata'!$A:$A,ROW()+4)="","",INDEX('Calculator Cost per Bucata'!$A:$A,ROW()+4))</f>
        <v/>
      </c>
      <c r="B53" s="28" t="str">
        <f>IF($A53="","",INDEX('Calculator Cost per Bucata'!$C:$C,ROW()+4))</f>
        <v/>
      </c>
      <c r="C53" s="28" t="str">
        <f>IF($A53="","",INDEX('Calculator Cost per Bucata'!$D:$D,ROW()+4))</f>
        <v/>
      </c>
      <c r="D53" s="33" t="str">
        <f>IF(INDEX('Calculator Cost per Bucata'!$Y:$Y,ROW()+4)=1,INDEX('Calculator Cost per Bucata'!$P:$P,ROW()+4),"")</f>
        <v/>
      </c>
      <c r="E53" s="33" t="str">
        <f>IF(INDEX('Calculator Cost per Bucata'!$Y:$Y,ROW()+4)=1,INDEX('Calculator Cost per Bucata'!$S:$S,ROW()+4),"")</f>
        <v/>
      </c>
      <c r="F53" s="33" t="str">
        <f>IF($A53="","",IF(N(INDEX('PI Furnizor'!$L:$L,ROW()+1))&gt;0,INDEX('PI Furnizor'!$L:$L,ROW()+1),""))</f>
        <v/>
      </c>
      <c r="G53" s="33" t="str">
        <f>IF($A53="","",IF(Comenzi!$D$6="Da",$D53,$E53))</f>
        <v/>
      </c>
      <c r="H53" s="33" t="str">
        <f>IF(OR($A53="",$F53=""),"",IF(Comenzi!$D$6="Da",IFERROR($F53/(1+INDEX('Calculator Cost per Bucata'!$AC:$AC,ROW()+4)),""),$F53))</f>
        <v/>
      </c>
      <c r="I53" s="46" t="str">
        <f t="shared" si="0"/>
        <v/>
      </c>
      <c r="J53" s="47" t="str">
        <f t="shared" si="1"/>
        <v/>
      </c>
      <c r="K53" s="48" t="str">
        <f t="shared" si="2"/>
        <v/>
      </c>
    </row>
    <row r="54" spans="1:11" x14ac:dyDescent="0.3">
      <c r="A54" s="28" t="str">
        <f>IF(INDEX('Calculator Cost per Bucata'!$A:$A,ROW()+4)="","",INDEX('Calculator Cost per Bucata'!$A:$A,ROW()+4))</f>
        <v/>
      </c>
      <c r="B54" s="28" t="str">
        <f>IF($A54="","",INDEX('Calculator Cost per Bucata'!$C:$C,ROW()+4))</f>
        <v/>
      </c>
      <c r="C54" s="28" t="str">
        <f>IF($A54="","",INDEX('Calculator Cost per Bucata'!$D:$D,ROW()+4))</f>
        <v/>
      </c>
      <c r="D54" s="33" t="str">
        <f>IF(INDEX('Calculator Cost per Bucata'!$Y:$Y,ROW()+4)=1,INDEX('Calculator Cost per Bucata'!$P:$P,ROW()+4),"")</f>
        <v/>
      </c>
      <c r="E54" s="33" t="str">
        <f>IF(INDEX('Calculator Cost per Bucata'!$Y:$Y,ROW()+4)=1,INDEX('Calculator Cost per Bucata'!$S:$S,ROW()+4),"")</f>
        <v/>
      </c>
      <c r="F54" s="33" t="str">
        <f>IF($A54="","",IF(N(INDEX('PI Furnizor'!$L:$L,ROW()+1))&gt;0,INDEX('PI Furnizor'!$L:$L,ROW()+1),""))</f>
        <v/>
      </c>
      <c r="G54" s="33" t="str">
        <f>IF($A54="","",IF(Comenzi!$D$6="Da",$D54,$E54))</f>
        <v/>
      </c>
      <c r="H54" s="33" t="str">
        <f>IF(OR($A54="",$F54=""),"",IF(Comenzi!$D$6="Da",IFERROR($F54/(1+INDEX('Calculator Cost per Bucata'!$AC:$AC,ROW()+4)),""),$F54))</f>
        <v/>
      </c>
      <c r="I54" s="46" t="str">
        <f t="shared" si="0"/>
        <v/>
      </c>
      <c r="J54" s="47" t="str">
        <f t="shared" si="1"/>
        <v/>
      </c>
      <c r="K54" s="48" t="str">
        <f t="shared" si="2"/>
        <v/>
      </c>
    </row>
    <row r="55" spans="1:11" x14ac:dyDescent="0.3">
      <c r="A55" s="28" t="str">
        <f>IF(INDEX('Calculator Cost per Bucata'!$A:$A,ROW()+4)="","",INDEX('Calculator Cost per Bucata'!$A:$A,ROW()+4))</f>
        <v/>
      </c>
      <c r="B55" s="28" t="str">
        <f>IF($A55="","",INDEX('Calculator Cost per Bucata'!$C:$C,ROW()+4))</f>
        <v/>
      </c>
      <c r="C55" s="28" t="str">
        <f>IF($A55="","",INDEX('Calculator Cost per Bucata'!$D:$D,ROW()+4))</f>
        <v/>
      </c>
      <c r="D55" s="33" t="str">
        <f>IF(INDEX('Calculator Cost per Bucata'!$Y:$Y,ROW()+4)=1,INDEX('Calculator Cost per Bucata'!$P:$P,ROW()+4),"")</f>
        <v/>
      </c>
      <c r="E55" s="33" t="str">
        <f>IF(INDEX('Calculator Cost per Bucata'!$Y:$Y,ROW()+4)=1,INDEX('Calculator Cost per Bucata'!$S:$S,ROW()+4),"")</f>
        <v/>
      </c>
      <c r="F55" s="33" t="str">
        <f>IF($A55="","",IF(N(INDEX('PI Furnizor'!$L:$L,ROW()+1))&gt;0,INDEX('PI Furnizor'!$L:$L,ROW()+1),""))</f>
        <v/>
      </c>
      <c r="G55" s="33" t="str">
        <f>IF($A55="","",IF(Comenzi!$D$6="Da",$D55,$E55))</f>
        <v/>
      </c>
      <c r="H55" s="33" t="str">
        <f>IF(OR($A55="",$F55=""),"",IF(Comenzi!$D$6="Da",IFERROR($F55/(1+INDEX('Calculator Cost per Bucata'!$AC:$AC,ROW()+4)),""),$F55))</f>
        <v/>
      </c>
      <c r="I55" s="46" t="str">
        <f t="shared" si="0"/>
        <v/>
      </c>
      <c r="J55" s="47" t="str">
        <f t="shared" si="1"/>
        <v/>
      </c>
      <c r="K55" s="48" t="str">
        <f t="shared" si="2"/>
        <v/>
      </c>
    </row>
    <row r="56" spans="1:11" x14ac:dyDescent="0.3">
      <c r="A56" s="28" t="str">
        <f>IF(INDEX('Calculator Cost per Bucata'!$A:$A,ROW()+4)="","",INDEX('Calculator Cost per Bucata'!$A:$A,ROW()+4))</f>
        <v/>
      </c>
      <c r="B56" s="28" t="str">
        <f>IF($A56="","",INDEX('Calculator Cost per Bucata'!$C:$C,ROW()+4))</f>
        <v/>
      </c>
      <c r="C56" s="28" t="str">
        <f>IF($A56="","",INDEX('Calculator Cost per Bucata'!$D:$D,ROW()+4))</f>
        <v/>
      </c>
      <c r="D56" s="33" t="str">
        <f>IF(INDEX('Calculator Cost per Bucata'!$Y:$Y,ROW()+4)=1,INDEX('Calculator Cost per Bucata'!$P:$P,ROW()+4),"")</f>
        <v/>
      </c>
      <c r="E56" s="33" t="str">
        <f>IF(INDEX('Calculator Cost per Bucata'!$Y:$Y,ROW()+4)=1,INDEX('Calculator Cost per Bucata'!$S:$S,ROW()+4),"")</f>
        <v/>
      </c>
      <c r="F56" s="33" t="str">
        <f>IF($A56="","",IF(N(INDEX('PI Furnizor'!$L:$L,ROW()+1))&gt;0,INDEX('PI Furnizor'!$L:$L,ROW()+1),""))</f>
        <v/>
      </c>
      <c r="G56" s="33" t="str">
        <f>IF($A56="","",IF(Comenzi!$D$6="Da",$D56,$E56))</f>
        <v/>
      </c>
      <c r="H56" s="33" t="str">
        <f>IF(OR($A56="",$F56=""),"",IF(Comenzi!$D$6="Da",IFERROR($F56/(1+INDEX('Calculator Cost per Bucata'!$AC:$AC,ROW()+4)),""),$F56))</f>
        <v/>
      </c>
      <c r="I56" s="46" t="str">
        <f t="shared" si="0"/>
        <v/>
      </c>
      <c r="J56" s="47" t="str">
        <f t="shared" si="1"/>
        <v/>
      </c>
      <c r="K56" s="48" t="str">
        <f t="shared" si="2"/>
        <v/>
      </c>
    </row>
    <row r="57" spans="1:11" x14ac:dyDescent="0.3">
      <c r="A57" s="28" t="str">
        <f>IF(INDEX('Calculator Cost per Bucata'!$A:$A,ROW()+4)="","",INDEX('Calculator Cost per Bucata'!$A:$A,ROW()+4))</f>
        <v/>
      </c>
      <c r="B57" s="28" t="str">
        <f>IF($A57="","",INDEX('Calculator Cost per Bucata'!$C:$C,ROW()+4))</f>
        <v/>
      </c>
      <c r="C57" s="28" t="str">
        <f>IF($A57="","",INDEX('Calculator Cost per Bucata'!$D:$D,ROW()+4))</f>
        <v/>
      </c>
      <c r="D57" s="33" t="str">
        <f>IF(INDEX('Calculator Cost per Bucata'!$Y:$Y,ROW()+4)=1,INDEX('Calculator Cost per Bucata'!$P:$P,ROW()+4),"")</f>
        <v/>
      </c>
      <c r="E57" s="33" t="str">
        <f>IF(INDEX('Calculator Cost per Bucata'!$Y:$Y,ROW()+4)=1,INDEX('Calculator Cost per Bucata'!$S:$S,ROW()+4),"")</f>
        <v/>
      </c>
      <c r="F57" s="33" t="str">
        <f>IF($A57="","",IF(N(INDEX('PI Furnizor'!$L:$L,ROW()+1))&gt;0,INDEX('PI Furnizor'!$L:$L,ROW()+1),""))</f>
        <v/>
      </c>
      <c r="G57" s="33" t="str">
        <f>IF($A57="","",IF(Comenzi!$D$6="Da",$D57,$E57))</f>
        <v/>
      </c>
      <c r="H57" s="33" t="str">
        <f>IF(OR($A57="",$F57=""),"",IF(Comenzi!$D$6="Da",IFERROR($F57/(1+INDEX('Calculator Cost per Bucata'!$AC:$AC,ROW()+4)),""),$F57))</f>
        <v/>
      </c>
      <c r="I57" s="46" t="str">
        <f t="shared" si="0"/>
        <v/>
      </c>
      <c r="J57" s="47" t="str">
        <f t="shared" si="1"/>
        <v/>
      </c>
      <c r="K57" s="48" t="str">
        <f t="shared" si="2"/>
        <v/>
      </c>
    </row>
    <row r="58" spans="1:11" x14ac:dyDescent="0.3">
      <c r="A58" s="28" t="str">
        <f>IF(INDEX('Calculator Cost per Bucata'!$A:$A,ROW()+4)="","",INDEX('Calculator Cost per Bucata'!$A:$A,ROW()+4))</f>
        <v/>
      </c>
      <c r="B58" s="28" t="str">
        <f>IF($A58="","",INDEX('Calculator Cost per Bucata'!$C:$C,ROW()+4))</f>
        <v/>
      </c>
      <c r="C58" s="28" t="str">
        <f>IF($A58="","",INDEX('Calculator Cost per Bucata'!$D:$D,ROW()+4))</f>
        <v/>
      </c>
      <c r="D58" s="33" t="str">
        <f>IF(INDEX('Calculator Cost per Bucata'!$Y:$Y,ROW()+4)=1,INDEX('Calculator Cost per Bucata'!$P:$P,ROW()+4),"")</f>
        <v/>
      </c>
      <c r="E58" s="33" t="str">
        <f>IF(INDEX('Calculator Cost per Bucata'!$Y:$Y,ROW()+4)=1,INDEX('Calculator Cost per Bucata'!$S:$S,ROW()+4),"")</f>
        <v/>
      </c>
      <c r="F58" s="33" t="str">
        <f>IF($A58="","",IF(N(INDEX('PI Furnizor'!$L:$L,ROW()+1))&gt;0,INDEX('PI Furnizor'!$L:$L,ROW()+1),""))</f>
        <v/>
      </c>
      <c r="G58" s="33" t="str">
        <f>IF($A58="","",IF(Comenzi!$D$6="Da",$D58,$E58))</f>
        <v/>
      </c>
      <c r="H58" s="33" t="str">
        <f>IF(OR($A58="",$F58=""),"",IF(Comenzi!$D$6="Da",IFERROR($F58/(1+INDEX('Calculator Cost per Bucata'!$AC:$AC,ROW()+4)),""),$F58))</f>
        <v/>
      </c>
      <c r="I58" s="46" t="str">
        <f t="shared" si="0"/>
        <v/>
      </c>
      <c r="J58" s="47" t="str">
        <f t="shared" si="1"/>
        <v/>
      </c>
      <c r="K58" s="48" t="str">
        <f t="shared" si="2"/>
        <v/>
      </c>
    </row>
    <row r="59" spans="1:11" x14ac:dyDescent="0.3">
      <c r="A59" s="28" t="str">
        <f>IF(INDEX('Calculator Cost per Bucata'!$A:$A,ROW()+4)="","",INDEX('Calculator Cost per Bucata'!$A:$A,ROW()+4))</f>
        <v/>
      </c>
      <c r="B59" s="28" t="str">
        <f>IF($A59="","",INDEX('Calculator Cost per Bucata'!$C:$C,ROW()+4))</f>
        <v/>
      </c>
      <c r="C59" s="28" t="str">
        <f>IF($A59="","",INDEX('Calculator Cost per Bucata'!$D:$D,ROW()+4))</f>
        <v/>
      </c>
      <c r="D59" s="33" t="str">
        <f>IF(INDEX('Calculator Cost per Bucata'!$Y:$Y,ROW()+4)=1,INDEX('Calculator Cost per Bucata'!$P:$P,ROW()+4),"")</f>
        <v/>
      </c>
      <c r="E59" s="33" t="str">
        <f>IF(INDEX('Calculator Cost per Bucata'!$Y:$Y,ROW()+4)=1,INDEX('Calculator Cost per Bucata'!$S:$S,ROW()+4),"")</f>
        <v/>
      </c>
      <c r="F59" s="33" t="str">
        <f>IF($A59="","",IF(N(INDEX('PI Furnizor'!$L:$L,ROW()+1))&gt;0,INDEX('PI Furnizor'!$L:$L,ROW()+1),""))</f>
        <v/>
      </c>
      <c r="G59" s="33" t="str">
        <f>IF($A59="","",IF(Comenzi!$D$6="Da",$D59,$E59))</f>
        <v/>
      </c>
      <c r="H59" s="33" t="str">
        <f>IF(OR($A59="",$F59=""),"",IF(Comenzi!$D$6="Da",IFERROR($F59/(1+INDEX('Calculator Cost per Bucata'!$AC:$AC,ROW()+4)),""),$F59))</f>
        <v/>
      </c>
      <c r="I59" s="46" t="str">
        <f t="shared" si="0"/>
        <v/>
      </c>
      <c r="J59" s="47" t="str">
        <f t="shared" si="1"/>
        <v/>
      </c>
      <c r="K59" s="48" t="str">
        <f t="shared" si="2"/>
        <v/>
      </c>
    </row>
    <row r="60" spans="1:11" x14ac:dyDescent="0.3">
      <c r="A60" s="28" t="str">
        <f>IF(INDEX('Calculator Cost per Bucata'!$A:$A,ROW()+4)="","",INDEX('Calculator Cost per Bucata'!$A:$A,ROW()+4))</f>
        <v/>
      </c>
      <c r="B60" s="28" t="str">
        <f>IF($A60="","",INDEX('Calculator Cost per Bucata'!$C:$C,ROW()+4))</f>
        <v/>
      </c>
      <c r="C60" s="28" t="str">
        <f>IF($A60="","",INDEX('Calculator Cost per Bucata'!$D:$D,ROW()+4))</f>
        <v/>
      </c>
      <c r="D60" s="33" t="str">
        <f>IF(INDEX('Calculator Cost per Bucata'!$Y:$Y,ROW()+4)=1,INDEX('Calculator Cost per Bucata'!$P:$P,ROW()+4),"")</f>
        <v/>
      </c>
      <c r="E60" s="33" t="str">
        <f>IF(INDEX('Calculator Cost per Bucata'!$Y:$Y,ROW()+4)=1,INDEX('Calculator Cost per Bucata'!$S:$S,ROW()+4),"")</f>
        <v/>
      </c>
      <c r="F60" s="33" t="str">
        <f>IF($A60="","",IF(N(INDEX('PI Furnizor'!$L:$L,ROW()+1))&gt;0,INDEX('PI Furnizor'!$L:$L,ROW()+1),""))</f>
        <v/>
      </c>
      <c r="G60" s="33" t="str">
        <f>IF($A60="","",IF(Comenzi!$D$6="Da",$D60,$E60))</f>
        <v/>
      </c>
      <c r="H60" s="33" t="str">
        <f>IF(OR($A60="",$F60=""),"",IF(Comenzi!$D$6="Da",IFERROR($F60/(1+INDEX('Calculator Cost per Bucata'!$AC:$AC,ROW()+4)),""),$F60))</f>
        <v/>
      </c>
      <c r="I60" s="46" t="str">
        <f t="shared" si="0"/>
        <v/>
      </c>
      <c r="J60" s="47" t="str">
        <f t="shared" si="1"/>
        <v/>
      </c>
      <c r="K60" s="48" t="str">
        <f t="shared" si="2"/>
        <v/>
      </c>
    </row>
    <row r="61" spans="1:11" x14ac:dyDescent="0.3">
      <c r="A61" s="28" t="str">
        <f>IF(INDEX('Calculator Cost per Bucata'!$A:$A,ROW()+4)="","",INDEX('Calculator Cost per Bucata'!$A:$A,ROW()+4))</f>
        <v/>
      </c>
      <c r="B61" s="28" t="str">
        <f>IF($A61="","",INDEX('Calculator Cost per Bucata'!$C:$C,ROW()+4))</f>
        <v/>
      </c>
      <c r="C61" s="28" t="str">
        <f>IF($A61="","",INDEX('Calculator Cost per Bucata'!$D:$D,ROW()+4))</f>
        <v/>
      </c>
      <c r="D61" s="33" t="str">
        <f>IF(INDEX('Calculator Cost per Bucata'!$Y:$Y,ROW()+4)=1,INDEX('Calculator Cost per Bucata'!$P:$P,ROW()+4),"")</f>
        <v/>
      </c>
      <c r="E61" s="33" t="str">
        <f>IF(INDEX('Calculator Cost per Bucata'!$Y:$Y,ROW()+4)=1,INDEX('Calculator Cost per Bucata'!$S:$S,ROW()+4),"")</f>
        <v/>
      </c>
      <c r="F61" s="33" t="str">
        <f>IF($A61="","",IF(N(INDEX('PI Furnizor'!$L:$L,ROW()+1))&gt;0,INDEX('PI Furnizor'!$L:$L,ROW()+1),""))</f>
        <v/>
      </c>
      <c r="G61" s="33" t="str">
        <f>IF($A61="","",IF(Comenzi!$D$6="Da",$D61,$E61))</f>
        <v/>
      </c>
      <c r="H61" s="33" t="str">
        <f>IF(OR($A61="",$F61=""),"",IF(Comenzi!$D$6="Da",IFERROR($F61/(1+INDEX('Calculator Cost per Bucata'!$AC:$AC,ROW()+4)),""),$F61))</f>
        <v/>
      </c>
      <c r="I61" s="46" t="str">
        <f t="shared" si="0"/>
        <v/>
      </c>
      <c r="J61" s="47" t="str">
        <f t="shared" si="1"/>
        <v/>
      </c>
      <c r="K61" s="48" t="str">
        <f t="shared" si="2"/>
        <v/>
      </c>
    </row>
    <row r="62" spans="1:11" x14ac:dyDescent="0.3">
      <c r="A62" s="28" t="str">
        <f>IF(INDEX('Calculator Cost per Bucata'!$A:$A,ROW()+4)="","",INDEX('Calculator Cost per Bucata'!$A:$A,ROW()+4))</f>
        <v/>
      </c>
      <c r="B62" s="28" t="str">
        <f>IF($A62="","",INDEX('Calculator Cost per Bucata'!$C:$C,ROW()+4))</f>
        <v/>
      </c>
      <c r="C62" s="28" t="str">
        <f>IF($A62="","",INDEX('Calculator Cost per Bucata'!$D:$D,ROW()+4))</f>
        <v/>
      </c>
      <c r="D62" s="33" t="str">
        <f>IF(INDEX('Calculator Cost per Bucata'!$Y:$Y,ROW()+4)=1,INDEX('Calculator Cost per Bucata'!$P:$P,ROW()+4),"")</f>
        <v/>
      </c>
      <c r="E62" s="33" t="str">
        <f>IF(INDEX('Calculator Cost per Bucata'!$Y:$Y,ROW()+4)=1,INDEX('Calculator Cost per Bucata'!$S:$S,ROW()+4),"")</f>
        <v/>
      </c>
      <c r="F62" s="33" t="str">
        <f>IF($A62="","",IF(N(INDEX('PI Furnizor'!$L:$L,ROW()+1))&gt;0,INDEX('PI Furnizor'!$L:$L,ROW()+1),""))</f>
        <v/>
      </c>
      <c r="G62" s="33" t="str">
        <f>IF($A62="","",IF(Comenzi!$D$6="Da",$D62,$E62))</f>
        <v/>
      </c>
      <c r="H62" s="33" t="str">
        <f>IF(OR($A62="",$F62=""),"",IF(Comenzi!$D$6="Da",IFERROR($F62/(1+INDEX('Calculator Cost per Bucata'!$AC:$AC,ROW()+4)),""),$F62))</f>
        <v/>
      </c>
      <c r="I62" s="46" t="str">
        <f t="shared" si="0"/>
        <v/>
      </c>
      <c r="J62" s="47" t="str">
        <f t="shared" si="1"/>
        <v/>
      </c>
      <c r="K62" s="48" t="str">
        <f t="shared" si="2"/>
        <v/>
      </c>
    </row>
    <row r="63" spans="1:11" x14ac:dyDescent="0.3">
      <c r="A63" s="28" t="str">
        <f>IF(INDEX('Calculator Cost per Bucata'!$A:$A,ROW()+4)="","",INDEX('Calculator Cost per Bucata'!$A:$A,ROW()+4))</f>
        <v/>
      </c>
      <c r="B63" s="28" t="str">
        <f>IF($A63="","",INDEX('Calculator Cost per Bucata'!$C:$C,ROW()+4))</f>
        <v/>
      </c>
      <c r="C63" s="28" t="str">
        <f>IF($A63="","",INDEX('Calculator Cost per Bucata'!$D:$D,ROW()+4))</f>
        <v/>
      </c>
      <c r="D63" s="33" t="str">
        <f>IF(INDEX('Calculator Cost per Bucata'!$Y:$Y,ROW()+4)=1,INDEX('Calculator Cost per Bucata'!$P:$P,ROW()+4),"")</f>
        <v/>
      </c>
      <c r="E63" s="33" t="str">
        <f>IF(INDEX('Calculator Cost per Bucata'!$Y:$Y,ROW()+4)=1,INDEX('Calculator Cost per Bucata'!$S:$S,ROW()+4),"")</f>
        <v/>
      </c>
      <c r="F63" s="33" t="str">
        <f>IF($A63="","",IF(N(INDEX('PI Furnizor'!$L:$L,ROW()+1))&gt;0,INDEX('PI Furnizor'!$L:$L,ROW()+1),""))</f>
        <v/>
      </c>
      <c r="G63" s="33" t="str">
        <f>IF($A63="","",IF(Comenzi!$D$6="Da",$D63,$E63))</f>
        <v/>
      </c>
      <c r="H63" s="33" t="str">
        <f>IF(OR($A63="",$F63=""),"",IF(Comenzi!$D$6="Da",IFERROR($F63/(1+INDEX('Calculator Cost per Bucata'!$AC:$AC,ROW()+4)),""),$F63))</f>
        <v/>
      </c>
      <c r="I63" s="46" t="str">
        <f t="shared" si="0"/>
        <v/>
      </c>
      <c r="J63" s="47" t="str">
        <f t="shared" si="1"/>
        <v/>
      </c>
      <c r="K63" s="48" t="str">
        <f t="shared" si="2"/>
        <v/>
      </c>
    </row>
    <row r="64" spans="1:11" x14ac:dyDescent="0.3">
      <c r="A64" s="28" t="str">
        <f>IF(INDEX('Calculator Cost per Bucata'!$A:$A,ROW()+4)="","",INDEX('Calculator Cost per Bucata'!$A:$A,ROW()+4))</f>
        <v/>
      </c>
      <c r="B64" s="28" t="str">
        <f>IF($A64="","",INDEX('Calculator Cost per Bucata'!$C:$C,ROW()+4))</f>
        <v/>
      </c>
      <c r="C64" s="28" t="str">
        <f>IF($A64="","",INDEX('Calculator Cost per Bucata'!$D:$D,ROW()+4))</f>
        <v/>
      </c>
      <c r="D64" s="33" t="str">
        <f>IF(INDEX('Calculator Cost per Bucata'!$Y:$Y,ROW()+4)=1,INDEX('Calculator Cost per Bucata'!$P:$P,ROW()+4),"")</f>
        <v/>
      </c>
      <c r="E64" s="33" t="str">
        <f>IF(INDEX('Calculator Cost per Bucata'!$Y:$Y,ROW()+4)=1,INDEX('Calculator Cost per Bucata'!$S:$S,ROW()+4),"")</f>
        <v/>
      </c>
      <c r="F64" s="33" t="str">
        <f>IF($A64="","",IF(N(INDEX('PI Furnizor'!$L:$L,ROW()+1))&gt;0,INDEX('PI Furnizor'!$L:$L,ROW()+1),""))</f>
        <v/>
      </c>
      <c r="G64" s="33" t="str">
        <f>IF($A64="","",IF(Comenzi!$D$6="Da",$D64,$E64))</f>
        <v/>
      </c>
      <c r="H64" s="33" t="str">
        <f>IF(OR($A64="",$F64=""),"",IF(Comenzi!$D$6="Da",IFERROR($F64/(1+INDEX('Calculator Cost per Bucata'!$AC:$AC,ROW()+4)),""),$F64))</f>
        <v/>
      </c>
      <c r="I64" s="46" t="str">
        <f t="shared" si="0"/>
        <v/>
      </c>
      <c r="J64" s="47" t="str">
        <f t="shared" si="1"/>
        <v/>
      </c>
      <c r="K64" s="48" t="str">
        <f t="shared" si="2"/>
        <v/>
      </c>
    </row>
    <row r="65" spans="1:11" x14ac:dyDescent="0.3">
      <c r="A65" s="28" t="str">
        <f>IF(INDEX('Calculator Cost per Bucata'!$A:$A,ROW()+4)="","",INDEX('Calculator Cost per Bucata'!$A:$A,ROW()+4))</f>
        <v/>
      </c>
      <c r="B65" s="28" t="str">
        <f>IF($A65="","",INDEX('Calculator Cost per Bucata'!$C:$C,ROW()+4))</f>
        <v/>
      </c>
      <c r="C65" s="28" t="str">
        <f>IF($A65="","",INDEX('Calculator Cost per Bucata'!$D:$D,ROW()+4))</f>
        <v/>
      </c>
      <c r="D65" s="33" t="str">
        <f>IF(INDEX('Calculator Cost per Bucata'!$Y:$Y,ROW()+4)=1,INDEX('Calculator Cost per Bucata'!$P:$P,ROW()+4),"")</f>
        <v/>
      </c>
      <c r="E65" s="33" t="str">
        <f>IF(INDEX('Calculator Cost per Bucata'!$Y:$Y,ROW()+4)=1,INDEX('Calculator Cost per Bucata'!$S:$S,ROW()+4),"")</f>
        <v/>
      </c>
      <c r="F65" s="33" t="str">
        <f>IF($A65="","",IF(N(INDEX('PI Furnizor'!$L:$L,ROW()+1))&gt;0,INDEX('PI Furnizor'!$L:$L,ROW()+1),""))</f>
        <v/>
      </c>
      <c r="G65" s="33" t="str">
        <f>IF($A65="","",IF(Comenzi!$D$6="Da",$D65,$E65))</f>
        <v/>
      </c>
      <c r="H65" s="33" t="str">
        <f>IF(OR($A65="",$F65=""),"",IF(Comenzi!$D$6="Da",IFERROR($F65/(1+INDEX('Calculator Cost per Bucata'!$AC:$AC,ROW()+4)),""),$F65))</f>
        <v/>
      </c>
      <c r="I65" s="46" t="str">
        <f t="shared" si="0"/>
        <v/>
      </c>
      <c r="J65" s="47" t="str">
        <f t="shared" si="1"/>
        <v/>
      </c>
      <c r="K65" s="48" t="str">
        <f t="shared" si="2"/>
        <v/>
      </c>
    </row>
    <row r="66" spans="1:11" x14ac:dyDescent="0.3">
      <c r="A66" s="28" t="str">
        <f>IF(INDEX('Calculator Cost per Bucata'!$A:$A,ROW()+4)="","",INDEX('Calculator Cost per Bucata'!$A:$A,ROW()+4))</f>
        <v/>
      </c>
      <c r="B66" s="28" t="str">
        <f>IF($A66="","",INDEX('Calculator Cost per Bucata'!$C:$C,ROW()+4))</f>
        <v/>
      </c>
      <c r="C66" s="28" t="str">
        <f>IF($A66="","",INDEX('Calculator Cost per Bucata'!$D:$D,ROW()+4))</f>
        <v/>
      </c>
      <c r="D66" s="33" t="str">
        <f>IF(INDEX('Calculator Cost per Bucata'!$Y:$Y,ROW()+4)=1,INDEX('Calculator Cost per Bucata'!$P:$P,ROW()+4),"")</f>
        <v/>
      </c>
      <c r="E66" s="33" t="str">
        <f>IF(INDEX('Calculator Cost per Bucata'!$Y:$Y,ROW()+4)=1,INDEX('Calculator Cost per Bucata'!$S:$S,ROW()+4),"")</f>
        <v/>
      </c>
      <c r="F66" s="33" t="str">
        <f>IF($A66="","",IF(N(INDEX('PI Furnizor'!$L:$L,ROW()+1))&gt;0,INDEX('PI Furnizor'!$L:$L,ROW()+1),""))</f>
        <v/>
      </c>
      <c r="G66" s="33" t="str">
        <f>IF($A66="","",IF(Comenzi!$D$6="Da",$D66,$E66))</f>
        <v/>
      </c>
      <c r="H66" s="33" t="str">
        <f>IF(OR($A66="",$F66=""),"",IF(Comenzi!$D$6="Da",IFERROR($F66/(1+INDEX('Calculator Cost per Bucata'!$AC:$AC,ROW()+4)),""),$F66))</f>
        <v/>
      </c>
      <c r="I66" s="46" t="str">
        <f t="shared" si="0"/>
        <v/>
      </c>
      <c r="J66" s="47" t="str">
        <f t="shared" si="1"/>
        <v/>
      </c>
      <c r="K66" s="48" t="str">
        <f t="shared" si="2"/>
        <v/>
      </c>
    </row>
    <row r="67" spans="1:11" x14ac:dyDescent="0.3">
      <c r="A67" s="28" t="str">
        <f>IF(INDEX('Calculator Cost per Bucata'!$A:$A,ROW()+4)="","",INDEX('Calculator Cost per Bucata'!$A:$A,ROW()+4))</f>
        <v/>
      </c>
      <c r="B67" s="28" t="str">
        <f>IF($A67="","",INDEX('Calculator Cost per Bucata'!$C:$C,ROW()+4))</f>
        <v/>
      </c>
      <c r="C67" s="28" t="str">
        <f>IF($A67="","",INDEX('Calculator Cost per Bucata'!$D:$D,ROW()+4))</f>
        <v/>
      </c>
      <c r="D67" s="33" t="str">
        <f>IF(INDEX('Calculator Cost per Bucata'!$Y:$Y,ROW()+4)=1,INDEX('Calculator Cost per Bucata'!$P:$P,ROW()+4),"")</f>
        <v/>
      </c>
      <c r="E67" s="33" t="str">
        <f>IF(INDEX('Calculator Cost per Bucata'!$Y:$Y,ROW()+4)=1,INDEX('Calculator Cost per Bucata'!$S:$S,ROW()+4),"")</f>
        <v/>
      </c>
      <c r="F67" s="33" t="str">
        <f>IF($A67="","",IF(N(INDEX('PI Furnizor'!$L:$L,ROW()+1))&gt;0,INDEX('PI Furnizor'!$L:$L,ROW()+1),""))</f>
        <v/>
      </c>
      <c r="G67" s="33" t="str">
        <f>IF($A67="","",IF(Comenzi!$D$6="Da",$D67,$E67))</f>
        <v/>
      </c>
      <c r="H67" s="33" t="str">
        <f>IF(OR($A67="",$F67=""),"",IF(Comenzi!$D$6="Da",IFERROR($F67/(1+INDEX('Calculator Cost per Bucata'!$AC:$AC,ROW()+4)),""),$F67))</f>
        <v/>
      </c>
      <c r="I67" s="46" t="str">
        <f t="shared" si="0"/>
        <v/>
      </c>
      <c r="J67" s="47" t="str">
        <f t="shared" si="1"/>
        <v/>
      </c>
      <c r="K67" s="48" t="str">
        <f t="shared" si="2"/>
        <v/>
      </c>
    </row>
    <row r="68" spans="1:11" x14ac:dyDescent="0.3">
      <c r="A68" s="28" t="str">
        <f>IF(INDEX('Calculator Cost per Bucata'!$A:$A,ROW()+4)="","",INDEX('Calculator Cost per Bucata'!$A:$A,ROW()+4))</f>
        <v/>
      </c>
      <c r="B68" s="28" t="str">
        <f>IF($A68="","",INDEX('Calculator Cost per Bucata'!$C:$C,ROW()+4))</f>
        <v/>
      </c>
      <c r="C68" s="28" t="str">
        <f>IF($A68="","",INDEX('Calculator Cost per Bucata'!$D:$D,ROW()+4))</f>
        <v/>
      </c>
      <c r="D68" s="33" t="str">
        <f>IF(INDEX('Calculator Cost per Bucata'!$Y:$Y,ROW()+4)=1,INDEX('Calculator Cost per Bucata'!$P:$P,ROW()+4),"")</f>
        <v/>
      </c>
      <c r="E68" s="33" t="str">
        <f>IF(INDEX('Calculator Cost per Bucata'!$Y:$Y,ROW()+4)=1,INDEX('Calculator Cost per Bucata'!$S:$S,ROW()+4),"")</f>
        <v/>
      </c>
      <c r="F68" s="33" t="str">
        <f>IF($A68="","",IF(N(INDEX('PI Furnizor'!$L:$L,ROW()+1))&gt;0,INDEX('PI Furnizor'!$L:$L,ROW()+1),""))</f>
        <v/>
      </c>
      <c r="G68" s="33" t="str">
        <f>IF($A68="","",IF(Comenzi!$D$6="Da",$D68,$E68))</f>
        <v/>
      </c>
      <c r="H68" s="33" t="str">
        <f>IF(OR($A68="",$F68=""),"",IF(Comenzi!$D$6="Da",IFERROR($F68/(1+INDEX('Calculator Cost per Bucata'!$AC:$AC,ROW()+4)),""),$F68))</f>
        <v/>
      </c>
      <c r="I68" s="46" t="str">
        <f t="shared" si="0"/>
        <v/>
      </c>
      <c r="J68" s="47" t="str">
        <f t="shared" si="1"/>
        <v/>
      </c>
      <c r="K68" s="48" t="str">
        <f t="shared" si="2"/>
        <v/>
      </c>
    </row>
    <row r="69" spans="1:11" x14ac:dyDescent="0.3">
      <c r="A69" s="28" t="str">
        <f>IF(INDEX('Calculator Cost per Bucata'!$A:$A,ROW()+4)="","",INDEX('Calculator Cost per Bucata'!$A:$A,ROW()+4))</f>
        <v/>
      </c>
      <c r="B69" s="28" t="str">
        <f>IF($A69="","",INDEX('Calculator Cost per Bucata'!$C:$C,ROW()+4))</f>
        <v/>
      </c>
      <c r="C69" s="28" t="str">
        <f>IF($A69="","",INDEX('Calculator Cost per Bucata'!$D:$D,ROW()+4))</f>
        <v/>
      </c>
      <c r="D69" s="33" t="str">
        <f>IF(INDEX('Calculator Cost per Bucata'!$Y:$Y,ROW()+4)=1,INDEX('Calculator Cost per Bucata'!$P:$P,ROW()+4),"")</f>
        <v/>
      </c>
      <c r="E69" s="33" t="str">
        <f>IF(INDEX('Calculator Cost per Bucata'!$Y:$Y,ROW()+4)=1,INDEX('Calculator Cost per Bucata'!$S:$S,ROW()+4),"")</f>
        <v/>
      </c>
      <c r="F69" s="33" t="str">
        <f>IF($A69="","",IF(N(INDEX('PI Furnizor'!$L:$L,ROW()+1))&gt;0,INDEX('PI Furnizor'!$L:$L,ROW()+1),""))</f>
        <v/>
      </c>
      <c r="G69" s="33" t="str">
        <f>IF($A69="","",IF(Comenzi!$D$6="Da",$D69,$E69))</f>
        <v/>
      </c>
      <c r="H69" s="33" t="str">
        <f>IF(OR($A69="",$F69=""),"",IF(Comenzi!$D$6="Da",IFERROR($F69/(1+INDEX('Calculator Cost per Bucata'!$AC:$AC,ROW()+4)),""),$F69))</f>
        <v/>
      </c>
      <c r="I69" s="46" t="str">
        <f t="shared" si="0"/>
        <v/>
      </c>
      <c r="J69" s="47" t="str">
        <f t="shared" si="1"/>
        <v/>
      </c>
      <c r="K69" s="48" t="str">
        <f t="shared" si="2"/>
        <v/>
      </c>
    </row>
    <row r="70" spans="1:11" x14ac:dyDescent="0.3">
      <c r="A70" s="28" t="str">
        <f>IF(INDEX('Calculator Cost per Bucata'!$A:$A,ROW()+4)="","",INDEX('Calculator Cost per Bucata'!$A:$A,ROW()+4))</f>
        <v/>
      </c>
      <c r="B70" s="28" t="str">
        <f>IF($A70="","",INDEX('Calculator Cost per Bucata'!$C:$C,ROW()+4))</f>
        <v/>
      </c>
      <c r="C70" s="28" t="str">
        <f>IF($A70="","",INDEX('Calculator Cost per Bucata'!$D:$D,ROW()+4))</f>
        <v/>
      </c>
      <c r="D70" s="33" t="str">
        <f>IF(INDEX('Calculator Cost per Bucata'!$Y:$Y,ROW()+4)=1,INDEX('Calculator Cost per Bucata'!$P:$P,ROW()+4),"")</f>
        <v/>
      </c>
      <c r="E70" s="33" t="str">
        <f>IF(INDEX('Calculator Cost per Bucata'!$Y:$Y,ROW()+4)=1,INDEX('Calculator Cost per Bucata'!$S:$S,ROW()+4),"")</f>
        <v/>
      </c>
      <c r="F70" s="33" t="str">
        <f>IF($A70="","",IF(N(INDEX('PI Furnizor'!$L:$L,ROW()+1))&gt;0,INDEX('PI Furnizor'!$L:$L,ROW()+1),""))</f>
        <v/>
      </c>
      <c r="G70" s="33" t="str">
        <f>IF($A70="","",IF(Comenzi!$D$6="Da",$D70,$E70))</f>
        <v/>
      </c>
      <c r="H70" s="33" t="str">
        <f>IF(OR($A70="",$F70=""),"",IF(Comenzi!$D$6="Da",IFERROR($F70/(1+INDEX('Calculator Cost per Bucata'!$AC:$AC,ROW()+4)),""),$F70))</f>
        <v/>
      </c>
      <c r="I70" s="46" t="str">
        <f t="shared" ref="I70:I133" si="3">IF(OR($G70="",$H70=""),"",$H70-$G70)</f>
        <v/>
      </c>
      <c r="J70" s="47" t="str">
        <f t="shared" ref="J70:J133" si="4">IF(OR($G70="",$H70=""),"",($H70-$G70)/$H70)</f>
        <v/>
      </c>
      <c r="K70" s="48" t="str">
        <f t="shared" ref="K70:K133" si="5">IF($A70="","",IF($G70="","Date incomplete - vezi Calculator",IF($H70="","Introdu pretul RO (PI Furnizor, col. L)",IF($H70&gt;$G70*1.15,"Import avantajos - marja buna",IF($H70&gt;$G70,"Import usor avantajos - marja mica","Piata RO mai ieftina - verifica")))))</f>
        <v/>
      </c>
    </row>
    <row r="71" spans="1:11" x14ac:dyDescent="0.3">
      <c r="A71" s="28" t="str">
        <f>IF(INDEX('Calculator Cost per Bucata'!$A:$A,ROW()+4)="","",INDEX('Calculator Cost per Bucata'!$A:$A,ROW()+4))</f>
        <v/>
      </c>
      <c r="B71" s="28" t="str">
        <f>IF($A71="","",INDEX('Calculator Cost per Bucata'!$C:$C,ROW()+4))</f>
        <v/>
      </c>
      <c r="C71" s="28" t="str">
        <f>IF($A71="","",INDEX('Calculator Cost per Bucata'!$D:$D,ROW()+4))</f>
        <v/>
      </c>
      <c r="D71" s="33" t="str">
        <f>IF(INDEX('Calculator Cost per Bucata'!$Y:$Y,ROW()+4)=1,INDEX('Calculator Cost per Bucata'!$P:$P,ROW()+4),"")</f>
        <v/>
      </c>
      <c r="E71" s="33" t="str">
        <f>IF(INDEX('Calculator Cost per Bucata'!$Y:$Y,ROW()+4)=1,INDEX('Calculator Cost per Bucata'!$S:$S,ROW()+4),"")</f>
        <v/>
      </c>
      <c r="F71" s="33" t="str">
        <f>IF($A71="","",IF(N(INDEX('PI Furnizor'!$L:$L,ROW()+1))&gt;0,INDEX('PI Furnizor'!$L:$L,ROW()+1),""))</f>
        <v/>
      </c>
      <c r="G71" s="33" t="str">
        <f>IF($A71="","",IF(Comenzi!$D$6="Da",$D71,$E71))</f>
        <v/>
      </c>
      <c r="H71" s="33" t="str">
        <f>IF(OR($A71="",$F71=""),"",IF(Comenzi!$D$6="Da",IFERROR($F71/(1+INDEX('Calculator Cost per Bucata'!$AC:$AC,ROW()+4)),""),$F71))</f>
        <v/>
      </c>
      <c r="I71" s="46" t="str">
        <f t="shared" si="3"/>
        <v/>
      </c>
      <c r="J71" s="47" t="str">
        <f t="shared" si="4"/>
        <v/>
      </c>
      <c r="K71" s="48" t="str">
        <f t="shared" si="5"/>
        <v/>
      </c>
    </row>
    <row r="72" spans="1:11" x14ac:dyDescent="0.3">
      <c r="A72" s="28" t="str">
        <f>IF(INDEX('Calculator Cost per Bucata'!$A:$A,ROW()+4)="","",INDEX('Calculator Cost per Bucata'!$A:$A,ROW()+4))</f>
        <v/>
      </c>
      <c r="B72" s="28" t="str">
        <f>IF($A72="","",INDEX('Calculator Cost per Bucata'!$C:$C,ROW()+4))</f>
        <v/>
      </c>
      <c r="C72" s="28" t="str">
        <f>IF($A72="","",INDEX('Calculator Cost per Bucata'!$D:$D,ROW()+4))</f>
        <v/>
      </c>
      <c r="D72" s="33" t="str">
        <f>IF(INDEX('Calculator Cost per Bucata'!$Y:$Y,ROW()+4)=1,INDEX('Calculator Cost per Bucata'!$P:$P,ROW()+4),"")</f>
        <v/>
      </c>
      <c r="E72" s="33" t="str">
        <f>IF(INDEX('Calculator Cost per Bucata'!$Y:$Y,ROW()+4)=1,INDEX('Calculator Cost per Bucata'!$S:$S,ROW()+4),"")</f>
        <v/>
      </c>
      <c r="F72" s="33" t="str">
        <f>IF($A72="","",IF(N(INDEX('PI Furnizor'!$L:$L,ROW()+1))&gt;0,INDEX('PI Furnizor'!$L:$L,ROW()+1),""))</f>
        <v/>
      </c>
      <c r="G72" s="33" t="str">
        <f>IF($A72="","",IF(Comenzi!$D$6="Da",$D72,$E72))</f>
        <v/>
      </c>
      <c r="H72" s="33" t="str">
        <f>IF(OR($A72="",$F72=""),"",IF(Comenzi!$D$6="Da",IFERROR($F72/(1+INDEX('Calculator Cost per Bucata'!$AC:$AC,ROW()+4)),""),$F72))</f>
        <v/>
      </c>
      <c r="I72" s="46" t="str">
        <f t="shared" si="3"/>
        <v/>
      </c>
      <c r="J72" s="47" t="str">
        <f t="shared" si="4"/>
        <v/>
      </c>
      <c r="K72" s="48" t="str">
        <f t="shared" si="5"/>
        <v/>
      </c>
    </row>
    <row r="73" spans="1:11" x14ac:dyDescent="0.3">
      <c r="A73" s="28" t="str">
        <f>IF(INDEX('Calculator Cost per Bucata'!$A:$A,ROW()+4)="","",INDEX('Calculator Cost per Bucata'!$A:$A,ROW()+4))</f>
        <v/>
      </c>
      <c r="B73" s="28" t="str">
        <f>IF($A73="","",INDEX('Calculator Cost per Bucata'!$C:$C,ROW()+4))</f>
        <v/>
      </c>
      <c r="C73" s="28" t="str">
        <f>IF($A73="","",INDEX('Calculator Cost per Bucata'!$D:$D,ROW()+4))</f>
        <v/>
      </c>
      <c r="D73" s="33" t="str">
        <f>IF(INDEX('Calculator Cost per Bucata'!$Y:$Y,ROW()+4)=1,INDEX('Calculator Cost per Bucata'!$P:$P,ROW()+4),"")</f>
        <v/>
      </c>
      <c r="E73" s="33" t="str">
        <f>IF(INDEX('Calculator Cost per Bucata'!$Y:$Y,ROW()+4)=1,INDEX('Calculator Cost per Bucata'!$S:$S,ROW()+4),"")</f>
        <v/>
      </c>
      <c r="F73" s="33" t="str">
        <f>IF($A73="","",IF(N(INDEX('PI Furnizor'!$L:$L,ROW()+1))&gt;0,INDEX('PI Furnizor'!$L:$L,ROW()+1),""))</f>
        <v/>
      </c>
      <c r="G73" s="33" t="str">
        <f>IF($A73="","",IF(Comenzi!$D$6="Da",$D73,$E73))</f>
        <v/>
      </c>
      <c r="H73" s="33" t="str">
        <f>IF(OR($A73="",$F73=""),"",IF(Comenzi!$D$6="Da",IFERROR($F73/(1+INDEX('Calculator Cost per Bucata'!$AC:$AC,ROW()+4)),""),$F73))</f>
        <v/>
      </c>
      <c r="I73" s="46" t="str">
        <f t="shared" si="3"/>
        <v/>
      </c>
      <c r="J73" s="47" t="str">
        <f t="shared" si="4"/>
        <v/>
      </c>
      <c r="K73" s="48" t="str">
        <f t="shared" si="5"/>
        <v/>
      </c>
    </row>
    <row r="74" spans="1:11" x14ac:dyDescent="0.3">
      <c r="A74" s="28" t="str">
        <f>IF(INDEX('Calculator Cost per Bucata'!$A:$A,ROW()+4)="","",INDEX('Calculator Cost per Bucata'!$A:$A,ROW()+4))</f>
        <v/>
      </c>
      <c r="B74" s="28" t="str">
        <f>IF($A74="","",INDEX('Calculator Cost per Bucata'!$C:$C,ROW()+4))</f>
        <v/>
      </c>
      <c r="C74" s="28" t="str">
        <f>IF($A74="","",INDEX('Calculator Cost per Bucata'!$D:$D,ROW()+4))</f>
        <v/>
      </c>
      <c r="D74" s="33" t="str">
        <f>IF(INDEX('Calculator Cost per Bucata'!$Y:$Y,ROW()+4)=1,INDEX('Calculator Cost per Bucata'!$P:$P,ROW()+4),"")</f>
        <v/>
      </c>
      <c r="E74" s="33" t="str">
        <f>IF(INDEX('Calculator Cost per Bucata'!$Y:$Y,ROW()+4)=1,INDEX('Calculator Cost per Bucata'!$S:$S,ROW()+4),"")</f>
        <v/>
      </c>
      <c r="F74" s="33" t="str">
        <f>IF($A74="","",IF(N(INDEX('PI Furnizor'!$L:$L,ROW()+1))&gt;0,INDEX('PI Furnizor'!$L:$L,ROW()+1),""))</f>
        <v/>
      </c>
      <c r="G74" s="33" t="str">
        <f>IF($A74="","",IF(Comenzi!$D$6="Da",$D74,$E74))</f>
        <v/>
      </c>
      <c r="H74" s="33" t="str">
        <f>IF(OR($A74="",$F74=""),"",IF(Comenzi!$D$6="Da",IFERROR($F74/(1+INDEX('Calculator Cost per Bucata'!$AC:$AC,ROW()+4)),""),$F74))</f>
        <v/>
      </c>
      <c r="I74" s="46" t="str">
        <f t="shared" si="3"/>
        <v/>
      </c>
      <c r="J74" s="47" t="str">
        <f t="shared" si="4"/>
        <v/>
      </c>
      <c r="K74" s="48" t="str">
        <f t="shared" si="5"/>
        <v/>
      </c>
    </row>
    <row r="75" spans="1:11" x14ac:dyDescent="0.3">
      <c r="A75" s="28" t="str">
        <f>IF(INDEX('Calculator Cost per Bucata'!$A:$A,ROW()+4)="","",INDEX('Calculator Cost per Bucata'!$A:$A,ROW()+4))</f>
        <v/>
      </c>
      <c r="B75" s="28" t="str">
        <f>IF($A75="","",INDEX('Calculator Cost per Bucata'!$C:$C,ROW()+4))</f>
        <v/>
      </c>
      <c r="C75" s="28" t="str">
        <f>IF($A75="","",INDEX('Calculator Cost per Bucata'!$D:$D,ROW()+4))</f>
        <v/>
      </c>
      <c r="D75" s="33" t="str">
        <f>IF(INDEX('Calculator Cost per Bucata'!$Y:$Y,ROW()+4)=1,INDEX('Calculator Cost per Bucata'!$P:$P,ROW()+4),"")</f>
        <v/>
      </c>
      <c r="E75" s="33" t="str">
        <f>IF(INDEX('Calculator Cost per Bucata'!$Y:$Y,ROW()+4)=1,INDEX('Calculator Cost per Bucata'!$S:$S,ROW()+4),"")</f>
        <v/>
      </c>
      <c r="F75" s="33" t="str">
        <f>IF($A75="","",IF(N(INDEX('PI Furnizor'!$L:$L,ROW()+1))&gt;0,INDEX('PI Furnizor'!$L:$L,ROW()+1),""))</f>
        <v/>
      </c>
      <c r="G75" s="33" t="str">
        <f>IF($A75="","",IF(Comenzi!$D$6="Da",$D75,$E75))</f>
        <v/>
      </c>
      <c r="H75" s="33" t="str">
        <f>IF(OR($A75="",$F75=""),"",IF(Comenzi!$D$6="Da",IFERROR($F75/(1+INDEX('Calculator Cost per Bucata'!$AC:$AC,ROW()+4)),""),$F75))</f>
        <v/>
      </c>
      <c r="I75" s="46" t="str">
        <f t="shared" si="3"/>
        <v/>
      </c>
      <c r="J75" s="47" t="str">
        <f t="shared" si="4"/>
        <v/>
      </c>
      <c r="K75" s="48" t="str">
        <f t="shared" si="5"/>
        <v/>
      </c>
    </row>
    <row r="76" spans="1:11" x14ac:dyDescent="0.3">
      <c r="A76" s="28" t="str">
        <f>IF(INDEX('Calculator Cost per Bucata'!$A:$A,ROW()+4)="","",INDEX('Calculator Cost per Bucata'!$A:$A,ROW()+4))</f>
        <v/>
      </c>
      <c r="B76" s="28" t="str">
        <f>IF($A76="","",INDEX('Calculator Cost per Bucata'!$C:$C,ROW()+4))</f>
        <v/>
      </c>
      <c r="C76" s="28" t="str">
        <f>IF($A76="","",INDEX('Calculator Cost per Bucata'!$D:$D,ROW()+4))</f>
        <v/>
      </c>
      <c r="D76" s="33" t="str">
        <f>IF(INDEX('Calculator Cost per Bucata'!$Y:$Y,ROW()+4)=1,INDEX('Calculator Cost per Bucata'!$P:$P,ROW()+4),"")</f>
        <v/>
      </c>
      <c r="E76" s="33" t="str">
        <f>IF(INDEX('Calculator Cost per Bucata'!$Y:$Y,ROW()+4)=1,INDEX('Calculator Cost per Bucata'!$S:$S,ROW()+4),"")</f>
        <v/>
      </c>
      <c r="F76" s="33" t="str">
        <f>IF($A76="","",IF(N(INDEX('PI Furnizor'!$L:$L,ROW()+1))&gt;0,INDEX('PI Furnizor'!$L:$L,ROW()+1),""))</f>
        <v/>
      </c>
      <c r="G76" s="33" t="str">
        <f>IF($A76="","",IF(Comenzi!$D$6="Da",$D76,$E76))</f>
        <v/>
      </c>
      <c r="H76" s="33" t="str">
        <f>IF(OR($A76="",$F76=""),"",IF(Comenzi!$D$6="Da",IFERROR($F76/(1+INDEX('Calculator Cost per Bucata'!$AC:$AC,ROW()+4)),""),$F76))</f>
        <v/>
      </c>
      <c r="I76" s="46" t="str">
        <f t="shared" si="3"/>
        <v/>
      </c>
      <c r="J76" s="47" t="str">
        <f t="shared" si="4"/>
        <v/>
      </c>
      <c r="K76" s="48" t="str">
        <f t="shared" si="5"/>
        <v/>
      </c>
    </row>
    <row r="77" spans="1:11" x14ac:dyDescent="0.3">
      <c r="A77" s="28" t="str">
        <f>IF(INDEX('Calculator Cost per Bucata'!$A:$A,ROW()+4)="","",INDEX('Calculator Cost per Bucata'!$A:$A,ROW()+4))</f>
        <v/>
      </c>
      <c r="B77" s="28" t="str">
        <f>IF($A77="","",INDEX('Calculator Cost per Bucata'!$C:$C,ROW()+4))</f>
        <v/>
      </c>
      <c r="C77" s="28" t="str">
        <f>IF($A77="","",INDEX('Calculator Cost per Bucata'!$D:$D,ROW()+4))</f>
        <v/>
      </c>
      <c r="D77" s="33" t="str">
        <f>IF(INDEX('Calculator Cost per Bucata'!$Y:$Y,ROW()+4)=1,INDEX('Calculator Cost per Bucata'!$P:$P,ROW()+4),"")</f>
        <v/>
      </c>
      <c r="E77" s="33" t="str">
        <f>IF(INDEX('Calculator Cost per Bucata'!$Y:$Y,ROW()+4)=1,INDEX('Calculator Cost per Bucata'!$S:$S,ROW()+4),"")</f>
        <v/>
      </c>
      <c r="F77" s="33" t="str">
        <f>IF($A77="","",IF(N(INDEX('PI Furnizor'!$L:$L,ROW()+1))&gt;0,INDEX('PI Furnizor'!$L:$L,ROW()+1),""))</f>
        <v/>
      </c>
      <c r="G77" s="33" t="str">
        <f>IF($A77="","",IF(Comenzi!$D$6="Da",$D77,$E77))</f>
        <v/>
      </c>
      <c r="H77" s="33" t="str">
        <f>IF(OR($A77="",$F77=""),"",IF(Comenzi!$D$6="Da",IFERROR($F77/(1+INDEX('Calculator Cost per Bucata'!$AC:$AC,ROW()+4)),""),$F77))</f>
        <v/>
      </c>
      <c r="I77" s="46" t="str">
        <f t="shared" si="3"/>
        <v/>
      </c>
      <c r="J77" s="47" t="str">
        <f t="shared" si="4"/>
        <v/>
      </c>
      <c r="K77" s="48" t="str">
        <f t="shared" si="5"/>
        <v/>
      </c>
    </row>
    <row r="78" spans="1:11" x14ac:dyDescent="0.3">
      <c r="A78" s="28" t="str">
        <f>IF(INDEX('Calculator Cost per Bucata'!$A:$A,ROW()+4)="","",INDEX('Calculator Cost per Bucata'!$A:$A,ROW()+4))</f>
        <v/>
      </c>
      <c r="B78" s="28" t="str">
        <f>IF($A78="","",INDEX('Calculator Cost per Bucata'!$C:$C,ROW()+4))</f>
        <v/>
      </c>
      <c r="C78" s="28" t="str">
        <f>IF($A78="","",INDEX('Calculator Cost per Bucata'!$D:$D,ROW()+4))</f>
        <v/>
      </c>
      <c r="D78" s="33" t="str">
        <f>IF(INDEX('Calculator Cost per Bucata'!$Y:$Y,ROW()+4)=1,INDEX('Calculator Cost per Bucata'!$P:$P,ROW()+4),"")</f>
        <v/>
      </c>
      <c r="E78" s="33" t="str">
        <f>IF(INDEX('Calculator Cost per Bucata'!$Y:$Y,ROW()+4)=1,INDEX('Calculator Cost per Bucata'!$S:$S,ROW()+4),"")</f>
        <v/>
      </c>
      <c r="F78" s="33" t="str">
        <f>IF($A78="","",IF(N(INDEX('PI Furnizor'!$L:$L,ROW()+1))&gt;0,INDEX('PI Furnizor'!$L:$L,ROW()+1),""))</f>
        <v/>
      </c>
      <c r="G78" s="33" t="str">
        <f>IF($A78="","",IF(Comenzi!$D$6="Da",$D78,$E78))</f>
        <v/>
      </c>
      <c r="H78" s="33" t="str">
        <f>IF(OR($A78="",$F78=""),"",IF(Comenzi!$D$6="Da",IFERROR($F78/(1+INDEX('Calculator Cost per Bucata'!$AC:$AC,ROW()+4)),""),$F78))</f>
        <v/>
      </c>
      <c r="I78" s="46" t="str">
        <f t="shared" si="3"/>
        <v/>
      </c>
      <c r="J78" s="47" t="str">
        <f t="shared" si="4"/>
        <v/>
      </c>
      <c r="K78" s="48" t="str">
        <f t="shared" si="5"/>
        <v/>
      </c>
    </row>
    <row r="79" spans="1:11" x14ac:dyDescent="0.3">
      <c r="A79" s="28" t="str">
        <f>IF(INDEX('Calculator Cost per Bucata'!$A:$A,ROW()+4)="","",INDEX('Calculator Cost per Bucata'!$A:$A,ROW()+4))</f>
        <v/>
      </c>
      <c r="B79" s="28" t="str">
        <f>IF($A79="","",INDEX('Calculator Cost per Bucata'!$C:$C,ROW()+4))</f>
        <v/>
      </c>
      <c r="C79" s="28" t="str">
        <f>IF($A79="","",INDEX('Calculator Cost per Bucata'!$D:$D,ROW()+4))</f>
        <v/>
      </c>
      <c r="D79" s="33" t="str">
        <f>IF(INDEX('Calculator Cost per Bucata'!$Y:$Y,ROW()+4)=1,INDEX('Calculator Cost per Bucata'!$P:$P,ROW()+4),"")</f>
        <v/>
      </c>
      <c r="E79" s="33" t="str">
        <f>IF(INDEX('Calculator Cost per Bucata'!$Y:$Y,ROW()+4)=1,INDEX('Calculator Cost per Bucata'!$S:$S,ROW()+4),"")</f>
        <v/>
      </c>
      <c r="F79" s="33" t="str">
        <f>IF($A79="","",IF(N(INDEX('PI Furnizor'!$L:$L,ROW()+1))&gt;0,INDEX('PI Furnizor'!$L:$L,ROW()+1),""))</f>
        <v/>
      </c>
      <c r="G79" s="33" t="str">
        <f>IF($A79="","",IF(Comenzi!$D$6="Da",$D79,$E79))</f>
        <v/>
      </c>
      <c r="H79" s="33" t="str">
        <f>IF(OR($A79="",$F79=""),"",IF(Comenzi!$D$6="Da",IFERROR($F79/(1+INDEX('Calculator Cost per Bucata'!$AC:$AC,ROW()+4)),""),$F79))</f>
        <v/>
      </c>
      <c r="I79" s="46" t="str">
        <f t="shared" si="3"/>
        <v/>
      </c>
      <c r="J79" s="47" t="str">
        <f t="shared" si="4"/>
        <v/>
      </c>
      <c r="K79" s="48" t="str">
        <f t="shared" si="5"/>
        <v/>
      </c>
    </row>
    <row r="80" spans="1:11" x14ac:dyDescent="0.3">
      <c r="A80" s="28" t="str">
        <f>IF(INDEX('Calculator Cost per Bucata'!$A:$A,ROW()+4)="","",INDEX('Calculator Cost per Bucata'!$A:$A,ROW()+4))</f>
        <v/>
      </c>
      <c r="B80" s="28" t="str">
        <f>IF($A80="","",INDEX('Calculator Cost per Bucata'!$C:$C,ROW()+4))</f>
        <v/>
      </c>
      <c r="C80" s="28" t="str">
        <f>IF($A80="","",INDEX('Calculator Cost per Bucata'!$D:$D,ROW()+4))</f>
        <v/>
      </c>
      <c r="D80" s="33" t="str">
        <f>IF(INDEX('Calculator Cost per Bucata'!$Y:$Y,ROW()+4)=1,INDEX('Calculator Cost per Bucata'!$P:$P,ROW()+4),"")</f>
        <v/>
      </c>
      <c r="E80" s="33" t="str">
        <f>IF(INDEX('Calculator Cost per Bucata'!$Y:$Y,ROW()+4)=1,INDEX('Calculator Cost per Bucata'!$S:$S,ROW()+4),"")</f>
        <v/>
      </c>
      <c r="F80" s="33" t="str">
        <f>IF($A80="","",IF(N(INDEX('PI Furnizor'!$L:$L,ROW()+1))&gt;0,INDEX('PI Furnizor'!$L:$L,ROW()+1),""))</f>
        <v/>
      </c>
      <c r="G80" s="33" t="str">
        <f>IF($A80="","",IF(Comenzi!$D$6="Da",$D80,$E80))</f>
        <v/>
      </c>
      <c r="H80" s="33" t="str">
        <f>IF(OR($A80="",$F80=""),"",IF(Comenzi!$D$6="Da",IFERROR($F80/(1+INDEX('Calculator Cost per Bucata'!$AC:$AC,ROW()+4)),""),$F80))</f>
        <v/>
      </c>
      <c r="I80" s="46" t="str">
        <f t="shared" si="3"/>
        <v/>
      </c>
      <c r="J80" s="47" t="str">
        <f t="shared" si="4"/>
        <v/>
      </c>
      <c r="K80" s="48" t="str">
        <f t="shared" si="5"/>
        <v/>
      </c>
    </row>
    <row r="81" spans="1:11" x14ac:dyDescent="0.3">
      <c r="A81" s="28" t="str">
        <f>IF(INDEX('Calculator Cost per Bucata'!$A:$A,ROW()+4)="","",INDEX('Calculator Cost per Bucata'!$A:$A,ROW()+4))</f>
        <v/>
      </c>
      <c r="B81" s="28" t="str">
        <f>IF($A81="","",INDEX('Calculator Cost per Bucata'!$C:$C,ROW()+4))</f>
        <v/>
      </c>
      <c r="C81" s="28" t="str">
        <f>IF($A81="","",INDEX('Calculator Cost per Bucata'!$D:$D,ROW()+4))</f>
        <v/>
      </c>
      <c r="D81" s="33" t="str">
        <f>IF(INDEX('Calculator Cost per Bucata'!$Y:$Y,ROW()+4)=1,INDEX('Calculator Cost per Bucata'!$P:$P,ROW()+4),"")</f>
        <v/>
      </c>
      <c r="E81" s="33" t="str">
        <f>IF(INDEX('Calculator Cost per Bucata'!$Y:$Y,ROW()+4)=1,INDEX('Calculator Cost per Bucata'!$S:$S,ROW()+4),"")</f>
        <v/>
      </c>
      <c r="F81" s="33" t="str">
        <f>IF($A81="","",IF(N(INDEX('PI Furnizor'!$L:$L,ROW()+1))&gt;0,INDEX('PI Furnizor'!$L:$L,ROW()+1),""))</f>
        <v/>
      </c>
      <c r="G81" s="33" t="str">
        <f>IF($A81="","",IF(Comenzi!$D$6="Da",$D81,$E81))</f>
        <v/>
      </c>
      <c r="H81" s="33" t="str">
        <f>IF(OR($A81="",$F81=""),"",IF(Comenzi!$D$6="Da",IFERROR($F81/(1+INDEX('Calculator Cost per Bucata'!$AC:$AC,ROW()+4)),""),$F81))</f>
        <v/>
      </c>
      <c r="I81" s="46" t="str">
        <f t="shared" si="3"/>
        <v/>
      </c>
      <c r="J81" s="47" t="str">
        <f t="shared" si="4"/>
        <v/>
      </c>
      <c r="K81" s="48" t="str">
        <f t="shared" si="5"/>
        <v/>
      </c>
    </row>
    <row r="82" spans="1:11" x14ac:dyDescent="0.3">
      <c r="A82" s="28" t="str">
        <f>IF(INDEX('Calculator Cost per Bucata'!$A:$A,ROW()+4)="","",INDEX('Calculator Cost per Bucata'!$A:$A,ROW()+4))</f>
        <v/>
      </c>
      <c r="B82" s="28" t="str">
        <f>IF($A82="","",INDEX('Calculator Cost per Bucata'!$C:$C,ROW()+4))</f>
        <v/>
      </c>
      <c r="C82" s="28" t="str">
        <f>IF($A82="","",INDEX('Calculator Cost per Bucata'!$D:$D,ROW()+4))</f>
        <v/>
      </c>
      <c r="D82" s="33" t="str">
        <f>IF(INDEX('Calculator Cost per Bucata'!$Y:$Y,ROW()+4)=1,INDEX('Calculator Cost per Bucata'!$P:$P,ROW()+4),"")</f>
        <v/>
      </c>
      <c r="E82" s="33" t="str">
        <f>IF(INDEX('Calculator Cost per Bucata'!$Y:$Y,ROW()+4)=1,INDEX('Calculator Cost per Bucata'!$S:$S,ROW()+4),"")</f>
        <v/>
      </c>
      <c r="F82" s="33" t="str">
        <f>IF($A82="","",IF(N(INDEX('PI Furnizor'!$L:$L,ROW()+1))&gt;0,INDEX('PI Furnizor'!$L:$L,ROW()+1),""))</f>
        <v/>
      </c>
      <c r="G82" s="33" t="str">
        <f>IF($A82="","",IF(Comenzi!$D$6="Da",$D82,$E82))</f>
        <v/>
      </c>
      <c r="H82" s="33" t="str">
        <f>IF(OR($A82="",$F82=""),"",IF(Comenzi!$D$6="Da",IFERROR($F82/(1+INDEX('Calculator Cost per Bucata'!$AC:$AC,ROW()+4)),""),$F82))</f>
        <v/>
      </c>
      <c r="I82" s="46" t="str">
        <f t="shared" si="3"/>
        <v/>
      </c>
      <c r="J82" s="47" t="str">
        <f t="shared" si="4"/>
        <v/>
      </c>
      <c r="K82" s="48" t="str">
        <f t="shared" si="5"/>
        <v/>
      </c>
    </row>
    <row r="83" spans="1:11" x14ac:dyDescent="0.3">
      <c r="A83" s="28" t="str">
        <f>IF(INDEX('Calculator Cost per Bucata'!$A:$A,ROW()+4)="","",INDEX('Calculator Cost per Bucata'!$A:$A,ROW()+4))</f>
        <v/>
      </c>
      <c r="B83" s="28" t="str">
        <f>IF($A83="","",INDEX('Calculator Cost per Bucata'!$C:$C,ROW()+4))</f>
        <v/>
      </c>
      <c r="C83" s="28" t="str">
        <f>IF($A83="","",INDEX('Calculator Cost per Bucata'!$D:$D,ROW()+4))</f>
        <v/>
      </c>
      <c r="D83" s="33" t="str">
        <f>IF(INDEX('Calculator Cost per Bucata'!$Y:$Y,ROW()+4)=1,INDEX('Calculator Cost per Bucata'!$P:$P,ROW()+4),"")</f>
        <v/>
      </c>
      <c r="E83" s="33" t="str">
        <f>IF(INDEX('Calculator Cost per Bucata'!$Y:$Y,ROW()+4)=1,INDEX('Calculator Cost per Bucata'!$S:$S,ROW()+4),"")</f>
        <v/>
      </c>
      <c r="F83" s="33" t="str">
        <f>IF($A83="","",IF(N(INDEX('PI Furnizor'!$L:$L,ROW()+1))&gt;0,INDEX('PI Furnizor'!$L:$L,ROW()+1),""))</f>
        <v/>
      </c>
      <c r="G83" s="33" t="str">
        <f>IF($A83="","",IF(Comenzi!$D$6="Da",$D83,$E83))</f>
        <v/>
      </c>
      <c r="H83" s="33" t="str">
        <f>IF(OR($A83="",$F83=""),"",IF(Comenzi!$D$6="Da",IFERROR($F83/(1+INDEX('Calculator Cost per Bucata'!$AC:$AC,ROW()+4)),""),$F83))</f>
        <v/>
      </c>
      <c r="I83" s="46" t="str">
        <f t="shared" si="3"/>
        <v/>
      </c>
      <c r="J83" s="47" t="str">
        <f t="shared" si="4"/>
        <v/>
      </c>
      <c r="K83" s="48" t="str">
        <f t="shared" si="5"/>
        <v/>
      </c>
    </row>
    <row r="84" spans="1:11" x14ac:dyDescent="0.3">
      <c r="A84" s="28" t="str">
        <f>IF(INDEX('Calculator Cost per Bucata'!$A:$A,ROW()+4)="","",INDEX('Calculator Cost per Bucata'!$A:$A,ROW()+4))</f>
        <v/>
      </c>
      <c r="B84" s="28" t="str">
        <f>IF($A84="","",INDEX('Calculator Cost per Bucata'!$C:$C,ROW()+4))</f>
        <v/>
      </c>
      <c r="C84" s="28" t="str">
        <f>IF($A84="","",INDEX('Calculator Cost per Bucata'!$D:$D,ROW()+4))</f>
        <v/>
      </c>
      <c r="D84" s="33" t="str">
        <f>IF(INDEX('Calculator Cost per Bucata'!$Y:$Y,ROW()+4)=1,INDEX('Calculator Cost per Bucata'!$P:$P,ROW()+4),"")</f>
        <v/>
      </c>
      <c r="E84" s="33" t="str">
        <f>IF(INDEX('Calculator Cost per Bucata'!$Y:$Y,ROW()+4)=1,INDEX('Calculator Cost per Bucata'!$S:$S,ROW()+4),"")</f>
        <v/>
      </c>
      <c r="F84" s="33" t="str">
        <f>IF($A84="","",IF(N(INDEX('PI Furnizor'!$L:$L,ROW()+1))&gt;0,INDEX('PI Furnizor'!$L:$L,ROW()+1),""))</f>
        <v/>
      </c>
      <c r="G84" s="33" t="str">
        <f>IF($A84="","",IF(Comenzi!$D$6="Da",$D84,$E84))</f>
        <v/>
      </c>
      <c r="H84" s="33" t="str">
        <f>IF(OR($A84="",$F84=""),"",IF(Comenzi!$D$6="Da",IFERROR($F84/(1+INDEX('Calculator Cost per Bucata'!$AC:$AC,ROW()+4)),""),$F84))</f>
        <v/>
      </c>
      <c r="I84" s="46" t="str">
        <f t="shared" si="3"/>
        <v/>
      </c>
      <c r="J84" s="47" t="str">
        <f t="shared" si="4"/>
        <v/>
      </c>
      <c r="K84" s="48" t="str">
        <f t="shared" si="5"/>
        <v/>
      </c>
    </row>
    <row r="85" spans="1:11" x14ac:dyDescent="0.3">
      <c r="A85" s="28" t="str">
        <f>IF(INDEX('Calculator Cost per Bucata'!$A:$A,ROW()+4)="","",INDEX('Calculator Cost per Bucata'!$A:$A,ROW()+4))</f>
        <v/>
      </c>
      <c r="B85" s="28" t="str">
        <f>IF($A85="","",INDEX('Calculator Cost per Bucata'!$C:$C,ROW()+4))</f>
        <v/>
      </c>
      <c r="C85" s="28" t="str">
        <f>IF($A85="","",INDEX('Calculator Cost per Bucata'!$D:$D,ROW()+4))</f>
        <v/>
      </c>
      <c r="D85" s="33" t="str">
        <f>IF(INDEX('Calculator Cost per Bucata'!$Y:$Y,ROW()+4)=1,INDEX('Calculator Cost per Bucata'!$P:$P,ROW()+4),"")</f>
        <v/>
      </c>
      <c r="E85" s="33" t="str">
        <f>IF(INDEX('Calculator Cost per Bucata'!$Y:$Y,ROW()+4)=1,INDEX('Calculator Cost per Bucata'!$S:$S,ROW()+4),"")</f>
        <v/>
      </c>
      <c r="F85" s="33" t="str">
        <f>IF($A85="","",IF(N(INDEX('PI Furnizor'!$L:$L,ROW()+1))&gt;0,INDEX('PI Furnizor'!$L:$L,ROW()+1),""))</f>
        <v/>
      </c>
      <c r="G85" s="33" t="str">
        <f>IF($A85="","",IF(Comenzi!$D$6="Da",$D85,$E85))</f>
        <v/>
      </c>
      <c r="H85" s="33" t="str">
        <f>IF(OR($A85="",$F85=""),"",IF(Comenzi!$D$6="Da",IFERROR($F85/(1+INDEX('Calculator Cost per Bucata'!$AC:$AC,ROW()+4)),""),$F85))</f>
        <v/>
      </c>
      <c r="I85" s="46" t="str">
        <f t="shared" si="3"/>
        <v/>
      </c>
      <c r="J85" s="47" t="str">
        <f t="shared" si="4"/>
        <v/>
      </c>
      <c r="K85" s="48" t="str">
        <f t="shared" si="5"/>
        <v/>
      </c>
    </row>
    <row r="86" spans="1:11" x14ac:dyDescent="0.3">
      <c r="A86" s="28" t="str">
        <f>IF(INDEX('Calculator Cost per Bucata'!$A:$A,ROW()+4)="","",INDEX('Calculator Cost per Bucata'!$A:$A,ROW()+4))</f>
        <v/>
      </c>
      <c r="B86" s="28" t="str">
        <f>IF($A86="","",INDEX('Calculator Cost per Bucata'!$C:$C,ROW()+4))</f>
        <v/>
      </c>
      <c r="C86" s="28" t="str">
        <f>IF($A86="","",INDEX('Calculator Cost per Bucata'!$D:$D,ROW()+4))</f>
        <v/>
      </c>
      <c r="D86" s="33" t="str">
        <f>IF(INDEX('Calculator Cost per Bucata'!$Y:$Y,ROW()+4)=1,INDEX('Calculator Cost per Bucata'!$P:$P,ROW()+4),"")</f>
        <v/>
      </c>
      <c r="E86" s="33" t="str">
        <f>IF(INDEX('Calculator Cost per Bucata'!$Y:$Y,ROW()+4)=1,INDEX('Calculator Cost per Bucata'!$S:$S,ROW()+4),"")</f>
        <v/>
      </c>
      <c r="F86" s="33" t="str">
        <f>IF($A86="","",IF(N(INDEX('PI Furnizor'!$L:$L,ROW()+1))&gt;0,INDEX('PI Furnizor'!$L:$L,ROW()+1),""))</f>
        <v/>
      </c>
      <c r="G86" s="33" t="str">
        <f>IF($A86="","",IF(Comenzi!$D$6="Da",$D86,$E86))</f>
        <v/>
      </c>
      <c r="H86" s="33" t="str">
        <f>IF(OR($A86="",$F86=""),"",IF(Comenzi!$D$6="Da",IFERROR($F86/(1+INDEX('Calculator Cost per Bucata'!$AC:$AC,ROW()+4)),""),$F86))</f>
        <v/>
      </c>
      <c r="I86" s="46" t="str">
        <f t="shared" si="3"/>
        <v/>
      </c>
      <c r="J86" s="47" t="str">
        <f t="shared" si="4"/>
        <v/>
      </c>
      <c r="K86" s="48" t="str">
        <f t="shared" si="5"/>
        <v/>
      </c>
    </row>
    <row r="87" spans="1:11" x14ac:dyDescent="0.3">
      <c r="A87" s="28" t="str">
        <f>IF(INDEX('Calculator Cost per Bucata'!$A:$A,ROW()+4)="","",INDEX('Calculator Cost per Bucata'!$A:$A,ROW()+4))</f>
        <v/>
      </c>
      <c r="B87" s="28" t="str">
        <f>IF($A87="","",INDEX('Calculator Cost per Bucata'!$C:$C,ROW()+4))</f>
        <v/>
      </c>
      <c r="C87" s="28" t="str">
        <f>IF($A87="","",INDEX('Calculator Cost per Bucata'!$D:$D,ROW()+4))</f>
        <v/>
      </c>
      <c r="D87" s="33" t="str">
        <f>IF(INDEX('Calculator Cost per Bucata'!$Y:$Y,ROW()+4)=1,INDEX('Calculator Cost per Bucata'!$P:$P,ROW()+4),"")</f>
        <v/>
      </c>
      <c r="E87" s="33" t="str">
        <f>IF(INDEX('Calculator Cost per Bucata'!$Y:$Y,ROW()+4)=1,INDEX('Calculator Cost per Bucata'!$S:$S,ROW()+4),"")</f>
        <v/>
      </c>
      <c r="F87" s="33" t="str">
        <f>IF($A87="","",IF(N(INDEX('PI Furnizor'!$L:$L,ROW()+1))&gt;0,INDEX('PI Furnizor'!$L:$L,ROW()+1),""))</f>
        <v/>
      </c>
      <c r="G87" s="33" t="str">
        <f>IF($A87="","",IF(Comenzi!$D$6="Da",$D87,$E87))</f>
        <v/>
      </c>
      <c r="H87" s="33" t="str">
        <f>IF(OR($A87="",$F87=""),"",IF(Comenzi!$D$6="Da",IFERROR($F87/(1+INDEX('Calculator Cost per Bucata'!$AC:$AC,ROW()+4)),""),$F87))</f>
        <v/>
      </c>
      <c r="I87" s="46" t="str">
        <f t="shared" si="3"/>
        <v/>
      </c>
      <c r="J87" s="47" t="str">
        <f t="shared" si="4"/>
        <v/>
      </c>
      <c r="K87" s="48" t="str">
        <f t="shared" si="5"/>
        <v/>
      </c>
    </row>
    <row r="88" spans="1:11" x14ac:dyDescent="0.3">
      <c r="A88" s="28" t="str">
        <f>IF(INDEX('Calculator Cost per Bucata'!$A:$A,ROW()+4)="","",INDEX('Calculator Cost per Bucata'!$A:$A,ROW()+4))</f>
        <v/>
      </c>
      <c r="B88" s="28" t="str">
        <f>IF($A88="","",INDEX('Calculator Cost per Bucata'!$C:$C,ROW()+4))</f>
        <v/>
      </c>
      <c r="C88" s="28" t="str">
        <f>IF($A88="","",INDEX('Calculator Cost per Bucata'!$D:$D,ROW()+4))</f>
        <v/>
      </c>
      <c r="D88" s="33" t="str">
        <f>IF(INDEX('Calculator Cost per Bucata'!$Y:$Y,ROW()+4)=1,INDEX('Calculator Cost per Bucata'!$P:$P,ROW()+4),"")</f>
        <v/>
      </c>
      <c r="E88" s="33" t="str">
        <f>IF(INDEX('Calculator Cost per Bucata'!$Y:$Y,ROW()+4)=1,INDEX('Calculator Cost per Bucata'!$S:$S,ROW()+4),"")</f>
        <v/>
      </c>
      <c r="F88" s="33" t="str">
        <f>IF($A88="","",IF(N(INDEX('PI Furnizor'!$L:$L,ROW()+1))&gt;0,INDEX('PI Furnizor'!$L:$L,ROW()+1),""))</f>
        <v/>
      </c>
      <c r="G88" s="33" t="str">
        <f>IF($A88="","",IF(Comenzi!$D$6="Da",$D88,$E88))</f>
        <v/>
      </c>
      <c r="H88" s="33" t="str">
        <f>IF(OR($A88="",$F88=""),"",IF(Comenzi!$D$6="Da",IFERROR($F88/(1+INDEX('Calculator Cost per Bucata'!$AC:$AC,ROW()+4)),""),$F88))</f>
        <v/>
      </c>
      <c r="I88" s="46" t="str">
        <f t="shared" si="3"/>
        <v/>
      </c>
      <c r="J88" s="47" t="str">
        <f t="shared" si="4"/>
        <v/>
      </c>
      <c r="K88" s="48" t="str">
        <f t="shared" si="5"/>
        <v/>
      </c>
    </row>
    <row r="89" spans="1:11" x14ac:dyDescent="0.3">
      <c r="A89" s="28" t="str">
        <f>IF(INDEX('Calculator Cost per Bucata'!$A:$A,ROW()+4)="","",INDEX('Calculator Cost per Bucata'!$A:$A,ROW()+4))</f>
        <v/>
      </c>
      <c r="B89" s="28" t="str">
        <f>IF($A89="","",INDEX('Calculator Cost per Bucata'!$C:$C,ROW()+4))</f>
        <v/>
      </c>
      <c r="C89" s="28" t="str">
        <f>IF($A89="","",INDEX('Calculator Cost per Bucata'!$D:$D,ROW()+4))</f>
        <v/>
      </c>
      <c r="D89" s="33" t="str">
        <f>IF(INDEX('Calculator Cost per Bucata'!$Y:$Y,ROW()+4)=1,INDEX('Calculator Cost per Bucata'!$P:$P,ROW()+4),"")</f>
        <v/>
      </c>
      <c r="E89" s="33" t="str">
        <f>IF(INDEX('Calculator Cost per Bucata'!$Y:$Y,ROW()+4)=1,INDEX('Calculator Cost per Bucata'!$S:$S,ROW()+4),"")</f>
        <v/>
      </c>
      <c r="F89" s="33" t="str">
        <f>IF($A89="","",IF(N(INDEX('PI Furnizor'!$L:$L,ROW()+1))&gt;0,INDEX('PI Furnizor'!$L:$L,ROW()+1),""))</f>
        <v/>
      </c>
      <c r="G89" s="33" t="str">
        <f>IF($A89="","",IF(Comenzi!$D$6="Da",$D89,$E89))</f>
        <v/>
      </c>
      <c r="H89" s="33" t="str">
        <f>IF(OR($A89="",$F89=""),"",IF(Comenzi!$D$6="Da",IFERROR($F89/(1+INDEX('Calculator Cost per Bucata'!$AC:$AC,ROW()+4)),""),$F89))</f>
        <v/>
      </c>
      <c r="I89" s="46" t="str">
        <f t="shared" si="3"/>
        <v/>
      </c>
      <c r="J89" s="47" t="str">
        <f t="shared" si="4"/>
        <v/>
      </c>
      <c r="K89" s="48" t="str">
        <f t="shared" si="5"/>
        <v/>
      </c>
    </row>
    <row r="90" spans="1:11" x14ac:dyDescent="0.3">
      <c r="A90" s="28" t="str">
        <f>IF(INDEX('Calculator Cost per Bucata'!$A:$A,ROW()+4)="","",INDEX('Calculator Cost per Bucata'!$A:$A,ROW()+4))</f>
        <v/>
      </c>
      <c r="B90" s="28" t="str">
        <f>IF($A90="","",INDEX('Calculator Cost per Bucata'!$C:$C,ROW()+4))</f>
        <v/>
      </c>
      <c r="C90" s="28" t="str">
        <f>IF($A90="","",INDEX('Calculator Cost per Bucata'!$D:$D,ROW()+4))</f>
        <v/>
      </c>
      <c r="D90" s="33" t="str">
        <f>IF(INDEX('Calculator Cost per Bucata'!$Y:$Y,ROW()+4)=1,INDEX('Calculator Cost per Bucata'!$P:$P,ROW()+4),"")</f>
        <v/>
      </c>
      <c r="E90" s="33" t="str">
        <f>IF(INDEX('Calculator Cost per Bucata'!$Y:$Y,ROW()+4)=1,INDEX('Calculator Cost per Bucata'!$S:$S,ROW()+4),"")</f>
        <v/>
      </c>
      <c r="F90" s="33" t="str">
        <f>IF($A90="","",IF(N(INDEX('PI Furnizor'!$L:$L,ROW()+1))&gt;0,INDEX('PI Furnizor'!$L:$L,ROW()+1),""))</f>
        <v/>
      </c>
      <c r="G90" s="33" t="str">
        <f>IF($A90="","",IF(Comenzi!$D$6="Da",$D90,$E90))</f>
        <v/>
      </c>
      <c r="H90" s="33" t="str">
        <f>IF(OR($A90="",$F90=""),"",IF(Comenzi!$D$6="Da",IFERROR($F90/(1+INDEX('Calculator Cost per Bucata'!$AC:$AC,ROW()+4)),""),$F90))</f>
        <v/>
      </c>
      <c r="I90" s="46" t="str">
        <f t="shared" si="3"/>
        <v/>
      </c>
      <c r="J90" s="47" t="str">
        <f t="shared" si="4"/>
        <v/>
      </c>
      <c r="K90" s="48" t="str">
        <f t="shared" si="5"/>
        <v/>
      </c>
    </row>
    <row r="91" spans="1:11" x14ac:dyDescent="0.3">
      <c r="A91" s="28" t="str">
        <f>IF(INDEX('Calculator Cost per Bucata'!$A:$A,ROW()+4)="","",INDEX('Calculator Cost per Bucata'!$A:$A,ROW()+4))</f>
        <v/>
      </c>
      <c r="B91" s="28" t="str">
        <f>IF($A91="","",INDEX('Calculator Cost per Bucata'!$C:$C,ROW()+4))</f>
        <v/>
      </c>
      <c r="C91" s="28" t="str">
        <f>IF($A91="","",INDEX('Calculator Cost per Bucata'!$D:$D,ROW()+4))</f>
        <v/>
      </c>
      <c r="D91" s="33" t="str">
        <f>IF(INDEX('Calculator Cost per Bucata'!$Y:$Y,ROW()+4)=1,INDEX('Calculator Cost per Bucata'!$P:$P,ROW()+4),"")</f>
        <v/>
      </c>
      <c r="E91" s="33" t="str">
        <f>IF(INDEX('Calculator Cost per Bucata'!$Y:$Y,ROW()+4)=1,INDEX('Calculator Cost per Bucata'!$S:$S,ROW()+4),"")</f>
        <v/>
      </c>
      <c r="F91" s="33" t="str">
        <f>IF($A91="","",IF(N(INDEX('PI Furnizor'!$L:$L,ROW()+1))&gt;0,INDEX('PI Furnizor'!$L:$L,ROW()+1),""))</f>
        <v/>
      </c>
      <c r="G91" s="33" t="str">
        <f>IF($A91="","",IF(Comenzi!$D$6="Da",$D91,$E91))</f>
        <v/>
      </c>
      <c r="H91" s="33" t="str">
        <f>IF(OR($A91="",$F91=""),"",IF(Comenzi!$D$6="Da",IFERROR($F91/(1+INDEX('Calculator Cost per Bucata'!$AC:$AC,ROW()+4)),""),$F91))</f>
        <v/>
      </c>
      <c r="I91" s="46" t="str">
        <f t="shared" si="3"/>
        <v/>
      </c>
      <c r="J91" s="47" t="str">
        <f t="shared" si="4"/>
        <v/>
      </c>
      <c r="K91" s="48" t="str">
        <f t="shared" si="5"/>
        <v/>
      </c>
    </row>
    <row r="92" spans="1:11" x14ac:dyDescent="0.3">
      <c r="A92" s="28" t="str">
        <f>IF(INDEX('Calculator Cost per Bucata'!$A:$A,ROW()+4)="","",INDEX('Calculator Cost per Bucata'!$A:$A,ROW()+4))</f>
        <v/>
      </c>
      <c r="B92" s="28" t="str">
        <f>IF($A92="","",INDEX('Calculator Cost per Bucata'!$C:$C,ROW()+4))</f>
        <v/>
      </c>
      <c r="C92" s="28" t="str">
        <f>IF($A92="","",INDEX('Calculator Cost per Bucata'!$D:$D,ROW()+4))</f>
        <v/>
      </c>
      <c r="D92" s="33" t="str">
        <f>IF(INDEX('Calculator Cost per Bucata'!$Y:$Y,ROW()+4)=1,INDEX('Calculator Cost per Bucata'!$P:$P,ROW()+4),"")</f>
        <v/>
      </c>
      <c r="E92" s="33" t="str">
        <f>IF(INDEX('Calculator Cost per Bucata'!$Y:$Y,ROW()+4)=1,INDEX('Calculator Cost per Bucata'!$S:$S,ROW()+4),"")</f>
        <v/>
      </c>
      <c r="F92" s="33" t="str">
        <f>IF($A92="","",IF(N(INDEX('PI Furnizor'!$L:$L,ROW()+1))&gt;0,INDEX('PI Furnizor'!$L:$L,ROW()+1),""))</f>
        <v/>
      </c>
      <c r="G92" s="33" t="str">
        <f>IF($A92="","",IF(Comenzi!$D$6="Da",$D92,$E92))</f>
        <v/>
      </c>
      <c r="H92" s="33" t="str">
        <f>IF(OR($A92="",$F92=""),"",IF(Comenzi!$D$6="Da",IFERROR($F92/(1+INDEX('Calculator Cost per Bucata'!$AC:$AC,ROW()+4)),""),$F92))</f>
        <v/>
      </c>
      <c r="I92" s="46" t="str">
        <f t="shared" si="3"/>
        <v/>
      </c>
      <c r="J92" s="47" t="str">
        <f t="shared" si="4"/>
        <v/>
      </c>
      <c r="K92" s="48" t="str">
        <f t="shared" si="5"/>
        <v/>
      </c>
    </row>
    <row r="93" spans="1:11" x14ac:dyDescent="0.3">
      <c r="A93" s="28" t="str">
        <f>IF(INDEX('Calculator Cost per Bucata'!$A:$A,ROW()+4)="","",INDEX('Calculator Cost per Bucata'!$A:$A,ROW()+4))</f>
        <v/>
      </c>
      <c r="B93" s="28" t="str">
        <f>IF($A93="","",INDEX('Calculator Cost per Bucata'!$C:$C,ROW()+4))</f>
        <v/>
      </c>
      <c r="C93" s="28" t="str">
        <f>IF($A93="","",INDEX('Calculator Cost per Bucata'!$D:$D,ROW()+4))</f>
        <v/>
      </c>
      <c r="D93" s="33" t="str">
        <f>IF(INDEX('Calculator Cost per Bucata'!$Y:$Y,ROW()+4)=1,INDEX('Calculator Cost per Bucata'!$P:$P,ROW()+4),"")</f>
        <v/>
      </c>
      <c r="E93" s="33" t="str">
        <f>IF(INDEX('Calculator Cost per Bucata'!$Y:$Y,ROW()+4)=1,INDEX('Calculator Cost per Bucata'!$S:$S,ROW()+4),"")</f>
        <v/>
      </c>
      <c r="F93" s="33" t="str">
        <f>IF($A93="","",IF(N(INDEX('PI Furnizor'!$L:$L,ROW()+1))&gt;0,INDEX('PI Furnizor'!$L:$L,ROW()+1),""))</f>
        <v/>
      </c>
      <c r="G93" s="33" t="str">
        <f>IF($A93="","",IF(Comenzi!$D$6="Da",$D93,$E93))</f>
        <v/>
      </c>
      <c r="H93" s="33" t="str">
        <f>IF(OR($A93="",$F93=""),"",IF(Comenzi!$D$6="Da",IFERROR($F93/(1+INDEX('Calculator Cost per Bucata'!$AC:$AC,ROW()+4)),""),$F93))</f>
        <v/>
      </c>
      <c r="I93" s="46" t="str">
        <f t="shared" si="3"/>
        <v/>
      </c>
      <c r="J93" s="47" t="str">
        <f t="shared" si="4"/>
        <v/>
      </c>
      <c r="K93" s="48" t="str">
        <f t="shared" si="5"/>
        <v/>
      </c>
    </row>
    <row r="94" spans="1:11" x14ac:dyDescent="0.3">
      <c r="A94" s="28" t="str">
        <f>IF(INDEX('Calculator Cost per Bucata'!$A:$A,ROW()+4)="","",INDEX('Calculator Cost per Bucata'!$A:$A,ROW()+4))</f>
        <v/>
      </c>
      <c r="B94" s="28" t="str">
        <f>IF($A94="","",INDEX('Calculator Cost per Bucata'!$C:$C,ROW()+4))</f>
        <v/>
      </c>
      <c r="C94" s="28" t="str">
        <f>IF($A94="","",INDEX('Calculator Cost per Bucata'!$D:$D,ROW()+4))</f>
        <v/>
      </c>
      <c r="D94" s="33" t="str">
        <f>IF(INDEX('Calculator Cost per Bucata'!$Y:$Y,ROW()+4)=1,INDEX('Calculator Cost per Bucata'!$P:$P,ROW()+4),"")</f>
        <v/>
      </c>
      <c r="E94" s="33" t="str">
        <f>IF(INDEX('Calculator Cost per Bucata'!$Y:$Y,ROW()+4)=1,INDEX('Calculator Cost per Bucata'!$S:$S,ROW()+4),"")</f>
        <v/>
      </c>
      <c r="F94" s="33" t="str">
        <f>IF($A94="","",IF(N(INDEX('PI Furnizor'!$L:$L,ROW()+1))&gt;0,INDEX('PI Furnizor'!$L:$L,ROW()+1),""))</f>
        <v/>
      </c>
      <c r="G94" s="33" t="str">
        <f>IF($A94="","",IF(Comenzi!$D$6="Da",$D94,$E94))</f>
        <v/>
      </c>
      <c r="H94" s="33" t="str">
        <f>IF(OR($A94="",$F94=""),"",IF(Comenzi!$D$6="Da",IFERROR($F94/(1+INDEX('Calculator Cost per Bucata'!$AC:$AC,ROW()+4)),""),$F94))</f>
        <v/>
      </c>
      <c r="I94" s="46" t="str">
        <f t="shared" si="3"/>
        <v/>
      </c>
      <c r="J94" s="47" t="str">
        <f t="shared" si="4"/>
        <v/>
      </c>
      <c r="K94" s="48" t="str">
        <f t="shared" si="5"/>
        <v/>
      </c>
    </row>
    <row r="95" spans="1:11" x14ac:dyDescent="0.3">
      <c r="A95" s="28" t="str">
        <f>IF(INDEX('Calculator Cost per Bucata'!$A:$A,ROW()+4)="","",INDEX('Calculator Cost per Bucata'!$A:$A,ROW()+4))</f>
        <v/>
      </c>
      <c r="B95" s="28" t="str">
        <f>IF($A95="","",INDEX('Calculator Cost per Bucata'!$C:$C,ROW()+4))</f>
        <v/>
      </c>
      <c r="C95" s="28" t="str">
        <f>IF($A95="","",INDEX('Calculator Cost per Bucata'!$D:$D,ROW()+4))</f>
        <v/>
      </c>
      <c r="D95" s="33" t="str">
        <f>IF(INDEX('Calculator Cost per Bucata'!$Y:$Y,ROW()+4)=1,INDEX('Calculator Cost per Bucata'!$P:$P,ROW()+4),"")</f>
        <v/>
      </c>
      <c r="E95" s="33" t="str">
        <f>IF(INDEX('Calculator Cost per Bucata'!$Y:$Y,ROW()+4)=1,INDEX('Calculator Cost per Bucata'!$S:$S,ROW()+4),"")</f>
        <v/>
      </c>
      <c r="F95" s="33" t="str">
        <f>IF($A95="","",IF(N(INDEX('PI Furnizor'!$L:$L,ROW()+1))&gt;0,INDEX('PI Furnizor'!$L:$L,ROW()+1),""))</f>
        <v/>
      </c>
      <c r="G95" s="33" t="str">
        <f>IF($A95="","",IF(Comenzi!$D$6="Da",$D95,$E95))</f>
        <v/>
      </c>
      <c r="H95" s="33" t="str">
        <f>IF(OR($A95="",$F95=""),"",IF(Comenzi!$D$6="Da",IFERROR($F95/(1+INDEX('Calculator Cost per Bucata'!$AC:$AC,ROW()+4)),""),$F95))</f>
        <v/>
      </c>
      <c r="I95" s="46" t="str">
        <f t="shared" si="3"/>
        <v/>
      </c>
      <c r="J95" s="47" t="str">
        <f t="shared" si="4"/>
        <v/>
      </c>
      <c r="K95" s="48" t="str">
        <f t="shared" si="5"/>
        <v/>
      </c>
    </row>
    <row r="96" spans="1:11" x14ac:dyDescent="0.3">
      <c r="A96" s="28" t="str">
        <f>IF(INDEX('Calculator Cost per Bucata'!$A:$A,ROW()+4)="","",INDEX('Calculator Cost per Bucata'!$A:$A,ROW()+4))</f>
        <v/>
      </c>
      <c r="B96" s="28" t="str">
        <f>IF($A96="","",INDEX('Calculator Cost per Bucata'!$C:$C,ROW()+4))</f>
        <v/>
      </c>
      <c r="C96" s="28" t="str">
        <f>IF($A96="","",INDEX('Calculator Cost per Bucata'!$D:$D,ROW()+4))</f>
        <v/>
      </c>
      <c r="D96" s="33" t="str">
        <f>IF(INDEX('Calculator Cost per Bucata'!$Y:$Y,ROW()+4)=1,INDEX('Calculator Cost per Bucata'!$P:$P,ROW()+4),"")</f>
        <v/>
      </c>
      <c r="E96" s="33" t="str">
        <f>IF(INDEX('Calculator Cost per Bucata'!$Y:$Y,ROW()+4)=1,INDEX('Calculator Cost per Bucata'!$S:$S,ROW()+4),"")</f>
        <v/>
      </c>
      <c r="F96" s="33" t="str">
        <f>IF($A96="","",IF(N(INDEX('PI Furnizor'!$L:$L,ROW()+1))&gt;0,INDEX('PI Furnizor'!$L:$L,ROW()+1),""))</f>
        <v/>
      </c>
      <c r="G96" s="33" t="str">
        <f>IF($A96="","",IF(Comenzi!$D$6="Da",$D96,$E96))</f>
        <v/>
      </c>
      <c r="H96" s="33" t="str">
        <f>IF(OR($A96="",$F96=""),"",IF(Comenzi!$D$6="Da",IFERROR($F96/(1+INDEX('Calculator Cost per Bucata'!$AC:$AC,ROW()+4)),""),$F96))</f>
        <v/>
      </c>
      <c r="I96" s="46" t="str">
        <f t="shared" si="3"/>
        <v/>
      </c>
      <c r="J96" s="47" t="str">
        <f t="shared" si="4"/>
        <v/>
      </c>
      <c r="K96" s="48" t="str">
        <f t="shared" si="5"/>
        <v/>
      </c>
    </row>
    <row r="97" spans="1:11" x14ac:dyDescent="0.3">
      <c r="A97" s="28" t="str">
        <f>IF(INDEX('Calculator Cost per Bucata'!$A:$A,ROW()+4)="","",INDEX('Calculator Cost per Bucata'!$A:$A,ROW()+4))</f>
        <v/>
      </c>
      <c r="B97" s="28" t="str">
        <f>IF($A97="","",INDEX('Calculator Cost per Bucata'!$C:$C,ROW()+4))</f>
        <v/>
      </c>
      <c r="C97" s="28" t="str">
        <f>IF($A97="","",INDEX('Calculator Cost per Bucata'!$D:$D,ROW()+4))</f>
        <v/>
      </c>
      <c r="D97" s="33" t="str">
        <f>IF(INDEX('Calculator Cost per Bucata'!$Y:$Y,ROW()+4)=1,INDEX('Calculator Cost per Bucata'!$P:$P,ROW()+4),"")</f>
        <v/>
      </c>
      <c r="E97" s="33" t="str">
        <f>IF(INDEX('Calculator Cost per Bucata'!$Y:$Y,ROW()+4)=1,INDEX('Calculator Cost per Bucata'!$S:$S,ROW()+4),"")</f>
        <v/>
      </c>
      <c r="F97" s="33" t="str">
        <f>IF($A97="","",IF(N(INDEX('PI Furnizor'!$L:$L,ROW()+1))&gt;0,INDEX('PI Furnizor'!$L:$L,ROW()+1),""))</f>
        <v/>
      </c>
      <c r="G97" s="33" t="str">
        <f>IF($A97="","",IF(Comenzi!$D$6="Da",$D97,$E97))</f>
        <v/>
      </c>
      <c r="H97" s="33" t="str">
        <f>IF(OR($A97="",$F97=""),"",IF(Comenzi!$D$6="Da",IFERROR($F97/(1+INDEX('Calculator Cost per Bucata'!$AC:$AC,ROW()+4)),""),$F97))</f>
        <v/>
      </c>
      <c r="I97" s="46" t="str">
        <f t="shared" si="3"/>
        <v/>
      </c>
      <c r="J97" s="47" t="str">
        <f t="shared" si="4"/>
        <v/>
      </c>
      <c r="K97" s="48" t="str">
        <f t="shared" si="5"/>
        <v/>
      </c>
    </row>
    <row r="98" spans="1:11" x14ac:dyDescent="0.3">
      <c r="A98" s="28" t="str">
        <f>IF(INDEX('Calculator Cost per Bucata'!$A:$A,ROW()+4)="","",INDEX('Calculator Cost per Bucata'!$A:$A,ROW()+4))</f>
        <v/>
      </c>
      <c r="B98" s="28" t="str">
        <f>IF($A98="","",INDEX('Calculator Cost per Bucata'!$C:$C,ROW()+4))</f>
        <v/>
      </c>
      <c r="C98" s="28" t="str">
        <f>IF($A98="","",INDEX('Calculator Cost per Bucata'!$D:$D,ROW()+4))</f>
        <v/>
      </c>
      <c r="D98" s="33" t="str">
        <f>IF(INDEX('Calculator Cost per Bucata'!$Y:$Y,ROW()+4)=1,INDEX('Calculator Cost per Bucata'!$P:$P,ROW()+4),"")</f>
        <v/>
      </c>
      <c r="E98" s="33" t="str">
        <f>IF(INDEX('Calculator Cost per Bucata'!$Y:$Y,ROW()+4)=1,INDEX('Calculator Cost per Bucata'!$S:$S,ROW()+4),"")</f>
        <v/>
      </c>
      <c r="F98" s="33" t="str">
        <f>IF($A98="","",IF(N(INDEX('PI Furnizor'!$L:$L,ROW()+1))&gt;0,INDEX('PI Furnizor'!$L:$L,ROW()+1),""))</f>
        <v/>
      </c>
      <c r="G98" s="33" t="str">
        <f>IF($A98="","",IF(Comenzi!$D$6="Da",$D98,$E98))</f>
        <v/>
      </c>
      <c r="H98" s="33" t="str">
        <f>IF(OR($A98="",$F98=""),"",IF(Comenzi!$D$6="Da",IFERROR($F98/(1+INDEX('Calculator Cost per Bucata'!$AC:$AC,ROW()+4)),""),$F98))</f>
        <v/>
      </c>
      <c r="I98" s="46" t="str">
        <f t="shared" si="3"/>
        <v/>
      </c>
      <c r="J98" s="47" t="str">
        <f t="shared" si="4"/>
        <v/>
      </c>
      <c r="K98" s="48" t="str">
        <f t="shared" si="5"/>
        <v/>
      </c>
    </row>
    <row r="99" spans="1:11" x14ac:dyDescent="0.3">
      <c r="A99" s="28" t="str">
        <f>IF(INDEX('Calculator Cost per Bucata'!$A:$A,ROW()+4)="","",INDEX('Calculator Cost per Bucata'!$A:$A,ROW()+4))</f>
        <v/>
      </c>
      <c r="B99" s="28" t="str">
        <f>IF($A99="","",INDEX('Calculator Cost per Bucata'!$C:$C,ROW()+4))</f>
        <v/>
      </c>
      <c r="C99" s="28" t="str">
        <f>IF($A99="","",INDEX('Calculator Cost per Bucata'!$D:$D,ROW()+4))</f>
        <v/>
      </c>
      <c r="D99" s="33" t="str">
        <f>IF(INDEX('Calculator Cost per Bucata'!$Y:$Y,ROW()+4)=1,INDEX('Calculator Cost per Bucata'!$P:$P,ROW()+4),"")</f>
        <v/>
      </c>
      <c r="E99" s="33" t="str">
        <f>IF(INDEX('Calculator Cost per Bucata'!$Y:$Y,ROW()+4)=1,INDEX('Calculator Cost per Bucata'!$S:$S,ROW()+4),"")</f>
        <v/>
      </c>
      <c r="F99" s="33" t="str">
        <f>IF($A99="","",IF(N(INDEX('PI Furnizor'!$L:$L,ROW()+1))&gt;0,INDEX('PI Furnizor'!$L:$L,ROW()+1),""))</f>
        <v/>
      </c>
      <c r="G99" s="33" t="str">
        <f>IF($A99="","",IF(Comenzi!$D$6="Da",$D99,$E99))</f>
        <v/>
      </c>
      <c r="H99" s="33" t="str">
        <f>IF(OR($A99="",$F99=""),"",IF(Comenzi!$D$6="Da",IFERROR($F99/(1+INDEX('Calculator Cost per Bucata'!$AC:$AC,ROW()+4)),""),$F99))</f>
        <v/>
      </c>
      <c r="I99" s="46" t="str">
        <f t="shared" si="3"/>
        <v/>
      </c>
      <c r="J99" s="47" t="str">
        <f t="shared" si="4"/>
        <v/>
      </c>
      <c r="K99" s="48" t="str">
        <f t="shared" si="5"/>
        <v/>
      </c>
    </row>
    <row r="100" spans="1:11" x14ac:dyDescent="0.3">
      <c r="A100" s="28" t="str">
        <f>IF(INDEX('Calculator Cost per Bucata'!$A:$A,ROW()+4)="","",INDEX('Calculator Cost per Bucata'!$A:$A,ROW()+4))</f>
        <v/>
      </c>
      <c r="B100" s="28" t="str">
        <f>IF($A100="","",INDEX('Calculator Cost per Bucata'!$C:$C,ROW()+4))</f>
        <v/>
      </c>
      <c r="C100" s="28" t="str">
        <f>IF($A100="","",INDEX('Calculator Cost per Bucata'!$D:$D,ROW()+4))</f>
        <v/>
      </c>
      <c r="D100" s="33" t="str">
        <f>IF(INDEX('Calculator Cost per Bucata'!$Y:$Y,ROW()+4)=1,INDEX('Calculator Cost per Bucata'!$P:$P,ROW()+4),"")</f>
        <v/>
      </c>
      <c r="E100" s="33" t="str">
        <f>IF(INDEX('Calculator Cost per Bucata'!$Y:$Y,ROW()+4)=1,INDEX('Calculator Cost per Bucata'!$S:$S,ROW()+4),"")</f>
        <v/>
      </c>
      <c r="F100" s="33" t="str">
        <f>IF($A100="","",IF(N(INDEX('PI Furnizor'!$L:$L,ROW()+1))&gt;0,INDEX('PI Furnizor'!$L:$L,ROW()+1),""))</f>
        <v/>
      </c>
      <c r="G100" s="33" t="str">
        <f>IF($A100="","",IF(Comenzi!$D$6="Da",$D100,$E100))</f>
        <v/>
      </c>
      <c r="H100" s="33" t="str">
        <f>IF(OR($A100="",$F100=""),"",IF(Comenzi!$D$6="Da",IFERROR($F100/(1+INDEX('Calculator Cost per Bucata'!$AC:$AC,ROW()+4)),""),$F100))</f>
        <v/>
      </c>
      <c r="I100" s="46" t="str">
        <f t="shared" si="3"/>
        <v/>
      </c>
      <c r="J100" s="47" t="str">
        <f t="shared" si="4"/>
        <v/>
      </c>
      <c r="K100" s="48" t="str">
        <f t="shared" si="5"/>
        <v/>
      </c>
    </row>
    <row r="101" spans="1:11" x14ac:dyDescent="0.3">
      <c r="A101" s="28" t="str">
        <f>IF(INDEX('Calculator Cost per Bucata'!$A:$A,ROW()+4)="","",INDEX('Calculator Cost per Bucata'!$A:$A,ROW()+4))</f>
        <v/>
      </c>
      <c r="B101" s="28" t="str">
        <f>IF($A101="","",INDEX('Calculator Cost per Bucata'!$C:$C,ROW()+4))</f>
        <v/>
      </c>
      <c r="C101" s="28" t="str">
        <f>IF($A101="","",INDEX('Calculator Cost per Bucata'!$D:$D,ROW()+4))</f>
        <v/>
      </c>
      <c r="D101" s="33" t="str">
        <f>IF(INDEX('Calculator Cost per Bucata'!$Y:$Y,ROW()+4)=1,INDEX('Calculator Cost per Bucata'!$P:$P,ROW()+4),"")</f>
        <v/>
      </c>
      <c r="E101" s="33" t="str">
        <f>IF(INDEX('Calculator Cost per Bucata'!$Y:$Y,ROW()+4)=1,INDEX('Calculator Cost per Bucata'!$S:$S,ROW()+4),"")</f>
        <v/>
      </c>
      <c r="F101" s="33" t="str">
        <f>IF($A101="","",IF(N(INDEX('PI Furnizor'!$L:$L,ROW()+1))&gt;0,INDEX('PI Furnizor'!$L:$L,ROW()+1),""))</f>
        <v/>
      </c>
      <c r="G101" s="33" t="str">
        <f>IF($A101="","",IF(Comenzi!$D$6="Da",$D101,$E101))</f>
        <v/>
      </c>
      <c r="H101" s="33" t="str">
        <f>IF(OR($A101="",$F101=""),"",IF(Comenzi!$D$6="Da",IFERROR($F101/(1+INDEX('Calculator Cost per Bucata'!$AC:$AC,ROW()+4)),""),$F101))</f>
        <v/>
      </c>
      <c r="I101" s="46" t="str">
        <f t="shared" si="3"/>
        <v/>
      </c>
      <c r="J101" s="47" t="str">
        <f t="shared" si="4"/>
        <v/>
      </c>
      <c r="K101" s="48" t="str">
        <f t="shared" si="5"/>
        <v/>
      </c>
    </row>
    <row r="102" spans="1:11" x14ac:dyDescent="0.3">
      <c r="A102" s="28" t="str">
        <f>IF(INDEX('Calculator Cost per Bucata'!$A:$A,ROW()+4)="","",INDEX('Calculator Cost per Bucata'!$A:$A,ROW()+4))</f>
        <v/>
      </c>
      <c r="B102" s="28" t="str">
        <f>IF($A102="","",INDEX('Calculator Cost per Bucata'!$C:$C,ROW()+4))</f>
        <v/>
      </c>
      <c r="C102" s="28" t="str">
        <f>IF($A102="","",INDEX('Calculator Cost per Bucata'!$D:$D,ROW()+4))</f>
        <v/>
      </c>
      <c r="D102" s="33" t="str">
        <f>IF(INDEX('Calculator Cost per Bucata'!$Y:$Y,ROW()+4)=1,INDEX('Calculator Cost per Bucata'!$P:$P,ROW()+4),"")</f>
        <v/>
      </c>
      <c r="E102" s="33" t="str">
        <f>IF(INDEX('Calculator Cost per Bucata'!$Y:$Y,ROW()+4)=1,INDEX('Calculator Cost per Bucata'!$S:$S,ROW()+4),"")</f>
        <v/>
      </c>
      <c r="F102" s="33" t="str">
        <f>IF($A102="","",IF(N(INDEX('PI Furnizor'!$L:$L,ROW()+1))&gt;0,INDEX('PI Furnizor'!$L:$L,ROW()+1),""))</f>
        <v/>
      </c>
      <c r="G102" s="33" t="str">
        <f>IF($A102="","",IF(Comenzi!$D$6="Da",$D102,$E102))</f>
        <v/>
      </c>
      <c r="H102" s="33" t="str">
        <f>IF(OR($A102="",$F102=""),"",IF(Comenzi!$D$6="Da",IFERROR($F102/(1+INDEX('Calculator Cost per Bucata'!$AC:$AC,ROW()+4)),""),$F102))</f>
        <v/>
      </c>
      <c r="I102" s="46" t="str">
        <f t="shared" si="3"/>
        <v/>
      </c>
      <c r="J102" s="47" t="str">
        <f t="shared" si="4"/>
        <v/>
      </c>
      <c r="K102" s="48" t="str">
        <f t="shared" si="5"/>
        <v/>
      </c>
    </row>
    <row r="103" spans="1:11" x14ac:dyDescent="0.3">
      <c r="A103" s="28" t="str">
        <f>IF(INDEX('Calculator Cost per Bucata'!$A:$A,ROW()+4)="","",INDEX('Calculator Cost per Bucata'!$A:$A,ROW()+4))</f>
        <v/>
      </c>
      <c r="B103" s="28" t="str">
        <f>IF($A103="","",INDEX('Calculator Cost per Bucata'!$C:$C,ROW()+4))</f>
        <v/>
      </c>
      <c r="C103" s="28" t="str">
        <f>IF($A103="","",INDEX('Calculator Cost per Bucata'!$D:$D,ROW()+4))</f>
        <v/>
      </c>
      <c r="D103" s="33" t="str">
        <f>IF(INDEX('Calculator Cost per Bucata'!$Y:$Y,ROW()+4)=1,INDEX('Calculator Cost per Bucata'!$P:$P,ROW()+4),"")</f>
        <v/>
      </c>
      <c r="E103" s="33" t="str">
        <f>IF(INDEX('Calculator Cost per Bucata'!$Y:$Y,ROW()+4)=1,INDEX('Calculator Cost per Bucata'!$S:$S,ROW()+4),"")</f>
        <v/>
      </c>
      <c r="F103" s="33" t="str">
        <f>IF($A103="","",IF(N(INDEX('PI Furnizor'!$L:$L,ROW()+1))&gt;0,INDEX('PI Furnizor'!$L:$L,ROW()+1),""))</f>
        <v/>
      </c>
      <c r="G103" s="33" t="str">
        <f>IF($A103="","",IF(Comenzi!$D$6="Da",$D103,$E103))</f>
        <v/>
      </c>
      <c r="H103" s="33" t="str">
        <f>IF(OR($A103="",$F103=""),"",IF(Comenzi!$D$6="Da",IFERROR($F103/(1+INDEX('Calculator Cost per Bucata'!$AC:$AC,ROW()+4)),""),$F103))</f>
        <v/>
      </c>
      <c r="I103" s="46" t="str">
        <f t="shared" si="3"/>
        <v/>
      </c>
      <c r="J103" s="47" t="str">
        <f t="shared" si="4"/>
        <v/>
      </c>
      <c r="K103" s="48" t="str">
        <f t="shared" si="5"/>
        <v/>
      </c>
    </row>
    <row r="104" spans="1:11" x14ac:dyDescent="0.3">
      <c r="A104" s="28" t="str">
        <f>IF(INDEX('Calculator Cost per Bucata'!$A:$A,ROW()+4)="","",INDEX('Calculator Cost per Bucata'!$A:$A,ROW()+4))</f>
        <v/>
      </c>
      <c r="B104" s="28" t="str">
        <f>IF($A104="","",INDEX('Calculator Cost per Bucata'!$C:$C,ROW()+4))</f>
        <v/>
      </c>
      <c r="C104" s="28" t="str">
        <f>IF($A104="","",INDEX('Calculator Cost per Bucata'!$D:$D,ROW()+4))</f>
        <v/>
      </c>
      <c r="D104" s="33" t="str">
        <f>IF(INDEX('Calculator Cost per Bucata'!$Y:$Y,ROW()+4)=1,INDEX('Calculator Cost per Bucata'!$P:$P,ROW()+4),"")</f>
        <v/>
      </c>
      <c r="E104" s="33" t="str">
        <f>IF(INDEX('Calculator Cost per Bucata'!$Y:$Y,ROW()+4)=1,INDEX('Calculator Cost per Bucata'!$S:$S,ROW()+4),"")</f>
        <v/>
      </c>
      <c r="F104" s="33" t="str">
        <f>IF($A104="","",IF(N(INDEX('PI Furnizor'!$L:$L,ROW()+1))&gt;0,INDEX('PI Furnizor'!$L:$L,ROW()+1),""))</f>
        <v/>
      </c>
      <c r="G104" s="33" t="str">
        <f>IF($A104="","",IF(Comenzi!$D$6="Da",$D104,$E104))</f>
        <v/>
      </c>
      <c r="H104" s="33" t="str">
        <f>IF(OR($A104="",$F104=""),"",IF(Comenzi!$D$6="Da",IFERROR($F104/(1+INDEX('Calculator Cost per Bucata'!$AC:$AC,ROW()+4)),""),$F104))</f>
        <v/>
      </c>
      <c r="I104" s="46" t="str">
        <f t="shared" si="3"/>
        <v/>
      </c>
      <c r="J104" s="47" t="str">
        <f t="shared" si="4"/>
        <v/>
      </c>
      <c r="K104" s="48" t="str">
        <f t="shared" si="5"/>
        <v/>
      </c>
    </row>
    <row r="105" spans="1:11" x14ac:dyDescent="0.3">
      <c r="A105" s="28" t="str">
        <f>IF(INDEX('Calculator Cost per Bucata'!$A:$A,ROW()+4)="","",INDEX('Calculator Cost per Bucata'!$A:$A,ROW()+4))</f>
        <v/>
      </c>
      <c r="B105" s="28" t="str">
        <f>IF($A105="","",INDEX('Calculator Cost per Bucata'!$C:$C,ROW()+4))</f>
        <v/>
      </c>
      <c r="C105" s="28" t="str">
        <f>IF($A105="","",INDEX('Calculator Cost per Bucata'!$D:$D,ROW()+4))</f>
        <v/>
      </c>
      <c r="D105" s="33" t="str">
        <f>IF(INDEX('Calculator Cost per Bucata'!$Y:$Y,ROW()+4)=1,INDEX('Calculator Cost per Bucata'!$P:$P,ROW()+4),"")</f>
        <v/>
      </c>
      <c r="E105" s="33" t="str">
        <f>IF(INDEX('Calculator Cost per Bucata'!$Y:$Y,ROW()+4)=1,INDEX('Calculator Cost per Bucata'!$S:$S,ROW()+4),"")</f>
        <v/>
      </c>
      <c r="F105" s="33" t="str">
        <f>IF($A105="","",IF(N(INDEX('PI Furnizor'!$L:$L,ROW()+1))&gt;0,INDEX('PI Furnizor'!$L:$L,ROW()+1),""))</f>
        <v/>
      </c>
      <c r="G105" s="33" t="str">
        <f>IF($A105="","",IF(Comenzi!$D$6="Da",$D105,$E105))</f>
        <v/>
      </c>
      <c r="H105" s="33" t="str">
        <f>IF(OR($A105="",$F105=""),"",IF(Comenzi!$D$6="Da",IFERROR($F105/(1+INDEX('Calculator Cost per Bucata'!$AC:$AC,ROW()+4)),""),$F105))</f>
        <v/>
      </c>
      <c r="I105" s="46" t="str">
        <f t="shared" si="3"/>
        <v/>
      </c>
      <c r="J105" s="47" t="str">
        <f t="shared" si="4"/>
        <v/>
      </c>
      <c r="K105" s="48" t="str">
        <f t="shared" si="5"/>
        <v/>
      </c>
    </row>
    <row r="106" spans="1:11" x14ac:dyDescent="0.3">
      <c r="A106" s="28" t="str">
        <f>IF(INDEX('Calculator Cost per Bucata'!$A:$A,ROW()+4)="","",INDEX('Calculator Cost per Bucata'!$A:$A,ROW()+4))</f>
        <v/>
      </c>
      <c r="B106" s="28" t="str">
        <f>IF($A106="","",INDEX('Calculator Cost per Bucata'!$C:$C,ROW()+4))</f>
        <v/>
      </c>
      <c r="C106" s="28" t="str">
        <f>IF($A106="","",INDEX('Calculator Cost per Bucata'!$D:$D,ROW()+4))</f>
        <v/>
      </c>
      <c r="D106" s="33" t="str">
        <f>IF(INDEX('Calculator Cost per Bucata'!$Y:$Y,ROW()+4)=1,INDEX('Calculator Cost per Bucata'!$P:$P,ROW()+4),"")</f>
        <v/>
      </c>
      <c r="E106" s="33" t="str">
        <f>IF(INDEX('Calculator Cost per Bucata'!$Y:$Y,ROW()+4)=1,INDEX('Calculator Cost per Bucata'!$S:$S,ROW()+4),"")</f>
        <v/>
      </c>
      <c r="F106" s="33" t="str">
        <f>IF($A106="","",IF(N(INDEX('PI Furnizor'!$L:$L,ROW()+1))&gt;0,INDEX('PI Furnizor'!$L:$L,ROW()+1),""))</f>
        <v/>
      </c>
      <c r="G106" s="33" t="str">
        <f>IF($A106="","",IF(Comenzi!$D$6="Da",$D106,$E106))</f>
        <v/>
      </c>
      <c r="H106" s="33" t="str">
        <f>IF(OR($A106="",$F106=""),"",IF(Comenzi!$D$6="Da",IFERROR($F106/(1+INDEX('Calculator Cost per Bucata'!$AC:$AC,ROW()+4)),""),$F106))</f>
        <v/>
      </c>
      <c r="I106" s="46" t="str">
        <f t="shared" si="3"/>
        <v/>
      </c>
      <c r="J106" s="47" t="str">
        <f t="shared" si="4"/>
        <v/>
      </c>
      <c r="K106" s="48" t="str">
        <f t="shared" si="5"/>
        <v/>
      </c>
    </row>
    <row r="107" spans="1:11" x14ac:dyDescent="0.3">
      <c r="A107" s="28" t="str">
        <f>IF(INDEX('Calculator Cost per Bucata'!$A:$A,ROW()+4)="","",INDEX('Calculator Cost per Bucata'!$A:$A,ROW()+4))</f>
        <v/>
      </c>
      <c r="B107" s="28" t="str">
        <f>IF($A107="","",INDEX('Calculator Cost per Bucata'!$C:$C,ROW()+4))</f>
        <v/>
      </c>
      <c r="C107" s="28" t="str">
        <f>IF($A107="","",INDEX('Calculator Cost per Bucata'!$D:$D,ROW()+4))</f>
        <v/>
      </c>
      <c r="D107" s="33" t="str">
        <f>IF(INDEX('Calculator Cost per Bucata'!$Y:$Y,ROW()+4)=1,INDEX('Calculator Cost per Bucata'!$P:$P,ROW()+4),"")</f>
        <v/>
      </c>
      <c r="E107" s="33" t="str">
        <f>IF(INDEX('Calculator Cost per Bucata'!$Y:$Y,ROW()+4)=1,INDEX('Calculator Cost per Bucata'!$S:$S,ROW()+4),"")</f>
        <v/>
      </c>
      <c r="F107" s="33" t="str">
        <f>IF($A107="","",IF(N(INDEX('PI Furnizor'!$L:$L,ROW()+1))&gt;0,INDEX('PI Furnizor'!$L:$L,ROW()+1),""))</f>
        <v/>
      </c>
      <c r="G107" s="33" t="str">
        <f>IF($A107="","",IF(Comenzi!$D$6="Da",$D107,$E107))</f>
        <v/>
      </c>
      <c r="H107" s="33" t="str">
        <f>IF(OR($A107="",$F107=""),"",IF(Comenzi!$D$6="Da",IFERROR($F107/(1+INDEX('Calculator Cost per Bucata'!$AC:$AC,ROW()+4)),""),$F107))</f>
        <v/>
      </c>
      <c r="I107" s="46" t="str">
        <f t="shared" si="3"/>
        <v/>
      </c>
      <c r="J107" s="47" t="str">
        <f t="shared" si="4"/>
        <v/>
      </c>
      <c r="K107" s="48" t="str">
        <f t="shared" si="5"/>
        <v/>
      </c>
    </row>
    <row r="108" spans="1:11" x14ac:dyDescent="0.3">
      <c r="A108" s="28" t="str">
        <f>IF(INDEX('Calculator Cost per Bucata'!$A:$A,ROW()+4)="","",INDEX('Calculator Cost per Bucata'!$A:$A,ROW()+4))</f>
        <v/>
      </c>
      <c r="B108" s="28" t="str">
        <f>IF($A108="","",INDEX('Calculator Cost per Bucata'!$C:$C,ROW()+4))</f>
        <v/>
      </c>
      <c r="C108" s="28" t="str">
        <f>IF($A108="","",INDEX('Calculator Cost per Bucata'!$D:$D,ROW()+4))</f>
        <v/>
      </c>
      <c r="D108" s="33" t="str">
        <f>IF(INDEX('Calculator Cost per Bucata'!$Y:$Y,ROW()+4)=1,INDEX('Calculator Cost per Bucata'!$P:$P,ROW()+4),"")</f>
        <v/>
      </c>
      <c r="E108" s="33" t="str">
        <f>IF(INDEX('Calculator Cost per Bucata'!$Y:$Y,ROW()+4)=1,INDEX('Calculator Cost per Bucata'!$S:$S,ROW()+4),"")</f>
        <v/>
      </c>
      <c r="F108" s="33" t="str">
        <f>IF($A108="","",IF(N(INDEX('PI Furnizor'!$L:$L,ROW()+1))&gt;0,INDEX('PI Furnizor'!$L:$L,ROW()+1),""))</f>
        <v/>
      </c>
      <c r="G108" s="33" t="str">
        <f>IF($A108="","",IF(Comenzi!$D$6="Da",$D108,$E108))</f>
        <v/>
      </c>
      <c r="H108" s="33" t="str">
        <f>IF(OR($A108="",$F108=""),"",IF(Comenzi!$D$6="Da",IFERROR($F108/(1+INDEX('Calculator Cost per Bucata'!$AC:$AC,ROW()+4)),""),$F108))</f>
        <v/>
      </c>
      <c r="I108" s="46" t="str">
        <f t="shared" si="3"/>
        <v/>
      </c>
      <c r="J108" s="47" t="str">
        <f t="shared" si="4"/>
        <v/>
      </c>
      <c r="K108" s="48" t="str">
        <f t="shared" si="5"/>
        <v/>
      </c>
    </row>
    <row r="109" spans="1:11" x14ac:dyDescent="0.3">
      <c r="A109" s="28" t="str">
        <f>IF(INDEX('Calculator Cost per Bucata'!$A:$A,ROW()+4)="","",INDEX('Calculator Cost per Bucata'!$A:$A,ROW()+4))</f>
        <v/>
      </c>
      <c r="B109" s="28" t="str">
        <f>IF($A109="","",INDEX('Calculator Cost per Bucata'!$C:$C,ROW()+4))</f>
        <v/>
      </c>
      <c r="C109" s="28" t="str">
        <f>IF($A109="","",INDEX('Calculator Cost per Bucata'!$D:$D,ROW()+4))</f>
        <v/>
      </c>
      <c r="D109" s="33" t="str">
        <f>IF(INDEX('Calculator Cost per Bucata'!$Y:$Y,ROW()+4)=1,INDEX('Calculator Cost per Bucata'!$P:$P,ROW()+4),"")</f>
        <v/>
      </c>
      <c r="E109" s="33" t="str">
        <f>IF(INDEX('Calculator Cost per Bucata'!$Y:$Y,ROW()+4)=1,INDEX('Calculator Cost per Bucata'!$S:$S,ROW()+4),"")</f>
        <v/>
      </c>
      <c r="F109" s="33" t="str">
        <f>IF($A109="","",IF(N(INDEX('PI Furnizor'!$L:$L,ROW()+1))&gt;0,INDEX('PI Furnizor'!$L:$L,ROW()+1),""))</f>
        <v/>
      </c>
      <c r="G109" s="33" t="str">
        <f>IF($A109="","",IF(Comenzi!$D$6="Da",$D109,$E109))</f>
        <v/>
      </c>
      <c r="H109" s="33" t="str">
        <f>IF(OR($A109="",$F109=""),"",IF(Comenzi!$D$6="Da",IFERROR($F109/(1+INDEX('Calculator Cost per Bucata'!$AC:$AC,ROW()+4)),""),$F109))</f>
        <v/>
      </c>
      <c r="I109" s="46" t="str">
        <f t="shared" si="3"/>
        <v/>
      </c>
      <c r="J109" s="47" t="str">
        <f t="shared" si="4"/>
        <v/>
      </c>
      <c r="K109" s="48" t="str">
        <f t="shared" si="5"/>
        <v/>
      </c>
    </row>
    <row r="110" spans="1:11" x14ac:dyDescent="0.3">
      <c r="A110" s="28" t="str">
        <f>IF(INDEX('Calculator Cost per Bucata'!$A:$A,ROW()+4)="","",INDEX('Calculator Cost per Bucata'!$A:$A,ROW()+4))</f>
        <v/>
      </c>
      <c r="B110" s="28" t="str">
        <f>IF($A110="","",INDEX('Calculator Cost per Bucata'!$C:$C,ROW()+4))</f>
        <v/>
      </c>
      <c r="C110" s="28" t="str">
        <f>IF($A110="","",INDEX('Calculator Cost per Bucata'!$D:$D,ROW()+4))</f>
        <v/>
      </c>
      <c r="D110" s="33" t="str">
        <f>IF(INDEX('Calculator Cost per Bucata'!$Y:$Y,ROW()+4)=1,INDEX('Calculator Cost per Bucata'!$P:$P,ROW()+4),"")</f>
        <v/>
      </c>
      <c r="E110" s="33" t="str">
        <f>IF(INDEX('Calculator Cost per Bucata'!$Y:$Y,ROW()+4)=1,INDEX('Calculator Cost per Bucata'!$S:$S,ROW()+4),"")</f>
        <v/>
      </c>
      <c r="F110" s="33" t="str">
        <f>IF($A110="","",IF(N(INDEX('PI Furnizor'!$L:$L,ROW()+1))&gt;0,INDEX('PI Furnizor'!$L:$L,ROW()+1),""))</f>
        <v/>
      </c>
      <c r="G110" s="33" t="str">
        <f>IF($A110="","",IF(Comenzi!$D$6="Da",$D110,$E110))</f>
        <v/>
      </c>
      <c r="H110" s="33" t="str">
        <f>IF(OR($A110="",$F110=""),"",IF(Comenzi!$D$6="Da",IFERROR($F110/(1+INDEX('Calculator Cost per Bucata'!$AC:$AC,ROW()+4)),""),$F110))</f>
        <v/>
      </c>
      <c r="I110" s="46" t="str">
        <f t="shared" si="3"/>
        <v/>
      </c>
      <c r="J110" s="47" t="str">
        <f t="shared" si="4"/>
        <v/>
      </c>
      <c r="K110" s="48" t="str">
        <f t="shared" si="5"/>
        <v/>
      </c>
    </row>
    <row r="111" spans="1:11" x14ac:dyDescent="0.3">
      <c r="A111" s="28" t="str">
        <f>IF(INDEX('Calculator Cost per Bucata'!$A:$A,ROW()+4)="","",INDEX('Calculator Cost per Bucata'!$A:$A,ROW()+4))</f>
        <v/>
      </c>
      <c r="B111" s="28" t="str">
        <f>IF($A111="","",INDEX('Calculator Cost per Bucata'!$C:$C,ROW()+4))</f>
        <v/>
      </c>
      <c r="C111" s="28" t="str">
        <f>IF($A111="","",INDEX('Calculator Cost per Bucata'!$D:$D,ROW()+4))</f>
        <v/>
      </c>
      <c r="D111" s="33" t="str">
        <f>IF(INDEX('Calculator Cost per Bucata'!$Y:$Y,ROW()+4)=1,INDEX('Calculator Cost per Bucata'!$P:$P,ROW()+4),"")</f>
        <v/>
      </c>
      <c r="E111" s="33" t="str">
        <f>IF(INDEX('Calculator Cost per Bucata'!$Y:$Y,ROW()+4)=1,INDEX('Calculator Cost per Bucata'!$S:$S,ROW()+4),"")</f>
        <v/>
      </c>
      <c r="F111" s="33" t="str">
        <f>IF($A111="","",IF(N(INDEX('PI Furnizor'!$L:$L,ROW()+1))&gt;0,INDEX('PI Furnizor'!$L:$L,ROW()+1),""))</f>
        <v/>
      </c>
      <c r="G111" s="33" t="str">
        <f>IF($A111="","",IF(Comenzi!$D$6="Da",$D111,$E111))</f>
        <v/>
      </c>
      <c r="H111" s="33" t="str">
        <f>IF(OR($A111="",$F111=""),"",IF(Comenzi!$D$6="Da",IFERROR($F111/(1+INDEX('Calculator Cost per Bucata'!$AC:$AC,ROW()+4)),""),$F111))</f>
        <v/>
      </c>
      <c r="I111" s="46" t="str">
        <f t="shared" si="3"/>
        <v/>
      </c>
      <c r="J111" s="47" t="str">
        <f t="shared" si="4"/>
        <v/>
      </c>
      <c r="K111" s="48" t="str">
        <f t="shared" si="5"/>
        <v/>
      </c>
    </row>
    <row r="112" spans="1:11" x14ac:dyDescent="0.3">
      <c r="A112" s="28" t="str">
        <f>IF(INDEX('Calculator Cost per Bucata'!$A:$A,ROW()+4)="","",INDEX('Calculator Cost per Bucata'!$A:$A,ROW()+4))</f>
        <v/>
      </c>
      <c r="B112" s="28" t="str">
        <f>IF($A112="","",INDEX('Calculator Cost per Bucata'!$C:$C,ROW()+4))</f>
        <v/>
      </c>
      <c r="C112" s="28" t="str">
        <f>IF($A112="","",INDEX('Calculator Cost per Bucata'!$D:$D,ROW()+4))</f>
        <v/>
      </c>
      <c r="D112" s="33" t="str">
        <f>IF(INDEX('Calculator Cost per Bucata'!$Y:$Y,ROW()+4)=1,INDEX('Calculator Cost per Bucata'!$P:$P,ROW()+4),"")</f>
        <v/>
      </c>
      <c r="E112" s="33" t="str">
        <f>IF(INDEX('Calculator Cost per Bucata'!$Y:$Y,ROW()+4)=1,INDEX('Calculator Cost per Bucata'!$S:$S,ROW()+4),"")</f>
        <v/>
      </c>
      <c r="F112" s="33" t="str">
        <f>IF($A112="","",IF(N(INDEX('PI Furnizor'!$L:$L,ROW()+1))&gt;0,INDEX('PI Furnizor'!$L:$L,ROW()+1),""))</f>
        <v/>
      </c>
      <c r="G112" s="33" t="str">
        <f>IF($A112="","",IF(Comenzi!$D$6="Da",$D112,$E112))</f>
        <v/>
      </c>
      <c r="H112" s="33" t="str">
        <f>IF(OR($A112="",$F112=""),"",IF(Comenzi!$D$6="Da",IFERROR($F112/(1+INDEX('Calculator Cost per Bucata'!$AC:$AC,ROW()+4)),""),$F112))</f>
        <v/>
      </c>
      <c r="I112" s="46" t="str">
        <f t="shared" si="3"/>
        <v/>
      </c>
      <c r="J112" s="47" t="str">
        <f t="shared" si="4"/>
        <v/>
      </c>
      <c r="K112" s="48" t="str">
        <f t="shared" si="5"/>
        <v/>
      </c>
    </row>
    <row r="113" spans="1:11" x14ac:dyDescent="0.3">
      <c r="A113" s="28" t="str">
        <f>IF(INDEX('Calculator Cost per Bucata'!$A:$A,ROW()+4)="","",INDEX('Calculator Cost per Bucata'!$A:$A,ROW()+4))</f>
        <v/>
      </c>
      <c r="B113" s="28" t="str">
        <f>IF($A113="","",INDEX('Calculator Cost per Bucata'!$C:$C,ROW()+4))</f>
        <v/>
      </c>
      <c r="C113" s="28" t="str">
        <f>IF($A113="","",INDEX('Calculator Cost per Bucata'!$D:$D,ROW()+4))</f>
        <v/>
      </c>
      <c r="D113" s="33" t="str">
        <f>IF(INDEX('Calculator Cost per Bucata'!$Y:$Y,ROW()+4)=1,INDEX('Calculator Cost per Bucata'!$P:$P,ROW()+4),"")</f>
        <v/>
      </c>
      <c r="E113" s="33" t="str">
        <f>IF(INDEX('Calculator Cost per Bucata'!$Y:$Y,ROW()+4)=1,INDEX('Calculator Cost per Bucata'!$S:$S,ROW()+4),"")</f>
        <v/>
      </c>
      <c r="F113" s="33" t="str">
        <f>IF($A113="","",IF(N(INDEX('PI Furnizor'!$L:$L,ROW()+1))&gt;0,INDEX('PI Furnizor'!$L:$L,ROW()+1),""))</f>
        <v/>
      </c>
      <c r="G113" s="33" t="str">
        <f>IF($A113="","",IF(Comenzi!$D$6="Da",$D113,$E113))</f>
        <v/>
      </c>
      <c r="H113" s="33" t="str">
        <f>IF(OR($A113="",$F113=""),"",IF(Comenzi!$D$6="Da",IFERROR($F113/(1+INDEX('Calculator Cost per Bucata'!$AC:$AC,ROW()+4)),""),$F113))</f>
        <v/>
      </c>
      <c r="I113" s="46" t="str">
        <f t="shared" si="3"/>
        <v/>
      </c>
      <c r="J113" s="47" t="str">
        <f t="shared" si="4"/>
        <v/>
      </c>
      <c r="K113" s="48" t="str">
        <f t="shared" si="5"/>
        <v/>
      </c>
    </row>
    <row r="114" spans="1:11" x14ac:dyDescent="0.3">
      <c r="A114" s="28" t="str">
        <f>IF(INDEX('Calculator Cost per Bucata'!$A:$A,ROW()+4)="","",INDEX('Calculator Cost per Bucata'!$A:$A,ROW()+4))</f>
        <v/>
      </c>
      <c r="B114" s="28" t="str">
        <f>IF($A114="","",INDEX('Calculator Cost per Bucata'!$C:$C,ROW()+4))</f>
        <v/>
      </c>
      <c r="C114" s="28" t="str">
        <f>IF($A114="","",INDEX('Calculator Cost per Bucata'!$D:$D,ROW()+4))</f>
        <v/>
      </c>
      <c r="D114" s="33" t="str">
        <f>IF(INDEX('Calculator Cost per Bucata'!$Y:$Y,ROW()+4)=1,INDEX('Calculator Cost per Bucata'!$P:$P,ROW()+4),"")</f>
        <v/>
      </c>
      <c r="E114" s="33" t="str">
        <f>IF(INDEX('Calculator Cost per Bucata'!$Y:$Y,ROW()+4)=1,INDEX('Calculator Cost per Bucata'!$S:$S,ROW()+4),"")</f>
        <v/>
      </c>
      <c r="F114" s="33" t="str">
        <f>IF($A114="","",IF(N(INDEX('PI Furnizor'!$L:$L,ROW()+1))&gt;0,INDEX('PI Furnizor'!$L:$L,ROW()+1),""))</f>
        <v/>
      </c>
      <c r="G114" s="33" t="str">
        <f>IF($A114="","",IF(Comenzi!$D$6="Da",$D114,$E114))</f>
        <v/>
      </c>
      <c r="H114" s="33" t="str">
        <f>IF(OR($A114="",$F114=""),"",IF(Comenzi!$D$6="Da",IFERROR($F114/(1+INDEX('Calculator Cost per Bucata'!$AC:$AC,ROW()+4)),""),$F114))</f>
        <v/>
      </c>
      <c r="I114" s="46" t="str">
        <f t="shared" si="3"/>
        <v/>
      </c>
      <c r="J114" s="47" t="str">
        <f t="shared" si="4"/>
        <v/>
      </c>
      <c r="K114" s="48" t="str">
        <f t="shared" si="5"/>
        <v/>
      </c>
    </row>
    <row r="115" spans="1:11" x14ac:dyDescent="0.3">
      <c r="A115" s="28" t="str">
        <f>IF(INDEX('Calculator Cost per Bucata'!$A:$A,ROW()+4)="","",INDEX('Calculator Cost per Bucata'!$A:$A,ROW()+4))</f>
        <v/>
      </c>
      <c r="B115" s="28" t="str">
        <f>IF($A115="","",INDEX('Calculator Cost per Bucata'!$C:$C,ROW()+4))</f>
        <v/>
      </c>
      <c r="C115" s="28" t="str">
        <f>IF($A115="","",INDEX('Calculator Cost per Bucata'!$D:$D,ROW()+4))</f>
        <v/>
      </c>
      <c r="D115" s="33" t="str">
        <f>IF(INDEX('Calculator Cost per Bucata'!$Y:$Y,ROW()+4)=1,INDEX('Calculator Cost per Bucata'!$P:$P,ROW()+4),"")</f>
        <v/>
      </c>
      <c r="E115" s="33" t="str">
        <f>IF(INDEX('Calculator Cost per Bucata'!$Y:$Y,ROW()+4)=1,INDEX('Calculator Cost per Bucata'!$S:$S,ROW()+4),"")</f>
        <v/>
      </c>
      <c r="F115" s="33" t="str">
        <f>IF($A115="","",IF(N(INDEX('PI Furnizor'!$L:$L,ROW()+1))&gt;0,INDEX('PI Furnizor'!$L:$L,ROW()+1),""))</f>
        <v/>
      </c>
      <c r="G115" s="33" t="str">
        <f>IF($A115="","",IF(Comenzi!$D$6="Da",$D115,$E115))</f>
        <v/>
      </c>
      <c r="H115" s="33" t="str">
        <f>IF(OR($A115="",$F115=""),"",IF(Comenzi!$D$6="Da",IFERROR($F115/(1+INDEX('Calculator Cost per Bucata'!$AC:$AC,ROW()+4)),""),$F115))</f>
        <v/>
      </c>
      <c r="I115" s="46" t="str">
        <f t="shared" si="3"/>
        <v/>
      </c>
      <c r="J115" s="47" t="str">
        <f t="shared" si="4"/>
        <v/>
      </c>
      <c r="K115" s="48" t="str">
        <f t="shared" si="5"/>
        <v/>
      </c>
    </row>
    <row r="116" spans="1:11" x14ac:dyDescent="0.3">
      <c r="A116" s="28" t="str">
        <f>IF(INDEX('Calculator Cost per Bucata'!$A:$A,ROW()+4)="","",INDEX('Calculator Cost per Bucata'!$A:$A,ROW()+4))</f>
        <v/>
      </c>
      <c r="B116" s="28" t="str">
        <f>IF($A116="","",INDEX('Calculator Cost per Bucata'!$C:$C,ROW()+4))</f>
        <v/>
      </c>
      <c r="C116" s="28" t="str">
        <f>IF($A116="","",INDEX('Calculator Cost per Bucata'!$D:$D,ROW()+4))</f>
        <v/>
      </c>
      <c r="D116" s="33" t="str">
        <f>IF(INDEX('Calculator Cost per Bucata'!$Y:$Y,ROW()+4)=1,INDEX('Calculator Cost per Bucata'!$P:$P,ROW()+4),"")</f>
        <v/>
      </c>
      <c r="E116" s="33" t="str">
        <f>IF(INDEX('Calculator Cost per Bucata'!$Y:$Y,ROW()+4)=1,INDEX('Calculator Cost per Bucata'!$S:$S,ROW()+4),"")</f>
        <v/>
      </c>
      <c r="F116" s="33" t="str">
        <f>IF($A116="","",IF(N(INDEX('PI Furnizor'!$L:$L,ROW()+1))&gt;0,INDEX('PI Furnizor'!$L:$L,ROW()+1),""))</f>
        <v/>
      </c>
      <c r="G116" s="33" t="str">
        <f>IF($A116="","",IF(Comenzi!$D$6="Da",$D116,$E116))</f>
        <v/>
      </c>
      <c r="H116" s="33" t="str">
        <f>IF(OR($A116="",$F116=""),"",IF(Comenzi!$D$6="Da",IFERROR($F116/(1+INDEX('Calculator Cost per Bucata'!$AC:$AC,ROW()+4)),""),$F116))</f>
        <v/>
      </c>
      <c r="I116" s="46" t="str">
        <f t="shared" si="3"/>
        <v/>
      </c>
      <c r="J116" s="47" t="str">
        <f t="shared" si="4"/>
        <v/>
      </c>
      <c r="K116" s="48" t="str">
        <f t="shared" si="5"/>
        <v/>
      </c>
    </row>
    <row r="117" spans="1:11" x14ac:dyDescent="0.3">
      <c r="A117" s="28" t="str">
        <f>IF(INDEX('Calculator Cost per Bucata'!$A:$A,ROW()+4)="","",INDEX('Calculator Cost per Bucata'!$A:$A,ROW()+4))</f>
        <v/>
      </c>
      <c r="B117" s="28" t="str">
        <f>IF($A117="","",INDEX('Calculator Cost per Bucata'!$C:$C,ROW()+4))</f>
        <v/>
      </c>
      <c r="C117" s="28" t="str">
        <f>IF($A117="","",INDEX('Calculator Cost per Bucata'!$D:$D,ROW()+4))</f>
        <v/>
      </c>
      <c r="D117" s="33" t="str">
        <f>IF(INDEX('Calculator Cost per Bucata'!$Y:$Y,ROW()+4)=1,INDEX('Calculator Cost per Bucata'!$P:$P,ROW()+4),"")</f>
        <v/>
      </c>
      <c r="E117" s="33" t="str">
        <f>IF(INDEX('Calculator Cost per Bucata'!$Y:$Y,ROW()+4)=1,INDEX('Calculator Cost per Bucata'!$S:$S,ROW()+4),"")</f>
        <v/>
      </c>
      <c r="F117" s="33" t="str">
        <f>IF($A117="","",IF(N(INDEX('PI Furnizor'!$L:$L,ROW()+1))&gt;0,INDEX('PI Furnizor'!$L:$L,ROW()+1),""))</f>
        <v/>
      </c>
      <c r="G117" s="33" t="str">
        <f>IF($A117="","",IF(Comenzi!$D$6="Da",$D117,$E117))</f>
        <v/>
      </c>
      <c r="H117" s="33" t="str">
        <f>IF(OR($A117="",$F117=""),"",IF(Comenzi!$D$6="Da",IFERROR($F117/(1+INDEX('Calculator Cost per Bucata'!$AC:$AC,ROW()+4)),""),$F117))</f>
        <v/>
      </c>
      <c r="I117" s="46" t="str">
        <f t="shared" si="3"/>
        <v/>
      </c>
      <c r="J117" s="47" t="str">
        <f t="shared" si="4"/>
        <v/>
      </c>
      <c r="K117" s="48" t="str">
        <f t="shared" si="5"/>
        <v/>
      </c>
    </row>
    <row r="118" spans="1:11" x14ac:dyDescent="0.3">
      <c r="A118" s="28" t="str">
        <f>IF(INDEX('Calculator Cost per Bucata'!$A:$A,ROW()+4)="","",INDEX('Calculator Cost per Bucata'!$A:$A,ROW()+4))</f>
        <v/>
      </c>
      <c r="B118" s="28" t="str">
        <f>IF($A118="","",INDEX('Calculator Cost per Bucata'!$C:$C,ROW()+4))</f>
        <v/>
      </c>
      <c r="C118" s="28" t="str">
        <f>IF($A118="","",INDEX('Calculator Cost per Bucata'!$D:$D,ROW()+4))</f>
        <v/>
      </c>
      <c r="D118" s="33" t="str">
        <f>IF(INDEX('Calculator Cost per Bucata'!$Y:$Y,ROW()+4)=1,INDEX('Calculator Cost per Bucata'!$P:$P,ROW()+4),"")</f>
        <v/>
      </c>
      <c r="E118" s="33" t="str">
        <f>IF(INDEX('Calculator Cost per Bucata'!$Y:$Y,ROW()+4)=1,INDEX('Calculator Cost per Bucata'!$S:$S,ROW()+4),"")</f>
        <v/>
      </c>
      <c r="F118" s="33" t="str">
        <f>IF($A118="","",IF(N(INDEX('PI Furnizor'!$L:$L,ROW()+1))&gt;0,INDEX('PI Furnizor'!$L:$L,ROW()+1),""))</f>
        <v/>
      </c>
      <c r="G118" s="33" t="str">
        <f>IF($A118="","",IF(Comenzi!$D$6="Da",$D118,$E118))</f>
        <v/>
      </c>
      <c r="H118" s="33" t="str">
        <f>IF(OR($A118="",$F118=""),"",IF(Comenzi!$D$6="Da",IFERROR($F118/(1+INDEX('Calculator Cost per Bucata'!$AC:$AC,ROW()+4)),""),$F118))</f>
        <v/>
      </c>
      <c r="I118" s="46" t="str">
        <f t="shared" si="3"/>
        <v/>
      </c>
      <c r="J118" s="47" t="str">
        <f t="shared" si="4"/>
        <v/>
      </c>
      <c r="K118" s="48" t="str">
        <f t="shared" si="5"/>
        <v/>
      </c>
    </row>
    <row r="119" spans="1:11" x14ac:dyDescent="0.3">
      <c r="A119" s="28" t="str">
        <f>IF(INDEX('Calculator Cost per Bucata'!$A:$A,ROW()+4)="","",INDEX('Calculator Cost per Bucata'!$A:$A,ROW()+4))</f>
        <v/>
      </c>
      <c r="B119" s="28" t="str">
        <f>IF($A119="","",INDEX('Calculator Cost per Bucata'!$C:$C,ROW()+4))</f>
        <v/>
      </c>
      <c r="C119" s="28" t="str">
        <f>IF($A119="","",INDEX('Calculator Cost per Bucata'!$D:$D,ROW()+4))</f>
        <v/>
      </c>
      <c r="D119" s="33" t="str">
        <f>IF(INDEX('Calculator Cost per Bucata'!$Y:$Y,ROW()+4)=1,INDEX('Calculator Cost per Bucata'!$P:$P,ROW()+4),"")</f>
        <v/>
      </c>
      <c r="E119" s="33" t="str">
        <f>IF(INDEX('Calculator Cost per Bucata'!$Y:$Y,ROW()+4)=1,INDEX('Calculator Cost per Bucata'!$S:$S,ROW()+4),"")</f>
        <v/>
      </c>
      <c r="F119" s="33" t="str">
        <f>IF($A119="","",IF(N(INDEX('PI Furnizor'!$L:$L,ROW()+1))&gt;0,INDEX('PI Furnizor'!$L:$L,ROW()+1),""))</f>
        <v/>
      </c>
      <c r="G119" s="33" t="str">
        <f>IF($A119="","",IF(Comenzi!$D$6="Da",$D119,$E119))</f>
        <v/>
      </c>
      <c r="H119" s="33" t="str">
        <f>IF(OR($A119="",$F119=""),"",IF(Comenzi!$D$6="Da",IFERROR($F119/(1+INDEX('Calculator Cost per Bucata'!$AC:$AC,ROW()+4)),""),$F119))</f>
        <v/>
      </c>
      <c r="I119" s="46" t="str">
        <f t="shared" si="3"/>
        <v/>
      </c>
      <c r="J119" s="47" t="str">
        <f t="shared" si="4"/>
        <v/>
      </c>
      <c r="K119" s="48" t="str">
        <f t="shared" si="5"/>
        <v/>
      </c>
    </row>
    <row r="120" spans="1:11" x14ac:dyDescent="0.3">
      <c r="A120" s="28" t="str">
        <f>IF(INDEX('Calculator Cost per Bucata'!$A:$A,ROW()+4)="","",INDEX('Calculator Cost per Bucata'!$A:$A,ROW()+4))</f>
        <v/>
      </c>
      <c r="B120" s="28" t="str">
        <f>IF($A120="","",INDEX('Calculator Cost per Bucata'!$C:$C,ROW()+4))</f>
        <v/>
      </c>
      <c r="C120" s="28" t="str">
        <f>IF($A120="","",INDEX('Calculator Cost per Bucata'!$D:$D,ROW()+4))</f>
        <v/>
      </c>
      <c r="D120" s="33" t="str">
        <f>IF(INDEX('Calculator Cost per Bucata'!$Y:$Y,ROW()+4)=1,INDEX('Calculator Cost per Bucata'!$P:$P,ROW()+4),"")</f>
        <v/>
      </c>
      <c r="E120" s="33" t="str">
        <f>IF(INDEX('Calculator Cost per Bucata'!$Y:$Y,ROW()+4)=1,INDEX('Calculator Cost per Bucata'!$S:$S,ROW()+4),"")</f>
        <v/>
      </c>
      <c r="F120" s="33" t="str">
        <f>IF($A120="","",IF(N(INDEX('PI Furnizor'!$L:$L,ROW()+1))&gt;0,INDEX('PI Furnizor'!$L:$L,ROW()+1),""))</f>
        <v/>
      </c>
      <c r="G120" s="33" t="str">
        <f>IF($A120="","",IF(Comenzi!$D$6="Da",$D120,$E120))</f>
        <v/>
      </c>
      <c r="H120" s="33" t="str">
        <f>IF(OR($A120="",$F120=""),"",IF(Comenzi!$D$6="Da",IFERROR($F120/(1+INDEX('Calculator Cost per Bucata'!$AC:$AC,ROW()+4)),""),$F120))</f>
        <v/>
      </c>
      <c r="I120" s="46" t="str">
        <f t="shared" si="3"/>
        <v/>
      </c>
      <c r="J120" s="47" t="str">
        <f t="shared" si="4"/>
        <v/>
      </c>
      <c r="K120" s="48" t="str">
        <f t="shared" si="5"/>
        <v/>
      </c>
    </row>
    <row r="121" spans="1:11" x14ac:dyDescent="0.3">
      <c r="A121" s="28" t="str">
        <f>IF(INDEX('Calculator Cost per Bucata'!$A:$A,ROW()+4)="","",INDEX('Calculator Cost per Bucata'!$A:$A,ROW()+4))</f>
        <v/>
      </c>
      <c r="B121" s="28" t="str">
        <f>IF($A121="","",INDEX('Calculator Cost per Bucata'!$C:$C,ROW()+4))</f>
        <v/>
      </c>
      <c r="C121" s="28" t="str">
        <f>IF($A121="","",INDEX('Calculator Cost per Bucata'!$D:$D,ROW()+4))</f>
        <v/>
      </c>
      <c r="D121" s="33" t="str">
        <f>IF(INDEX('Calculator Cost per Bucata'!$Y:$Y,ROW()+4)=1,INDEX('Calculator Cost per Bucata'!$P:$P,ROW()+4),"")</f>
        <v/>
      </c>
      <c r="E121" s="33" t="str">
        <f>IF(INDEX('Calculator Cost per Bucata'!$Y:$Y,ROW()+4)=1,INDEX('Calculator Cost per Bucata'!$S:$S,ROW()+4),"")</f>
        <v/>
      </c>
      <c r="F121" s="33" t="str">
        <f>IF($A121="","",IF(N(INDEX('PI Furnizor'!$L:$L,ROW()+1))&gt;0,INDEX('PI Furnizor'!$L:$L,ROW()+1),""))</f>
        <v/>
      </c>
      <c r="G121" s="33" t="str">
        <f>IF($A121="","",IF(Comenzi!$D$6="Da",$D121,$E121))</f>
        <v/>
      </c>
      <c r="H121" s="33" t="str">
        <f>IF(OR($A121="",$F121=""),"",IF(Comenzi!$D$6="Da",IFERROR($F121/(1+INDEX('Calculator Cost per Bucata'!$AC:$AC,ROW()+4)),""),$F121))</f>
        <v/>
      </c>
      <c r="I121" s="46" t="str">
        <f t="shared" si="3"/>
        <v/>
      </c>
      <c r="J121" s="47" t="str">
        <f t="shared" si="4"/>
        <v/>
      </c>
      <c r="K121" s="48" t="str">
        <f t="shared" si="5"/>
        <v/>
      </c>
    </row>
    <row r="122" spans="1:11" x14ac:dyDescent="0.3">
      <c r="A122" s="28" t="str">
        <f>IF(INDEX('Calculator Cost per Bucata'!$A:$A,ROW()+4)="","",INDEX('Calculator Cost per Bucata'!$A:$A,ROW()+4))</f>
        <v/>
      </c>
      <c r="B122" s="28" t="str">
        <f>IF($A122="","",INDEX('Calculator Cost per Bucata'!$C:$C,ROW()+4))</f>
        <v/>
      </c>
      <c r="C122" s="28" t="str">
        <f>IF($A122="","",INDEX('Calculator Cost per Bucata'!$D:$D,ROW()+4))</f>
        <v/>
      </c>
      <c r="D122" s="33" t="str">
        <f>IF(INDEX('Calculator Cost per Bucata'!$Y:$Y,ROW()+4)=1,INDEX('Calculator Cost per Bucata'!$P:$P,ROW()+4),"")</f>
        <v/>
      </c>
      <c r="E122" s="33" t="str">
        <f>IF(INDEX('Calculator Cost per Bucata'!$Y:$Y,ROW()+4)=1,INDEX('Calculator Cost per Bucata'!$S:$S,ROW()+4),"")</f>
        <v/>
      </c>
      <c r="F122" s="33" t="str">
        <f>IF($A122="","",IF(N(INDEX('PI Furnizor'!$L:$L,ROW()+1))&gt;0,INDEX('PI Furnizor'!$L:$L,ROW()+1),""))</f>
        <v/>
      </c>
      <c r="G122" s="33" t="str">
        <f>IF($A122="","",IF(Comenzi!$D$6="Da",$D122,$E122))</f>
        <v/>
      </c>
      <c r="H122" s="33" t="str">
        <f>IF(OR($A122="",$F122=""),"",IF(Comenzi!$D$6="Da",IFERROR($F122/(1+INDEX('Calculator Cost per Bucata'!$AC:$AC,ROW()+4)),""),$F122))</f>
        <v/>
      </c>
      <c r="I122" s="46" t="str">
        <f t="shared" si="3"/>
        <v/>
      </c>
      <c r="J122" s="47" t="str">
        <f t="shared" si="4"/>
        <v/>
      </c>
      <c r="K122" s="48" t="str">
        <f t="shared" si="5"/>
        <v/>
      </c>
    </row>
    <row r="123" spans="1:11" x14ac:dyDescent="0.3">
      <c r="A123" s="28" t="str">
        <f>IF(INDEX('Calculator Cost per Bucata'!$A:$A,ROW()+4)="","",INDEX('Calculator Cost per Bucata'!$A:$A,ROW()+4))</f>
        <v/>
      </c>
      <c r="B123" s="28" t="str">
        <f>IF($A123="","",INDEX('Calculator Cost per Bucata'!$C:$C,ROW()+4))</f>
        <v/>
      </c>
      <c r="C123" s="28" t="str">
        <f>IF($A123="","",INDEX('Calculator Cost per Bucata'!$D:$D,ROW()+4))</f>
        <v/>
      </c>
      <c r="D123" s="33" t="str">
        <f>IF(INDEX('Calculator Cost per Bucata'!$Y:$Y,ROW()+4)=1,INDEX('Calculator Cost per Bucata'!$P:$P,ROW()+4),"")</f>
        <v/>
      </c>
      <c r="E123" s="33" t="str">
        <f>IF(INDEX('Calculator Cost per Bucata'!$Y:$Y,ROW()+4)=1,INDEX('Calculator Cost per Bucata'!$S:$S,ROW()+4),"")</f>
        <v/>
      </c>
      <c r="F123" s="33" t="str">
        <f>IF($A123="","",IF(N(INDEX('PI Furnizor'!$L:$L,ROW()+1))&gt;0,INDEX('PI Furnizor'!$L:$L,ROW()+1),""))</f>
        <v/>
      </c>
      <c r="G123" s="33" t="str">
        <f>IF($A123="","",IF(Comenzi!$D$6="Da",$D123,$E123))</f>
        <v/>
      </c>
      <c r="H123" s="33" t="str">
        <f>IF(OR($A123="",$F123=""),"",IF(Comenzi!$D$6="Da",IFERROR($F123/(1+INDEX('Calculator Cost per Bucata'!$AC:$AC,ROW()+4)),""),$F123))</f>
        <v/>
      </c>
      <c r="I123" s="46" t="str">
        <f t="shared" si="3"/>
        <v/>
      </c>
      <c r="J123" s="47" t="str">
        <f t="shared" si="4"/>
        <v/>
      </c>
      <c r="K123" s="48" t="str">
        <f t="shared" si="5"/>
        <v/>
      </c>
    </row>
    <row r="124" spans="1:11" x14ac:dyDescent="0.3">
      <c r="A124" s="28" t="str">
        <f>IF(INDEX('Calculator Cost per Bucata'!$A:$A,ROW()+4)="","",INDEX('Calculator Cost per Bucata'!$A:$A,ROW()+4))</f>
        <v/>
      </c>
      <c r="B124" s="28" t="str">
        <f>IF($A124="","",INDEX('Calculator Cost per Bucata'!$C:$C,ROW()+4))</f>
        <v/>
      </c>
      <c r="C124" s="28" t="str">
        <f>IF($A124="","",INDEX('Calculator Cost per Bucata'!$D:$D,ROW()+4))</f>
        <v/>
      </c>
      <c r="D124" s="33" t="str">
        <f>IF(INDEX('Calculator Cost per Bucata'!$Y:$Y,ROW()+4)=1,INDEX('Calculator Cost per Bucata'!$P:$P,ROW()+4),"")</f>
        <v/>
      </c>
      <c r="E124" s="33" t="str">
        <f>IF(INDEX('Calculator Cost per Bucata'!$Y:$Y,ROW()+4)=1,INDEX('Calculator Cost per Bucata'!$S:$S,ROW()+4),"")</f>
        <v/>
      </c>
      <c r="F124" s="33" t="str">
        <f>IF($A124="","",IF(N(INDEX('PI Furnizor'!$L:$L,ROW()+1))&gt;0,INDEX('PI Furnizor'!$L:$L,ROW()+1),""))</f>
        <v/>
      </c>
      <c r="G124" s="33" t="str">
        <f>IF($A124="","",IF(Comenzi!$D$6="Da",$D124,$E124))</f>
        <v/>
      </c>
      <c r="H124" s="33" t="str">
        <f>IF(OR($A124="",$F124=""),"",IF(Comenzi!$D$6="Da",IFERROR($F124/(1+INDEX('Calculator Cost per Bucata'!$AC:$AC,ROW()+4)),""),$F124))</f>
        <v/>
      </c>
      <c r="I124" s="46" t="str">
        <f t="shared" si="3"/>
        <v/>
      </c>
      <c r="J124" s="47" t="str">
        <f t="shared" si="4"/>
        <v/>
      </c>
      <c r="K124" s="48" t="str">
        <f t="shared" si="5"/>
        <v/>
      </c>
    </row>
    <row r="125" spans="1:11" x14ac:dyDescent="0.3">
      <c r="A125" s="28" t="str">
        <f>IF(INDEX('Calculator Cost per Bucata'!$A:$A,ROW()+4)="","",INDEX('Calculator Cost per Bucata'!$A:$A,ROW()+4))</f>
        <v/>
      </c>
      <c r="B125" s="28" t="str">
        <f>IF($A125="","",INDEX('Calculator Cost per Bucata'!$C:$C,ROW()+4))</f>
        <v/>
      </c>
      <c r="C125" s="28" t="str">
        <f>IF($A125="","",INDEX('Calculator Cost per Bucata'!$D:$D,ROW()+4))</f>
        <v/>
      </c>
      <c r="D125" s="33" t="str">
        <f>IF(INDEX('Calculator Cost per Bucata'!$Y:$Y,ROW()+4)=1,INDEX('Calculator Cost per Bucata'!$P:$P,ROW()+4),"")</f>
        <v/>
      </c>
      <c r="E125" s="33" t="str">
        <f>IF(INDEX('Calculator Cost per Bucata'!$Y:$Y,ROW()+4)=1,INDEX('Calculator Cost per Bucata'!$S:$S,ROW()+4),"")</f>
        <v/>
      </c>
      <c r="F125" s="33" t="str">
        <f>IF($A125="","",IF(N(INDEX('PI Furnizor'!$L:$L,ROW()+1))&gt;0,INDEX('PI Furnizor'!$L:$L,ROW()+1),""))</f>
        <v/>
      </c>
      <c r="G125" s="33" t="str">
        <f>IF($A125="","",IF(Comenzi!$D$6="Da",$D125,$E125))</f>
        <v/>
      </c>
      <c r="H125" s="33" t="str">
        <f>IF(OR($A125="",$F125=""),"",IF(Comenzi!$D$6="Da",IFERROR($F125/(1+INDEX('Calculator Cost per Bucata'!$AC:$AC,ROW()+4)),""),$F125))</f>
        <v/>
      </c>
      <c r="I125" s="46" t="str">
        <f t="shared" si="3"/>
        <v/>
      </c>
      <c r="J125" s="47" t="str">
        <f t="shared" si="4"/>
        <v/>
      </c>
      <c r="K125" s="48" t="str">
        <f t="shared" si="5"/>
        <v/>
      </c>
    </row>
    <row r="126" spans="1:11" x14ac:dyDescent="0.3">
      <c r="A126" s="28" t="str">
        <f>IF(INDEX('Calculator Cost per Bucata'!$A:$A,ROW()+4)="","",INDEX('Calculator Cost per Bucata'!$A:$A,ROW()+4))</f>
        <v/>
      </c>
      <c r="B126" s="28" t="str">
        <f>IF($A126="","",INDEX('Calculator Cost per Bucata'!$C:$C,ROW()+4))</f>
        <v/>
      </c>
      <c r="C126" s="28" t="str">
        <f>IF($A126="","",INDEX('Calculator Cost per Bucata'!$D:$D,ROW()+4))</f>
        <v/>
      </c>
      <c r="D126" s="33" t="str">
        <f>IF(INDEX('Calculator Cost per Bucata'!$Y:$Y,ROW()+4)=1,INDEX('Calculator Cost per Bucata'!$P:$P,ROW()+4),"")</f>
        <v/>
      </c>
      <c r="E126" s="33" t="str">
        <f>IF(INDEX('Calculator Cost per Bucata'!$Y:$Y,ROW()+4)=1,INDEX('Calculator Cost per Bucata'!$S:$S,ROW()+4),"")</f>
        <v/>
      </c>
      <c r="F126" s="33" t="str">
        <f>IF($A126="","",IF(N(INDEX('PI Furnizor'!$L:$L,ROW()+1))&gt;0,INDEX('PI Furnizor'!$L:$L,ROW()+1),""))</f>
        <v/>
      </c>
      <c r="G126" s="33" t="str">
        <f>IF($A126="","",IF(Comenzi!$D$6="Da",$D126,$E126))</f>
        <v/>
      </c>
      <c r="H126" s="33" t="str">
        <f>IF(OR($A126="",$F126=""),"",IF(Comenzi!$D$6="Da",IFERROR($F126/(1+INDEX('Calculator Cost per Bucata'!$AC:$AC,ROW()+4)),""),$F126))</f>
        <v/>
      </c>
      <c r="I126" s="46" t="str">
        <f t="shared" si="3"/>
        <v/>
      </c>
      <c r="J126" s="47" t="str">
        <f t="shared" si="4"/>
        <v/>
      </c>
      <c r="K126" s="48" t="str">
        <f t="shared" si="5"/>
        <v/>
      </c>
    </row>
    <row r="127" spans="1:11" x14ac:dyDescent="0.3">
      <c r="A127" s="28" t="str">
        <f>IF(INDEX('Calculator Cost per Bucata'!$A:$A,ROW()+4)="","",INDEX('Calculator Cost per Bucata'!$A:$A,ROW()+4))</f>
        <v/>
      </c>
      <c r="B127" s="28" t="str">
        <f>IF($A127="","",INDEX('Calculator Cost per Bucata'!$C:$C,ROW()+4))</f>
        <v/>
      </c>
      <c r="C127" s="28" t="str">
        <f>IF($A127="","",INDEX('Calculator Cost per Bucata'!$D:$D,ROW()+4))</f>
        <v/>
      </c>
      <c r="D127" s="33" t="str">
        <f>IF(INDEX('Calculator Cost per Bucata'!$Y:$Y,ROW()+4)=1,INDEX('Calculator Cost per Bucata'!$P:$P,ROW()+4),"")</f>
        <v/>
      </c>
      <c r="E127" s="33" t="str">
        <f>IF(INDEX('Calculator Cost per Bucata'!$Y:$Y,ROW()+4)=1,INDEX('Calculator Cost per Bucata'!$S:$S,ROW()+4),"")</f>
        <v/>
      </c>
      <c r="F127" s="33" t="str">
        <f>IF($A127="","",IF(N(INDEX('PI Furnizor'!$L:$L,ROW()+1))&gt;0,INDEX('PI Furnizor'!$L:$L,ROW()+1),""))</f>
        <v/>
      </c>
      <c r="G127" s="33" t="str">
        <f>IF($A127="","",IF(Comenzi!$D$6="Da",$D127,$E127))</f>
        <v/>
      </c>
      <c r="H127" s="33" t="str">
        <f>IF(OR($A127="",$F127=""),"",IF(Comenzi!$D$6="Da",IFERROR($F127/(1+INDEX('Calculator Cost per Bucata'!$AC:$AC,ROW()+4)),""),$F127))</f>
        <v/>
      </c>
      <c r="I127" s="46" t="str">
        <f t="shared" si="3"/>
        <v/>
      </c>
      <c r="J127" s="47" t="str">
        <f t="shared" si="4"/>
        <v/>
      </c>
      <c r="K127" s="48" t="str">
        <f t="shared" si="5"/>
        <v/>
      </c>
    </row>
    <row r="128" spans="1:11" x14ac:dyDescent="0.3">
      <c r="A128" s="28" t="str">
        <f>IF(INDEX('Calculator Cost per Bucata'!$A:$A,ROW()+4)="","",INDEX('Calculator Cost per Bucata'!$A:$A,ROW()+4))</f>
        <v/>
      </c>
      <c r="B128" s="28" t="str">
        <f>IF($A128="","",INDEX('Calculator Cost per Bucata'!$C:$C,ROW()+4))</f>
        <v/>
      </c>
      <c r="C128" s="28" t="str">
        <f>IF($A128="","",INDEX('Calculator Cost per Bucata'!$D:$D,ROW()+4))</f>
        <v/>
      </c>
      <c r="D128" s="33" t="str">
        <f>IF(INDEX('Calculator Cost per Bucata'!$Y:$Y,ROW()+4)=1,INDEX('Calculator Cost per Bucata'!$P:$P,ROW()+4),"")</f>
        <v/>
      </c>
      <c r="E128" s="33" t="str">
        <f>IF(INDEX('Calculator Cost per Bucata'!$Y:$Y,ROW()+4)=1,INDEX('Calculator Cost per Bucata'!$S:$S,ROW()+4),"")</f>
        <v/>
      </c>
      <c r="F128" s="33" t="str">
        <f>IF($A128="","",IF(N(INDEX('PI Furnizor'!$L:$L,ROW()+1))&gt;0,INDEX('PI Furnizor'!$L:$L,ROW()+1),""))</f>
        <v/>
      </c>
      <c r="G128" s="33" t="str">
        <f>IF($A128="","",IF(Comenzi!$D$6="Da",$D128,$E128))</f>
        <v/>
      </c>
      <c r="H128" s="33" t="str">
        <f>IF(OR($A128="",$F128=""),"",IF(Comenzi!$D$6="Da",IFERROR($F128/(1+INDEX('Calculator Cost per Bucata'!$AC:$AC,ROW()+4)),""),$F128))</f>
        <v/>
      </c>
      <c r="I128" s="46" t="str">
        <f t="shared" si="3"/>
        <v/>
      </c>
      <c r="J128" s="47" t="str">
        <f t="shared" si="4"/>
        <v/>
      </c>
      <c r="K128" s="48" t="str">
        <f t="shared" si="5"/>
        <v/>
      </c>
    </row>
    <row r="129" spans="1:11" x14ac:dyDescent="0.3">
      <c r="A129" s="28" t="str">
        <f>IF(INDEX('Calculator Cost per Bucata'!$A:$A,ROW()+4)="","",INDEX('Calculator Cost per Bucata'!$A:$A,ROW()+4))</f>
        <v/>
      </c>
      <c r="B129" s="28" t="str">
        <f>IF($A129="","",INDEX('Calculator Cost per Bucata'!$C:$C,ROW()+4))</f>
        <v/>
      </c>
      <c r="C129" s="28" t="str">
        <f>IF($A129="","",INDEX('Calculator Cost per Bucata'!$D:$D,ROW()+4))</f>
        <v/>
      </c>
      <c r="D129" s="33" t="str">
        <f>IF(INDEX('Calculator Cost per Bucata'!$Y:$Y,ROW()+4)=1,INDEX('Calculator Cost per Bucata'!$P:$P,ROW()+4),"")</f>
        <v/>
      </c>
      <c r="E129" s="33" t="str">
        <f>IF(INDEX('Calculator Cost per Bucata'!$Y:$Y,ROW()+4)=1,INDEX('Calculator Cost per Bucata'!$S:$S,ROW()+4),"")</f>
        <v/>
      </c>
      <c r="F129" s="33" t="str">
        <f>IF($A129="","",IF(N(INDEX('PI Furnizor'!$L:$L,ROW()+1))&gt;0,INDEX('PI Furnizor'!$L:$L,ROW()+1),""))</f>
        <v/>
      </c>
      <c r="G129" s="33" t="str">
        <f>IF($A129="","",IF(Comenzi!$D$6="Da",$D129,$E129))</f>
        <v/>
      </c>
      <c r="H129" s="33" t="str">
        <f>IF(OR($A129="",$F129=""),"",IF(Comenzi!$D$6="Da",IFERROR($F129/(1+INDEX('Calculator Cost per Bucata'!$AC:$AC,ROW()+4)),""),$F129))</f>
        <v/>
      </c>
      <c r="I129" s="46" t="str">
        <f t="shared" si="3"/>
        <v/>
      </c>
      <c r="J129" s="47" t="str">
        <f t="shared" si="4"/>
        <v/>
      </c>
      <c r="K129" s="48" t="str">
        <f t="shared" si="5"/>
        <v/>
      </c>
    </row>
    <row r="130" spans="1:11" x14ac:dyDescent="0.3">
      <c r="A130" s="28" t="str">
        <f>IF(INDEX('Calculator Cost per Bucata'!$A:$A,ROW()+4)="","",INDEX('Calculator Cost per Bucata'!$A:$A,ROW()+4))</f>
        <v/>
      </c>
      <c r="B130" s="28" t="str">
        <f>IF($A130="","",INDEX('Calculator Cost per Bucata'!$C:$C,ROW()+4))</f>
        <v/>
      </c>
      <c r="C130" s="28" t="str">
        <f>IF($A130="","",INDEX('Calculator Cost per Bucata'!$D:$D,ROW()+4))</f>
        <v/>
      </c>
      <c r="D130" s="33" t="str">
        <f>IF(INDEX('Calculator Cost per Bucata'!$Y:$Y,ROW()+4)=1,INDEX('Calculator Cost per Bucata'!$P:$P,ROW()+4),"")</f>
        <v/>
      </c>
      <c r="E130" s="33" t="str">
        <f>IF(INDEX('Calculator Cost per Bucata'!$Y:$Y,ROW()+4)=1,INDEX('Calculator Cost per Bucata'!$S:$S,ROW()+4),"")</f>
        <v/>
      </c>
      <c r="F130" s="33" t="str">
        <f>IF($A130="","",IF(N(INDEX('PI Furnizor'!$L:$L,ROW()+1))&gt;0,INDEX('PI Furnizor'!$L:$L,ROW()+1),""))</f>
        <v/>
      </c>
      <c r="G130" s="33" t="str">
        <f>IF($A130="","",IF(Comenzi!$D$6="Da",$D130,$E130))</f>
        <v/>
      </c>
      <c r="H130" s="33" t="str">
        <f>IF(OR($A130="",$F130=""),"",IF(Comenzi!$D$6="Da",IFERROR($F130/(1+INDEX('Calculator Cost per Bucata'!$AC:$AC,ROW()+4)),""),$F130))</f>
        <v/>
      </c>
      <c r="I130" s="46" t="str">
        <f t="shared" si="3"/>
        <v/>
      </c>
      <c r="J130" s="47" t="str">
        <f t="shared" si="4"/>
        <v/>
      </c>
      <c r="K130" s="48" t="str">
        <f t="shared" si="5"/>
        <v/>
      </c>
    </row>
    <row r="131" spans="1:11" x14ac:dyDescent="0.3">
      <c r="A131" s="28" t="str">
        <f>IF(INDEX('Calculator Cost per Bucata'!$A:$A,ROW()+4)="","",INDEX('Calculator Cost per Bucata'!$A:$A,ROW()+4))</f>
        <v/>
      </c>
      <c r="B131" s="28" t="str">
        <f>IF($A131="","",INDEX('Calculator Cost per Bucata'!$C:$C,ROW()+4))</f>
        <v/>
      </c>
      <c r="C131" s="28" t="str">
        <f>IF($A131="","",INDEX('Calculator Cost per Bucata'!$D:$D,ROW()+4))</f>
        <v/>
      </c>
      <c r="D131" s="33" t="str">
        <f>IF(INDEX('Calculator Cost per Bucata'!$Y:$Y,ROW()+4)=1,INDEX('Calculator Cost per Bucata'!$P:$P,ROW()+4),"")</f>
        <v/>
      </c>
      <c r="E131" s="33" t="str">
        <f>IF(INDEX('Calculator Cost per Bucata'!$Y:$Y,ROW()+4)=1,INDEX('Calculator Cost per Bucata'!$S:$S,ROW()+4),"")</f>
        <v/>
      </c>
      <c r="F131" s="33" t="str">
        <f>IF($A131="","",IF(N(INDEX('PI Furnizor'!$L:$L,ROW()+1))&gt;0,INDEX('PI Furnizor'!$L:$L,ROW()+1),""))</f>
        <v/>
      </c>
      <c r="G131" s="33" t="str">
        <f>IF($A131="","",IF(Comenzi!$D$6="Da",$D131,$E131))</f>
        <v/>
      </c>
      <c r="H131" s="33" t="str">
        <f>IF(OR($A131="",$F131=""),"",IF(Comenzi!$D$6="Da",IFERROR($F131/(1+INDEX('Calculator Cost per Bucata'!$AC:$AC,ROW()+4)),""),$F131))</f>
        <v/>
      </c>
      <c r="I131" s="46" t="str">
        <f t="shared" si="3"/>
        <v/>
      </c>
      <c r="J131" s="47" t="str">
        <f t="shared" si="4"/>
        <v/>
      </c>
      <c r="K131" s="48" t="str">
        <f t="shared" si="5"/>
        <v/>
      </c>
    </row>
    <row r="132" spans="1:11" x14ac:dyDescent="0.3">
      <c r="A132" s="28" t="str">
        <f>IF(INDEX('Calculator Cost per Bucata'!$A:$A,ROW()+4)="","",INDEX('Calculator Cost per Bucata'!$A:$A,ROW()+4))</f>
        <v/>
      </c>
      <c r="B132" s="28" t="str">
        <f>IF($A132="","",INDEX('Calculator Cost per Bucata'!$C:$C,ROW()+4))</f>
        <v/>
      </c>
      <c r="C132" s="28" t="str">
        <f>IF($A132="","",INDEX('Calculator Cost per Bucata'!$D:$D,ROW()+4))</f>
        <v/>
      </c>
      <c r="D132" s="33" t="str">
        <f>IF(INDEX('Calculator Cost per Bucata'!$Y:$Y,ROW()+4)=1,INDEX('Calculator Cost per Bucata'!$P:$P,ROW()+4),"")</f>
        <v/>
      </c>
      <c r="E132" s="33" t="str">
        <f>IF(INDEX('Calculator Cost per Bucata'!$Y:$Y,ROW()+4)=1,INDEX('Calculator Cost per Bucata'!$S:$S,ROW()+4),"")</f>
        <v/>
      </c>
      <c r="F132" s="33" t="str">
        <f>IF($A132="","",IF(N(INDEX('PI Furnizor'!$L:$L,ROW()+1))&gt;0,INDEX('PI Furnizor'!$L:$L,ROW()+1),""))</f>
        <v/>
      </c>
      <c r="G132" s="33" t="str">
        <f>IF($A132="","",IF(Comenzi!$D$6="Da",$D132,$E132))</f>
        <v/>
      </c>
      <c r="H132" s="33" t="str">
        <f>IF(OR($A132="",$F132=""),"",IF(Comenzi!$D$6="Da",IFERROR($F132/(1+INDEX('Calculator Cost per Bucata'!$AC:$AC,ROW()+4)),""),$F132))</f>
        <v/>
      </c>
      <c r="I132" s="46" t="str">
        <f t="shared" si="3"/>
        <v/>
      </c>
      <c r="J132" s="47" t="str">
        <f t="shared" si="4"/>
        <v/>
      </c>
      <c r="K132" s="48" t="str">
        <f t="shared" si="5"/>
        <v/>
      </c>
    </row>
    <row r="133" spans="1:11" x14ac:dyDescent="0.3">
      <c r="A133" s="28" t="str">
        <f>IF(INDEX('Calculator Cost per Bucata'!$A:$A,ROW()+4)="","",INDEX('Calculator Cost per Bucata'!$A:$A,ROW()+4))</f>
        <v/>
      </c>
      <c r="B133" s="28" t="str">
        <f>IF($A133="","",INDEX('Calculator Cost per Bucata'!$C:$C,ROW()+4))</f>
        <v/>
      </c>
      <c r="C133" s="28" t="str">
        <f>IF($A133="","",INDEX('Calculator Cost per Bucata'!$D:$D,ROW()+4))</f>
        <v/>
      </c>
      <c r="D133" s="33" t="str">
        <f>IF(INDEX('Calculator Cost per Bucata'!$Y:$Y,ROW()+4)=1,INDEX('Calculator Cost per Bucata'!$P:$P,ROW()+4),"")</f>
        <v/>
      </c>
      <c r="E133" s="33" t="str">
        <f>IF(INDEX('Calculator Cost per Bucata'!$Y:$Y,ROW()+4)=1,INDEX('Calculator Cost per Bucata'!$S:$S,ROW()+4),"")</f>
        <v/>
      </c>
      <c r="F133" s="33" t="str">
        <f>IF($A133="","",IF(N(INDEX('PI Furnizor'!$L:$L,ROW()+1))&gt;0,INDEX('PI Furnizor'!$L:$L,ROW()+1),""))</f>
        <v/>
      </c>
      <c r="G133" s="33" t="str">
        <f>IF($A133="","",IF(Comenzi!$D$6="Da",$D133,$E133))</f>
        <v/>
      </c>
      <c r="H133" s="33" t="str">
        <f>IF(OR($A133="",$F133=""),"",IF(Comenzi!$D$6="Da",IFERROR($F133/(1+INDEX('Calculator Cost per Bucata'!$AC:$AC,ROW()+4)),""),$F133))</f>
        <v/>
      </c>
      <c r="I133" s="46" t="str">
        <f t="shared" si="3"/>
        <v/>
      </c>
      <c r="J133" s="47" t="str">
        <f t="shared" si="4"/>
        <v/>
      </c>
      <c r="K133" s="48" t="str">
        <f t="shared" si="5"/>
        <v/>
      </c>
    </row>
    <row r="134" spans="1:11" x14ac:dyDescent="0.3">
      <c r="A134" s="28" t="str">
        <f>IF(INDEX('Calculator Cost per Bucata'!$A:$A,ROW()+4)="","",INDEX('Calculator Cost per Bucata'!$A:$A,ROW()+4))</f>
        <v/>
      </c>
      <c r="B134" s="28" t="str">
        <f>IF($A134="","",INDEX('Calculator Cost per Bucata'!$C:$C,ROW()+4))</f>
        <v/>
      </c>
      <c r="C134" s="28" t="str">
        <f>IF($A134="","",INDEX('Calculator Cost per Bucata'!$D:$D,ROW()+4))</f>
        <v/>
      </c>
      <c r="D134" s="33" t="str">
        <f>IF(INDEX('Calculator Cost per Bucata'!$Y:$Y,ROW()+4)=1,INDEX('Calculator Cost per Bucata'!$P:$P,ROW()+4),"")</f>
        <v/>
      </c>
      <c r="E134" s="33" t="str">
        <f>IF(INDEX('Calculator Cost per Bucata'!$Y:$Y,ROW()+4)=1,INDEX('Calculator Cost per Bucata'!$S:$S,ROW()+4),"")</f>
        <v/>
      </c>
      <c r="F134" s="33" t="str">
        <f>IF($A134="","",IF(N(INDEX('PI Furnizor'!$L:$L,ROW()+1))&gt;0,INDEX('PI Furnizor'!$L:$L,ROW()+1),""))</f>
        <v/>
      </c>
      <c r="G134" s="33" t="str">
        <f>IF($A134="","",IF(Comenzi!$D$6="Da",$D134,$E134))</f>
        <v/>
      </c>
      <c r="H134" s="33" t="str">
        <f>IF(OR($A134="",$F134=""),"",IF(Comenzi!$D$6="Da",IFERROR($F134/(1+INDEX('Calculator Cost per Bucata'!$AC:$AC,ROW()+4)),""),$F134))</f>
        <v/>
      </c>
      <c r="I134" s="46" t="str">
        <f t="shared" ref="I134:I197" si="6">IF(OR($G134="",$H134=""),"",$H134-$G134)</f>
        <v/>
      </c>
      <c r="J134" s="47" t="str">
        <f t="shared" ref="J134:J197" si="7">IF(OR($G134="",$H134=""),"",($H134-$G134)/$H134)</f>
        <v/>
      </c>
      <c r="K134" s="48" t="str">
        <f t="shared" ref="K134:K197" si="8">IF($A134="","",IF($G134="","Date incomplete - vezi Calculator",IF($H134="","Introdu pretul RO (PI Furnizor, col. L)",IF($H134&gt;$G134*1.15,"Import avantajos - marja buna",IF($H134&gt;$G134,"Import usor avantajos - marja mica","Piata RO mai ieftina - verifica")))))</f>
        <v/>
      </c>
    </row>
    <row r="135" spans="1:11" x14ac:dyDescent="0.3">
      <c r="A135" s="28" t="str">
        <f>IF(INDEX('Calculator Cost per Bucata'!$A:$A,ROW()+4)="","",INDEX('Calculator Cost per Bucata'!$A:$A,ROW()+4))</f>
        <v/>
      </c>
      <c r="B135" s="28" t="str">
        <f>IF($A135="","",INDEX('Calculator Cost per Bucata'!$C:$C,ROW()+4))</f>
        <v/>
      </c>
      <c r="C135" s="28" t="str">
        <f>IF($A135="","",INDEX('Calculator Cost per Bucata'!$D:$D,ROW()+4))</f>
        <v/>
      </c>
      <c r="D135" s="33" t="str">
        <f>IF(INDEX('Calculator Cost per Bucata'!$Y:$Y,ROW()+4)=1,INDEX('Calculator Cost per Bucata'!$P:$P,ROW()+4),"")</f>
        <v/>
      </c>
      <c r="E135" s="33" t="str">
        <f>IF(INDEX('Calculator Cost per Bucata'!$Y:$Y,ROW()+4)=1,INDEX('Calculator Cost per Bucata'!$S:$S,ROW()+4),"")</f>
        <v/>
      </c>
      <c r="F135" s="33" t="str">
        <f>IF($A135="","",IF(N(INDEX('PI Furnizor'!$L:$L,ROW()+1))&gt;0,INDEX('PI Furnizor'!$L:$L,ROW()+1),""))</f>
        <v/>
      </c>
      <c r="G135" s="33" t="str">
        <f>IF($A135="","",IF(Comenzi!$D$6="Da",$D135,$E135))</f>
        <v/>
      </c>
      <c r="H135" s="33" t="str">
        <f>IF(OR($A135="",$F135=""),"",IF(Comenzi!$D$6="Da",IFERROR($F135/(1+INDEX('Calculator Cost per Bucata'!$AC:$AC,ROW()+4)),""),$F135))</f>
        <v/>
      </c>
      <c r="I135" s="46" t="str">
        <f t="shared" si="6"/>
        <v/>
      </c>
      <c r="J135" s="47" t="str">
        <f t="shared" si="7"/>
        <v/>
      </c>
      <c r="K135" s="48" t="str">
        <f t="shared" si="8"/>
        <v/>
      </c>
    </row>
    <row r="136" spans="1:11" x14ac:dyDescent="0.3">
      <c r="A136" s="28" t="str">
        <f>IF(INDEX('Calculator Cost per Bucata'!$A:$A,ROW()+4)="","",INDEX('Calculator Cost per Bucata'!$A:$A,ROW()+4))</f>
        <v/>
      </c>
      <c r="B136" s="28" t="str">
        <f>IF($A136="","",INDEX('Calculator Cost per Bucata'!$C:$C,ROW()+4))</f>
        <v/>
      </c>
      <c r="C136" s="28" t="str">
        <f>IF($A136="","",INDEX('Calculator Cost per Bucata'!$D:$D,ROW()+4))</f>
        <v/>
      </c>
      <c r="D136" s="33" t="str">
        <f>IF(INDEX('Calculator Cost per Bucata'!$Y:$Y,ROW()+4)=1,INDEX('Calculator Cost per Bucata'!$P:$P,ROW()+4),"")</f>
        <v/>
      </c>
      <c r="E136" s="33" t="str">
        <f>IF(INDEX('Calculator Cost per Bucata'!$Y:$Y,ROW()+4)=1,INDEX('Calculator Cost per Bucata'!$S:$S,ROW()+4),"")</f>
        <v/>
      </c>
      <c r="F136" s="33" t="str">
        <f>IF($A136="","",IF(N(INDEX('PI Furnizor'!$L:$L,ROW()+1))&gt;0,INDEX('PI Furnizor'!$L:$L,ROW()+1),""))</f>
        <v/>
      </c>
      <c r="G136" s="33" t="str">
        <f>IF($A136="","",IF(Comenzi!$D$6="Da",$D136,$E136))</f>
        <v/>
      </c>
      <c r="H136" s="33" t="str">
        <f>IF(OR($A136="",$F136=""),"",IF(Comenzi!$D$6="Da",IFERROR($F136/(1+INDEX('Calculator Cost per Bucata'!$AC:$AC,ROW()+4)),""),$F136))</f>
        <v/>
      </c>
      <c r="I136" s="46" t="str">
        <f t="shared" si="6"/>
        <v/>
      </c>
      <c r="J136" s="47" t="str">
        <f t="shared" si="7"/>
        <v/>
      </c>
      <c r="K136" s="48" t="str">
        <f t="shared" si="8"/>
        <v/>
      </c>
    </row>
    <row r="137" spans="1:11" x14ac:dyDescent="0.3">
      <c r="A137" s="28" t="str">
        <f>IF(INDEX('Calculator Cost per Bucata'!$A:$A,ROW()+4)="","",INDEX('Calculator Cost per Bucata'!$A:$A,ROW()+4))</f>
        <v/>
      </c>
      <c r="B137" s="28" t="str">
        <f>IF($A137="","",INDEX('Calculator Cost per Bucata'!$C:$C,ROW()+4))</f>
        <v/>
      </c>
      <c r="C137" s="28" t="str">
        <f>IF($A137="","",INDEX('Calculator Cost per Bucata'!$D:$D,ROW()+4))</f>
        <v/>
      </c>
      <c r="D137" s="33" t="str">
        <f>IF(INDEX('Calculator Cost per Bucata'!$Y:$Y,ROW()+4)=1,INDEX('Calculator Cost per Bucata'!$P:$P,ROW()+4),"")</f>
        <v/>
      </c>
      <c r="E137" s="33" t="str">
        <f>IF(INDEX('Calculator Cost per Bucata'!$Y:$Y,ROW()+4)=1,INDEX('Calculator Cost per Bucata'!$S:$S,ROW()+4),"")</f>
        <v/>
      </c>
      <c r="F137" s="33" t="str">
        <f>IF($A137="","",IF(N(INDEX('PI Furnizor'!$L:$L,ROW()+1))&gt;0,INDEX('PI Furnizor'!$L:$L,ROW()+1),""))</f>
        <v/>
      </c>
      <c r="G137" s="33" t="str">
        <f>IF($A137="","",IF(Comenzi!$D$6="Da",$D137,$E137))</f>
        <v/>
      </c>
      <c r="H137" s="33" t="str">
        <f>IF(OR($A137="",$F137=""),"",IF(Comenzi!$D$6="Da",IFERROR($F137/(1+INDEX('Calculator Cost per Bucata'!$AC:$AC,ROW()+4)),""),$F137))</f>
        <v/>
      </c>
      <c r="I137" s="46" t="str">
        <f t="shared" si="6"/>
        <v/>
      </c>
      <c r="J137" s="47" t="str">
        <f t="shared" si="7"/>
        <v/>
      </c>
      <c r="K137" s="48" t="str">
        <f t="shared" si="8"/>
        <v/>
      </c>
    </row>
    <row r="138" spans="1:11" x14ac:dyDescent="0.3">
      <c r="A138" s="28" t="str">
        <f>IF(INDEX('Calculator Cost per Bucata'!$A:$A,ROW()+4)="","",INDEX('Calculator Cost per Bucata'!$A:$A,ROW()+4))</f>
        <v/>
      </c>
      <c r="B138" s="28" t="str">
        <f>IF($A138="","",INDEX('Calculator Cost per Bucata'!$C:$C,ROW()+4))</f>
        <v/>
      </c>
      <c r="C138" s="28" t="str">
        <f>IF($A138="","",INDEX('Calculator Cost per Bucata'!$D:$D,ROW()+4))</f>
        <v/>
      </c>
      <c r="D138" s="33" t="str">
        <f>IF(INDEX('Calculator Cost per Bucata'!$Y:$Y,ROW()+4)=1,INDEX('Calculator Cost per Bucata'!$P:$P,ROW()+4),"")</f>
        <v/>
      </c>
      <c r="E138" s="33" t="str">
        <f>IF(INDEX('Calculator Cost per Bucata'!$Y:$Y,ROW()+4)=1,INDEX('Calculator Cost per Bucata'!$S:$S,ROW()+4),"")</f>
        <v/>
      </c>
      <c r="F138" s="33" t="str">
        <f>IF($A138="","",IF(N(INDEX('PI Furnizor'!$L:$L,ROW()+1))&gt;0,INDEX('PI Furnizor'!$L:$L,ROW()+1),""))</f>
        <v/>
      </c>
      <c r="G138" s="33" t="str">
        <f>IF($A138="","",IF(Comenzi!$D$6="Da",$D138,$E138))</f>
        <v/>
      </c>
      <c r="H138" s="33" t="str">
        <f>IF(OR($A138="",$F138=""),"",IF(Comenzi!$D$6="Da",IFERROR($F138/(1+INDEX('Calculator Cost per Bucata'!$AC:$AC,ROW()+4)),""),$F138))</f>
        <v/>
      </c>
      <c r="I138" s="46" t="str">
        <f t="shared" si="6"/>
        <v/>
      </c>
      <c r="J138" s="47" t="str">
        <f t="shared" si="7"/>
        <v/>
      </c>
      <c r="K138" s="48" t="str">
        <f t="shared" si="8"/>
        <v/>
      </c>
    </row>
    <row r="139" spans="1:11" x14ac:dyDescent="0.3">
      <c r="A139" s="28" t="str">
        <f>IF(INDEX('Calculator Cost per Bucata'!$A:$A,ROW()+4)="","",INDEX('Calculator Cost per Bucata'!$A:$A,ROW()+4))</f>
        <v/>
      </c>
      <c r="B139" s="28" t="str">
        <f>IF($A139="","",INDEX('Calculator Cost per Bucata'!$C:$C,ROW()+4))</f>
        <v/>
      </c>
      <c r="C139" s="28" t="str">
        <f>IF($A139="","",INDEX('Calculator Cost per Bucata'!$D:$D,ROW()+4))</f>
        <v/>
      </c>
      <c r="D139" s="33" t="str">
        <f>IF(INDEX('Calculator Cost per Bucata'!$Y:$Y,ROW()+4)=1,INDEX('Calculator Cost per Bucata'!$P:$P,ROW()+4),"")</f>
        <v/>
      </c>
      <c r="E139" s="33" t="str">
        <f>IF(INDEX('Calculator Cost per Bucata'!$Y:$Y,ROW()+4)=1,INDEX('Calculator Cost per Bucata'!$S:$S,ROW()+4),"")</f>
        <v/>
      </c>
      <c r="F139" s="33" t="str">
        <f>IF($A139="","",IF(N(INDEX('PI Furnizor'!$L:$L,ROW()+1))&gt;0,INDEX('PI Furnizor'!$L:$L,ROW()+1),""))</f>
        <v/>
      </c>
      <c r="G139" s="33" t="str">
        <f>IF($A139="","",IF(Comenzi!$D$6="Da",$D139,$E139))</f>
        <v/>
      </c>
      <c r="H139" s="33" t="str">
        <f>IF(OR($A139="",$F139=""),"",IF(Comenzi!$D$6="Da",IFERROR($F139/(1+INDEX('Calculator Cost per Bucata'!$AC:$AC,ROW()+4)),""),$F139))</f>
        <v/>
      </c>
      <c r="I139" s="46" t="str">
        <f t="shared" si="6"/>
        <v/>
      </c>
      <c r="J139" s="47" t="str">
        <f t="shared" si="7"/>
        <v/>
      </c>
      <c r="K139" s="48" t="str">
        <f t="shared" si="8"/>
        <v/>
      </c>
    </row>
    <row r="140" spans="1:11" x14ac:dyDescent="0.3">
      <c r="A140" s="28" t="str">
        <f>IF(INDEX('Calculator Cost per Bucata'!$A:$A,ROW()+4)="","",INDEX('Calculator Cost per Bucata'!$A:$A,ROW()+4))</f>
        <v/>
      </c>
      <c r="B140" s="28" t="str">
        <f>IF($A140="","",INDEX('Calculator Cost per Bucata'!$C:$C,ROW()+4))</f>
        <v/>
      </c>
      <c r="C140" s="28" t="str">
        <f>IF($A140="","",INDEX('Calculator Cost per Bucata'!$D:$D,ROW()+4))</f>
        <v/>
      </c>
      <c r="D140" s="33" t="str">
        <f>IF(INDEX('Calculator Cost per Bucata'!$Y:$Y,ROW()+4)=1,INDEX('Calculator Cost per Bucata'!$P:$P,ROW()+4),"")</f>
        <v/>
      </c>
      <c r="E140" s="33" t="str">
        <f>IF(INDEX('Calculator Cost per Bucata'!$Y:$Y,ROW()+4)=1,INDEX('Calculator Cost per Bucata'!$S:$S,ROW()+4),"")</f>
        <v/>
      </c>
      <c r="F140" s="33" t="str">
        <f>IF($A140="","",IF(N(INDEX('PI Furnizor'!$L:$L,ROW()+1))&gt;0,INDEX('PI Furnizor'!$L:$L,ROW()+1),""))</f>
        <v/>
      </c>
      <c r="G140" s="33" t="str">
        <f>IF($A140="","",IF(Comenzi!$D$6="Da",$D140,$E140))</f>
        <v/>
      </c>
      <c r="H140" s="33" t="str">
        <f>IF(OR($A140="",$F140=""),"",IF(Comenzi!$D$6="Da",IFERROR($F140/(1+INDEX('Calculator Cost per Bucata'!$AC:$AC,ROW()+4)),""),$F140))</f>
        <v/>
      </c>
      <c r="I140" s="46" t="str">
        <f t="shared" si="6"/>
        <v/>
      </c>
      <c r="J140" s="47" t="str">
        <f t="shared" si="7"/>
        <v/>
      </c>
      <c r="K140" s="48" t="str">
        <f t="shared" si="8"/>
        <v/>
      </c>
    </row>
    <row r="141" spans="1:11" x14ac:dyDescent="0.3">
      <c r="A141" s="28" t="str">
        <f>IF(INDEX('Calculator Cost per Bucata'!$A:$A,ROW()+4)="","",INDEX('Calculator Cost per Bucata'!$A:$A,ROW()+4))</f>
        <v/>
      </c>
      <c r="B141" s="28" t="str">
        <f>IF($A141="","",INDEX('Calculator Cost per Bucata'!$C:$C,ROW()+4))</f>
        <v/>
      </c>
      <c r="C141" s="28" t="str">
        <f>IF($A141="","",INDEX('Calculator Cost per Bucata'!$D:$D,ROW()+4))</f>
        <v/>
      </c>
      <c r="D141" s="33" t="str">
        <f>IF(INDEX('Calculator Cost per Bucata'!$Y:$Y,ROW()+4)=1,INDEX('Calculator Cost per Bucata'!$P:$P,ROW()+4),"")</f>
        <v/>
      </c>
      <c r="E141" s="33" t="str">
        <f>IF(INDEX('Calculator Cost per Bucata'!$Y:$Y,ROW()+4)=1,INDEX('Calculator Cost per Bucata'!$S:$S,ROW()+4),"")</f>
        <v/>
      </c>
      <c r="F141" s="33" t="str">
        <f>IF($A141="","",IF(N(INDEX('PI Furnizor'!$L:$L,ROW()+1))&gt;0,INDEX('PI Furnizor'!$L:$L,ROW()+1),""))</f>
        <v/>
      </c>
      <c r="G141" s="33" t="str">
        <f>IF($A141="","",IF(Comenzi!$D$6="Da",$D141,$E141))</f>
        <v/>
      </c>
      <c r="H141" s="33" t="str">
        <f>IF(OR($A141="",$F141=""),"",IF(Comenzi!$D$6="Da",IFERROR($F141/(1+INDEX('Calculator Cost per Bucata'!$AC:$AC,ROW()+4)),""),$F141))</f>
        <v/>
      </c>
      <c r="I141" s="46" t="str">
        <f t="shared" si="6"/>
        <v/>
      </c>
      <c r="J141" s="47" t="str">
        <f t="shared" si="7"/>
        <v/>
      </c>
      <c r="K141" s="48" t="str">
        <f t="shared" si="8"/>
        <v/>
      </c>
    </row>
    <row r="142" spans="1:11" x14ac:dyDescent="0.3">
      <c r="A142" s="28" t="str">
        <f>IF(INDEX('Calculator Cost per Bucata'!$A:$A,ROW()+4)="","",INDEX('Calculator Cost per Bucata'!$A:$A,ROW()+4))</f>
        <v/>
      </c>
      <c r="B142" s="28" t="str">
        <f>IF($A142="","",INDEX('Calculator Cost per Bucata'!$C:$C,ROW()+4))</f>
        <v/>
      </c>
      <c r="C142" s="28" t="str">
        <f>IF($A142="","",INDEX('Calculator Cost per Bucata'!$D:$D,ROW()+4))</f>
        <v/>
      </c>
      <c r="D142" s="33" t="str">
        <f>IF(INDEX('Calculator Cost per Bucata'!$Y:$Y,ROW()+4)=1,INDEX('Calculator Cost per Bucata'!$P:$P,ROW()+4),"")</f>
        <v/>
      </c>
      <c r="E142" s="33" t="str">
        <f>IF(INDEX('Calculator Cost per Bucata'!$Y:$Y,ROW()+4)=1,INDEX('Calculator Cost per Bucata'!$S:$S,ROW()+4),"")</f>
        <v/>
      </c>
      <c r="F142" s="33" t="str">
        <f>IF($A142="","",IF(N(INDEX('PI Furnizor'!$L:$L,ROW()+1))&gt;0,INDEX('PI Furnizor'!$L:$L,ROW()+1),""))</f>
        <v/>
      </c>
      <c r="G142" s="33" t="str">
        <f>IF($A142="","",IF(Comenzi!$D$6="Da",$D142,$E142))</f>
        <v/>
      </c>
      <c r="H142" s="33" t="str">
        <f>IF(OR($A142="",$F142=""),"",IF(Comenzi!$D$6="Da",IFERROR($F142/(1+INDEX('Calculator Cost per Bucata'!$AC:$AC,ROW()+4)),""),$F142))</f>
        <v/>
      </c>
      <c r="I142" s="46" t="str">
        <f t="shared" si="6"/>
        <v/>
      </c>
      <c r="J142" s="47" t="str">
        <f t="shared" si="7"/>
        <v/>
      </c>
      <c r="K142" s="48" t="str">
        <f t="shared" si="8"/>
        <v/>
      </c>
    </row>
    <row r="143" spans="1:11" x14ac:dyDescent="0.3">
      <c r="A143" s="28" t="str">
        <f>IF(INDEX('Calculator Cost per Bucata'!$A:$A,ROW()+4)="","",INDEX('Calculator Cost per Bucata'!$A:$A,ROW()+4))</f>
        <v/>
      </c>
      <c r="B143" s="28" t="str">
        <f>IF($A143="","",INDEX('Calculator Cost per Bucata'!$C:$C,ROW()+4))</f>
        <v/>
      </c>
      <c r="C143" s="28" t="str">
        <f>IF($A143="","",INDEX('Calculator Cost per Bucata'!$D:$D,ROW()+4))</f>
        <v/>
      </c>
      <c r="D143" s="33" t="str">
        <f>IF(INDEX('Calculator Cost per Bucata'!$Y:$Y,ROW()+4)=1,INDEX('Calculator Cost per Bucata'!$P:$P,ROW()+4),"")</f>
        <v/>
      </c>
      <c r="E143" s="33" t="str">
        <f>IF(INDEX('Calculator Cost per Bucata'!$Y:$Y,ROW()+4)=1,INDEX('Calculator Cost per Bucata'!$S:$S,ROW()+4),"")</f>
        <v/>
      </c>
      <c r="F143" s="33" t="str">
        <f>IF($A143="","",IF(N(INDEX('PI Furnizor'!$L:$L,ROW()+1))&gt;0,INDEX('PI Furnizor'!$L:$L,ROW()+1),""))</f>
        <v/>
      </c>
      <c r="G143" s="33" t="str">
        <f>IF($A143="","",IF(Comenzi!$D$6="Da",$D143,$E143))</f>
        <v/>
      </c>
      <c r="H143" s="33" t="str">
        <f>IF(OR($A143="",$F143=""),"",IF(Comenzi!$D$6="Da",IFERROR($F143/(1+INDEX('Calculator Cost per Bucata'!$AC:$AC,ROW()+4)),""),$F143))</f>
        <v/>
      </c>
      <c r="I143" s="46" t="str">
        <f t="shared" si="6"/>
        <v/>
      </c>
      <c r="J143" s="47" t="str">
        <f t="shared" si="7"/>
        <v/>
      </c>
      <c r="K143" s="48" t="str">
        <f t="shared" si="8"/>
        <v/>
      </c>
    </row>
    <row r="144" spans="1:11" x14ac:dyDescent="0.3">
      <c r="A144" s="28" t="str">
        <f>IF(INDEX('Calculator Cost per Bucata'!$A:$A,ROW()+4)="","",INDEX('Calculator Cost per Bucata'!$A:$A,ROW()+4))</f>
        <v/>
      </c>
      <c r="B144" s="28" t="str">
        <f>IF($A144="","",INDEX('Calculator Cost per Bucata'!$C:$C,ROW()+4))</f>
        <v/>
      </c>
      <c r="C144" s="28" t="str">
        <f>IF($A144="","",INDEX('Calculator Cost per Bucata'!$D:$D,ROW()+4))</f>
        <v/>
      </c>
      <c r="D144" s="33" t="str">
        <f>IF(INDEX('Calculator Cost per Bucata'!$Y:$Y,ROW()+4)=1,INDEX('Calculator Cost per Bucata'!$P:$P,ROW()+4),"")</f>
        <v/>
      </c>
      <c r="E144" s="33" t="str">
        <f>IF(INDEX('Calculator Cost per Bucata'!$Y:$Y,ROW()+4)=1,INDEX('Calculator Cost per Bucata'!$S:$S,ROW()+4),"")</f>
        <v/>
      </c>
      <c r="F144" s="33" t="str">
        <f>IF($A144="","",IF(N(INDEX('PI Furnizor'!$L:$L,ROW()+1))&gt;0,INDEX('PI Furnizor'!$L:$L,ROW()+1),""))</f>
        <v/>
      </c>
      <c r="G144" s="33" t="str">
        <f>IF($A144="","",IF(Comenzi!$D$6="Da",$D144,$E144))</f>
        <v/>
      </c>
      <c r="H144" s="33" t="str">
        <f>IF(OR($A144="",$F144=""),"",IF(Comenzi!$D$6="Da",IFERROR($F144/(1+INDEX('Calculator Cost per Bucata'!$AC:$AC,ROW()+4)),""),$F144))</f>
        <v/>
      </c>
      <c r="I144" s="46" t="str">
        <f t="shared" si="6"/>
        <v/>
      </c>
      <c r="J144" s="47" t="str">
        <f t="shared" si="7"/>
        <v/>
      </c>
      <c r="K144" s="48" t="str">
        <f t="shared" si="8"/>
        <v/>
      </c>
    </row>
    <row r="145" spans="1:11" x14ac:dyDescent="0.3">
      <c r="A145" s="28" t="str">
        <f>IF(INDEX('Calculator Cost per Bucata'!$A:$A,ROW()+4)="","",INDEX('Calculator Cost per Bucata'!$A:$A,ROW()+4))</f>
        <v/>
      </c>
      <c r="B145" s="28" t="str">
        <f>IF($A145="","",INDEX('Calculator Cost per Bucata'!$C:$C,ROW()+4))</f>
        <v/>
      </c>
      <c r="C145" s="28" t="str">
        <f>IF($A145="","",INDEX('Calculator Cost per Bucata'!$D:$D,ROW()+4))</f>
        <v/>
      </c>
      <c r="D145" s="33" t="str">
        <f>IF(INDEX('Calculator Cost per Bucata'!$Y:$Y,ROW()+4)=1,INDEX('Calculator Cost per Bucata'!$P:$P,ROW()+4),"")</f>
        <v/>
      </c>
      <c r="E145" s="33" t="str">
        <f>IF(INDEX('Calculator Cost per Bucata'!$Y:$Y,ROW()+4)=1,INDEX('Calculator Cost per Bucata'!$S:$S,ROW()+4),"")</f>
        <v/>
      </c>
      <c r="F145" s="33" t="str">
        <f>IF($A145="","",IF(N(INDEX('PI Furnizor'!$L:$L,ROW()+1))&gt;0,INDEX('PI Furnizor'!$L:$L,ROW()+1),""))</f>
        <v/>
      </c>
      <c r="G145" s="33" t="str">
        <f>IF($A145="","",IF(Comenzi!$D$6="Da",$D145,$E145))</f>
        <v/>
      </c>
      <c r="H145" s="33" t="str">
        <f>IF(OR($A145="",$F145=""),"",IF(Comenzi!$D$6="Da",IFERROR($F145/(1+INDEX('Calculator Cost per Bucata'!$AC:$AC,ROW()+4)),""),$F145))</f>
        <v/>
      </c>
      <c r="I145" s="46" t="str">
        <f t="shared" si="6"/>
        <v/>
      </c>
      <c r="J145" s="47" t="str">
        <f t="shared" si="7"/>
        <v/>
      </c>
      <c r="K145" s="48" t="str">
        <f t="shared" si="8"/>
        <v/>
      </c>
    </row>
    <row r="146" spans="1:11" x14ac:dyDescent="0.3">
      <c r="A146" s="28" t="str">
        <f>IF(INDEX('Calculator Cost per Bucata'!$A:$A,ROW()+4)="","",INDEX('Calculator Cost per Bucata'!$A:$A,ROW()+4))</f>
        <v/>
      </c>
      <c r="B146" s="28" t="str">
        <f>IF($A146="","",INDEX('Calculator Cost per Bucata'!$C:$C,ROW()+4))</f>
        <v/>
      </c>
      <c r="C146" s="28" t="str">
        <f>IF($A146="","",INDEX('Calculator Cost per Bucata'!$D:$D,ROW()+4))</f>
        <v/>
      </c>
      <c r="D146" s="33" t="str">
        <f>IF(INDEX('Calculator Cost per Bucata'!$Y:$Y,ROW()+4)=1,INDEX('Calculator Cost per Bucata'!$P:$P,ROW()+4),"")</f>
        <v/>
      </c>
      <c r="E146" s="33" t="str">
        <f>IF(INDEX('Calculator Cost per Bucata'!$Y:$Y,ROW()+4)=1,INDEX('Calculator Cost per Bucata'!$S:$S,ROW()+4),"")</f>
        <v/>
      </c>
      <c r="F146" s="33" t="str">
        <f>IF($A146="","",IF(N(INDEX('PI Furnizor'!$L:$L,ROW()+1))&gt;0,INDEX('PI Furnizor'!$L:$L,ROW()+1),""))</f>
        <v/>
      </c>
      <c r="G146" s="33" t="str">
        <f>IF($A146="","",IF(Comenzi!$D$6="Da",$D146,$E146))</f>
        <v/>
      </c>
      <c r="H146" s="33" t="str">
        <f>IF(OR($A146="",$F146=""),"",IF(Comenzi!$D$6="Da",IFERROR($F146/(1+INDEX('Calculator Cost per Bucata'!$AC:$AC,ROW()+4)),""),$F146))</f>
        <v/>
      </c>
      <c r="I146" s="46" t="str">
        <f t="shared" si="6"/>
        <v/>
      </c>
      <c r="J146" s="47" t="str">
        <f t="shared" si="7"/>
        <v/>
      </c>
      <c r="K146" s="48" t="str">
        <f t="shared" si="8"/>
        <v/>
      </c>
    </row>
    <row r="147" spans="1:11" x14ac:dyDescent="0.3">
      <c r="A147" s="28" t="str">
        <f>IF(INDEX('Calculator Cost per Bucata'!$A:$A,ROW()+4)="","",INDEX('Calculator Cost per Bucata'!$A:$A,ROW()+4))</f>
        <v/>
      </c>
      <c r="B147" s="28" t="str">
        <f>IF($A147="","",INDEX('Calculator Cost per Bucata'!$C:$C,ROW()+4))</f>
        <v/>
      </c>
      <c r="C147" s="28" t="str">
        <f>IF($A147="","",INDEX('Calculator Cost per Bucata'!$D:$D,ROW()+4))</f>
        <v/>
      </c>
      <c r="D147" s="33" t="str">
        <f>IF(INDEX('Calculator Cost per Bucata'!$Y:$Y,ROW()+4)=1,INDEX('Calculator Cost per Bucata'!$P:$P,ROW()+4),"")</f>
        <v/>
      </c>
      <c r="E147" s="33" t="str">
        <f>IF(INDEX('Calculator Cost per Bucata'!$Y:$Y,ROW()+4)=1,INDEX('Calculator Cost per Bucata'!$S:$S,ROW()+4),"")</f>
        <v/>
      </c>
      <c r="F147" s="33" t="str">
        <f>IF($A147="","",IF(N(INDEX('PI Furnizor'!$L:$L,ROW()+1))&gt;0,INDEX('PI Furnizor'!$L:$L,ROW()+1),""))</f>
        <v/>
      </c>
      <c r="G147" s="33" t="str">
        <f>IF($A147="","",IF(Comenzi!$D$6="Da",$D147,$E147))</f>
        <v/>
      </c>
      <c r="H147" s="33" t="str">
        <f>IF(OR($A147="",$F147=""),"",IF(Comenzi!$D$6="Da",IFERROR($F147/(1+INDEX('Calculator Cost per Bucata'!$AC:$AC,ROW()+4)),""),$F147))</f>
        <v/>
      </c>
      <c r="I147" s="46" t="str">
        <f t="shared" si="6"/>
        <v/>
      </c>
      <c r="J147" s="47" t="str">
        <f t="shared" si="7"/>
        <v/>
      </c>
      <c r="K147" s="48" t="str">
        <f t="shared" si="8"/>
        <v/>
      </c>
    </row>
    <row r="148" spans="1:11" x14ac:dyDescent="0.3">
      <c r="A148" s="28" t="str">
        <f>IF(INDEX('Calculator Cost per Bucata'!$A:$A,ROW()+4)="","",INDEX('Calculator Cost per Bucata'!$A:$A,ROW()+4))</f>
        <v/>
      </c>
      <c r="B148" s="28" t="str">
        <f>IF($A148="","",INDEX('Calculator Cost per Bucata'!$C:$C,ROW()+4))</f>
        <v/>
      </c>
      <c r="C148" s="28" t="str">
        <f>IF($A148="","",INDEX('Calculator Cost per Bucata'!$D:$D,ROW()+4))</f>
        <v/>
      </c>
      <c r="D148" s="33" t="str">
        <f>IF(INDEX('Calculator Cost per Bucata'!$Y:$Y,ROW()+4)=1,INDEX('Calculator Cost per Bucata'!$P:$P,ROW()+4),"")</f>
        <v/>
      </c>
      <c r="E148" s="33" t="str">
        <f>IF(INDEX('Calculator Cost per Bucata'!$Y:$Y,ROW()+4)=1,INDEX('Calculator Cost per Bucata'!$S:$S,ROW()+4),"")</f>
        <v/>
      </c>
      <c r="F148" s="33" t="str">
        <f>IF($A148="","",IF(N(INDEX('PI Furnizor'!$L:$L,ROW()+1))&gt;0,INDEX('PI Furnizor'!$L:$L,ROW()+1),""))</f>
        <v/>
      </c>
      <c r="G148" s="33" t="str">
        <f>IF($A148="","",IF(Comenzi!$D$6="Da",$D148,$E148))</f>
        <v/>
      </c>
      <c r="H148" s="33" t="str">
        <f>IF(OR($A148="",$F148=""),"",IF(Comenzi!$D$6="Da",IFERROR($F148/(1+INDEX('Calculator Cost per Bucata'!$AC:$AC,ROW()+4)),""),$F148))</f>
        <v/>
      </c>
      <c r="I148" s="46" t="str">
        <f t="shared" si="6"/>
        <v/>
      </c>
      <c r="J148" s="47" t="str">
        <f t="shared" si="7"/>
        <v/>
      </c>
      <c r="K148" s="48" t="str">
        <f t="shared" si="8"/>
        <v/>
      </c>
    </row>
    <row r="149" spans="1:11" x14ac:dyDescent="0.3">
      <c r="A149" s="28" t="str">
        <f>IF(INDEX('Calculator Cost per Bucata'!$A:$A,ROW()+4)="","",INDEX('Calculator Cost per Bucata'!$A:$A,ROW()+4))</f>
        <v/>
      </c>
      <c r="B149" s="28" t="str">
        <f>IF($A149="","",INDEX('Calculator Cost per Bucata'!$C:$C,ROW()+4))</f>
        <v/>
      </c>
      <c r="C149" s="28" t="str">
        <f>IF($A149="","",INDEX('Calculator Cost per Bucata'!$D:$D,ROW()+4))</f>
        <v/>
      </c>
      <c r="D149" s="33" t="str">
        <f>IF(INDEX('Calculator Cost per Bucata'!$Y:$Y,ROW()+4)=1,INDEX('Calculator Cost per Bucata'!$P:$P,ROW()+4),"")</f>
        <v/>
      </c>
      <c r="E149" s="33" t="str">
        <f>IF(INDEX('Calculator Cost per Bucata'!$Y:$Y,ROW()+4)=1,INDEX('Calculator Cost per Bucata'!$S:$S,ROW()+4),"")</f>
        <v/>
      </c>
      <c r="F149" s="33" t="str">
        <f>IF($A149="","",IF(N(INDEX('PI Furnizor'!$L:$L,ROW()+1))&gt;0,INDEX('PI Furnizor'!$L:$L,ROW()+1),""))</f>
        <v/>
      </c>
      <c r="G149" s="33" t="str">
        <f>IF($A149="","",IF(Comenzi!$D$6="Da",$D149,$E149))</f>
        <v/>
      </c>
      <c r="H149" s="33" t="str">
        <f>IF(OR($A149="",$F149=""),"",IF(Comenzi!$D$6="Da",IFERROR($F149/(1+INDEX('Calculator Cost per Bucata'!$AC:$AC,ROW()+4)),""),$F149))</f>
        <v/>
      </c>
      <c r="I149" s="46" t="str">
        <f t="shared" si="6"/>
        <v/>
      </c>
      <c r="J149" s="47" t="str">
        <f t="shared" si="7"/>
        <v/>
      </c>
      <c r="K149" s="48" t="str">
        <f t="shared" si="8"/>
        <v/>
      </c>
    </row>
    <row r="150" spans="1:11" x14ac:dyDescent="0.3">
      <c r="A150" s="28" t="str">
        <f>IF(INDEX('Calculator Cost per Bucata'!$A:$A,ROW()+4)="","",INDEX('Calculator Cost per Bucata'!$A:$A,ROW()+4))</f>
        <v/>
      </c>
      <c r="B150" s="28" t="str">
        <f>IF($A150="","",INDEX('Calculator Cost per Bucata'!$C:$C,ROW()+4))</f>
        <v/>
      </c>
      <c r="C150" s="28" t="str">
        <f>IF($A150="","",INDEX('Calculator Cost per Bucata'!$D:$D,ROW()+4))</f>
        <v/>
      </c>
      <c r="D150" s="33" t="str">
        <f>IF(INDEX('Calculator Cost per Bucata'!$Y:$Y,ROW()+4)=1,INDEX('Calculator Cost per Bucata'!$P:$P,ROW()+4),"")</f>
        <v/>
      </c>
      <c r="E150" s="33" t="str">
        <f>IF(INDEX('Calculator Cost per Bucata'!$Y:$Y,ROW()+4)=1,INDEX('Calculator Cost per Bucata'!$S:$S,ROW()+4),"")</f>
        <v/>
      </c>
      <c r="F150" s="33" t="str">
        <f>IF($A150="","",IF(N(INDEX('PI Furnizor'!$L:$L,ROW()+1))&gt;0,INDEX('PI Furnizor'!$L:$L,ROW()+1),""))</f>
        <v/>
      </c>
      <c r="G150" s="33" t="str">
        <f>IF($A150="","",IF(Comenzi!$D$6="Da",$D150,$E150))</f>
        <v/>
      </c>
      <c r="H150" s="33" t="str">
        <f>IF(OR($A150="",$F150=""),"",IF(Comenzi!$D$6="Da",IFERROR($F150/(1+INDEX('Calculator Cost per Bucata'!$AC:$AC,ROW()+4)),""),$F150))</f>
        <v/>
      </c>
      <c r="I150" s="46" t="str">
        <f t="shared" si="6"/>
        <v/>
      </c>
      <c r="J150" s="47" t="str">
        <f t="shared" si="7"/>
        <v/>
      </c>
      <c r="K150" s="48" t="str">
        <f t="shared" si="8"/>
        <v/>
      </c>
    </row>
    <row r="151" spans="1:11" x14ac:dyDescent="0.3">
      <c r="A151" s="28" t="str">
        <f>IF(INDEX('Calculator Cost per Bucata'!$A:$A,ROW()+4)="","",INDEX('Calculator Cost per Bucata'!$A:$A,ROW()+4))</f>
        <v/>
      </c>
      <c r="B151" s="28" t="str">
        <f>IF($A151="","",INDEX('Calculator Cost per Bucata'!$C:$C,ROW()+4))</f>
        <v/>
      </c>
      <c r="C151" s="28" t="str">
        <f>IF($A151="","",INDEX('Calculator Cost per Bucata'!$D:$D,ROW()+4))</f>
        <v/>
      </c>
      <c r="D151" s="33" t="str">
        <f>IF(INDEX('Calculator Cost per Bucata'!$Y:$Y,ROW()+4)=1,INDEX('Calculator Cost per Bucata'!$P:$P,ROW()+4),"")</f>
        <v/>
      </c>
      <c r="E151" s="33" t="str">
        <f>IF(INDEX('Calculator Cost per Bucata'!$Y:$Y,ROW()+4)=1,INDEX('Calculator Cost per Bucata'!$S:$S,ROW()+4),"")</f>
        <v/>
      </c>
      <c r="F151" s="33" t="str">
        <f>IF($A151="","",IF(N(INDEX('PI Furnizor'!$L:$L,ROW()+1))&gt;0,INDEX('PI Furnizor'!$L:$L,ROW()+1),""))</f>
        <v/>
      </c>
      <c r="G151" s="33" t="str">
        <f>IF($A151="","",IF(Comenzi!$D$6="Da",$D151,$E151))</f>
        <v/>
      </c>
      <c r="H151" s="33" t="str">
        <f>IF(OR($A151="",$F151=""),"",IF(Comenzi!$D$6="Da",IFERROR($F151/(1+INDEX('Calculator Cost per Bucata'!$AC:$AC,ROW()+4)),""),$F151))</f>
        <v/>
      </c>
      <c r="I151" s="46" t="str">
        <f t="shared" si="6"/>
        <v/>
      </c>
      <c r="J151" s="47" t="str">
        <f t="shared" si="7"/>
        <v/>
      </c>
      <c r="K151" s="48" t="str">
        <f t="shared" si="8"/>
        <v/>
      </c>
    </row>
    <row r="152" spans="1:11" x14ac:dyDescent="0.3">
      <c r="A152" s="28" t="str">
        <f>IF(INDEX('Calculator Cost per Bucata'!$A:$A,ROW()+4)="","",INDEX('Calculator Cost per Bucata'!$A:$A,ROW()+4))</f>
        <v/>
      </c>
      <c r="B152" s="28" t="str">
        <f>IF($A152="","",INDEX('Calculator Cost per Bucata'!$C:$C,ROW()+4))</f>
        <v/>
      </c>
      <c r="C152" s="28" t="str">
        <f>IF($A152="","",INDEX('Calculator Cost per Bucata'!$D:$D,ROW()+4))</f>
        <v/>
      </c>
      <c r="D152" s="33" t="str">
        <f>IF(INDEX('Calculator Cost per Bucata'!$Y:$Y,ROW()+4)=1,INDEX('Calculator Cost per Bucata'!$P:$P,ROW()+4),"")</f>
        <v/>
      </c>
      <c r="E152" s="33" t="str">
        <f>IF(INDEX('Calculator Cost per Bucata'!$Y:$Y,ROW()+4)=1,INDEX('Calculator Cost per Bucata'!$S:$S,ROW()+4),"")</f>
        <v/>
      </c>
      <c r="F152" s="33" t="str">
        <f>IF($A152="","",IF(N(INDEX('PI Furnizor'!$L:$L,ROW()+1))&gt;0,INDEX('PI Furnizor'!$L:$L,ROW()+1),""))</f>
        <v/>
      </c>
      <c r="G152" s="33" t="str">
        <f>IF($A152="","",IF(Comenzi!$D$6="Da",$D152,$E152))</f>
        <v/>
      </c>
      <c r="H152" s="33" t="str">
        <f>IF(OR($A152="",$F152=""),"",IF(Comenzi!$D$6="Da",IFERROR($F152/(1+INDEX('Calculator Cost per Bucata'!$AC:$AC,ROW()+4)),""),$F152))</f>
        <v/>
      </c>
      <c r="I152" s="46" t="str">
        <f t="shared" si="6"/>
        <v/>
      </c>
      <c r="J152" s="47" t="str">
        <f t="shared" si="7"/>
        <v/>
      </c>
      <c r="K152" s="48" t="str">
        <f t="shared" si="8"/>
        <v/>
      </c>
    </row>
    <row r="153" spans="1:11" x14ac:dyDescent="0.3">
      <c r="A153" s="28" t="str">
        <f>IF(INDEX('Calculator Cost per Bucata'!$A:$A,ROW()+4)="","",INDEX('Calculator Cost per Bucata'!$A:$A,ROW()+4))</f>
        <v/>
      </c>
      <c r="B153" s="28" t="str">
        <f>IF($A153="","",INDEX('Calculator Cost per Bucata'!$C:$C,ROW()+4))</f>
        <v/>
      </c>
      <c r="C153" s="28" t="str">
        <f>IF($A153="","",INDEX('Calculator Cost per Bucata'!$D:$D,ROW()+4))</f>
        <v/>
      </c>
      <c r="D153" s="33" t="str">
        <f>IF(INDEX('Calculator Cost per Bucata'!$Y:$Y,ROW()+4)=1,INDEX('Calculator Cost per Bucata'!$P:$P,ROW()+4),"")</f>
        <v/>
      </c>
      <c r="E153" s="33" t="str">
        <f>IF(INDEX('Calculator Cost per Bucata'!$Y:$Y,ROW()+4)=1,INDEX('Calculator Cost per Bucata'!$S:$S,ROW()+4),"")</f>
        <v/>
      </c>
      <c r="F153" s="33" t="str">
        <f>IF($A153="","",IF(N(INDEX('PI Furnizor'!$L:$L,ROW()+1))&gt;0,INDEX('PI Furnizor'!$L:$L,ROW()+1),""))</f>
        <v/>
      </c>
      <c r="G153" s="33" t="str">
        <f>IF($A153="","",IF(Comenzi!$D$6="Da",$D153,$E153))</f>
        <v/>
      </c>
      <c r="H153" s="33" t="str">
        <f>IF(OR($A153="",$F153=""),"",IF(Comenzi!$D$6="Da",IFERROR($F153/(1+INDEX('Calculator Cost per Bucata'!$AC:$AC,ROW()+4)),""),$F153))</f>
        <v/>
      </c>
      <c r="I153" s="46" t="str">
        <f t="shared" si="6"/>
        <v/>
      </c>
      <c r="J153" s="47" t="str">
        <f t="shared" si="7"/>
        <v/>
      </c>
      <c r="K153" s="48" t="str">
        <f t="shared" si="8"/>
        <v/>
      </c>
    </row>
    <row r="154" spans="1:11" x14ac:dyDescent="0.3">
      <c r="A154" s="28" t="str">
        <f>IF(INDEX('Calculator Cost per Bucata'!$A:$A,ROW()+4)="","",INDEX('Calculator Cost per Bucata'!$A:$A,ROW()+4))</f>
        <v/>
      </c>
      <c r="B154" s="28" t="str">
        <f>IF($A154="","",INDEX('Calculator Cost per Bucata'!$C:$C,ROW()+4))</f>
        <v/>
      </c>
      <c r="C154" s="28" t="str">
        <f>IF($A154="","",INDEX('Calculator Cost per Bucata'!$D:$D,ROW()+4))</f>
        <v/>
      </c>
      <c r="D154" s="33" t="str">
        <f>IF(INDEX('Calculator Cost per Bucata'!$Y:$Y,ROW()+4)=1,INDEX('Calculator Cost per Bucata'!$P:$P,ROW()+4),"")</f>
        <v/>
      </c>
      <c r="E154" s="33" t="str">
        <f>IF(INDEX('Calculator Cost per Bucata'!$Y:$Y,ROW()+4)=1,INDEX('Calculator Cost per Bucata'!$S:$S,ROW()+4),"")</f>
        <v/>
      </c>
      <c r="F154" s="33" t="str">
        <f>IF($A154="","",IF(N(INDEX('PI Furnizor'!$L:$L,ROW()+1))&gt;0,INDEX('PI Furnizor'!$L:$L,ROW()+1),""))</f>
        <v/>
      </c>
      <c r="G154" s="33" t="str">
        <f>IF($A154="","",IF(Comenzi!$D$6="Da",$D154,$E154))</f>
        <v/>
      </c>
      <c r="H154" s="33" t="str">
        <f>IF(OR($A154="",$F154=""),"",IF(Comenzi!$D$6="Da",IFERROR($F154/(1+INDEX('Calculator Cost per Bucata'!$AC:$AC,ROW()+4)),""),$F154))</f>
        <v/>
      </c>
      <c r="I154" s="46" t="str">
        <f t="shared" si="6"/>
        <v/>
      </c>
      <c r="J154" s="47" t="str">
        <f t="shared" si="7"/>
        <v/>
      </c>
      <c r="K154" s="48" t="str">
        <f t="shared" si="8"/>
        <v/>
      </c>
    </row>
    <row r="155" spans="1:11" x14ac:dyDescent="0.3">
      <c r="A155" s="28" t="str">
        <f>IF(INDEX('Calculator Cost per Bucata'!$A:$A,ROW()+4)="","",INDEX('Calculator Cost per Bucata'!$A:$A,ROW()+4))</f>
        <v/>
      </c>
      <c r="B155" s="28" t="str">
        <f>IF($A155="","",INDEX('Calculator Cost per Bucata'!$C:$C,ROW()+4))</f>
        <v/>
      </c>
      <c r="C155" s="28" t="str">
        <f>IF($A155="","",INDEX('Calculator Cost per Bucata'!$D:$D,ROW()+4))</f>
        <v/>
      </c>
      <c r="D155" s="33" t="str">
        <f>IF(INDEX('Calculator Cost per Bucata'!$Y:$Y,ROW()+4)=1,INDEX('Calculator Cost per Bucata'!$P:$P,ROW()+4),"")</f>
        <v/>
      </c>
      <c r="E155" s="33" t="str">
        <f>IF(INDEX('Calculator Cost per Bucata'!$Y:$Y,ROW()+4)=1,INDEX('Calculator Cost per Bucata'!$S:$S,ROW()+4),"")</f>
        <v/>
      </c>
      <c r="F155" s="33" t="str">
        <f>IF($A155="","",IF(N(INDEX('PI Furnizor'!$L:$L,ROW()+1))&gt;0,INDEX('PI Furnizor'!$L:$L,ROW()+1),""))</f>
        <v/>
      </c>
      <c r="G155" s="33" t="str">
        <f>IF($A155="","",IF(Comenzi!$D$6="Da",$D155,$E155))</f>
        <v/>
      </c>
      <c r="H155" s="33" t="str">
        <f>IF(OR($A155="",$F155=""),"",IF(Comenzi!$D$6="Da",IFERROR($F155/(1+INDEX('Calculator Cost per Bucata'!$AC:$AC,ROW()+4)),""),$F155))</f>
        <v/>
      </c>
      <c r="I155" s="46" t="str">
        <f t="shared" si="6"/>
        <v/>
      </c>
      <c r="J155" s="47" t="str">
        <f t="shared" si="7"/>
        <v/>
      </c>
      <c r="K155" s="48" t="str">
        <f t="shared" si="8"/>
        <v/>
      </c>
    </row>
    <row r="156" spans="1:11" x14ac:dyDescent="0.3">
      <c r="A156" s="28" t="str">
        <f>IF(INDEX('Calculator Cost per Bucata'!$A:$A,ROW()+4)="","",INDEX('Calculator Cost per Bucata'!$A:$A,ROW()+4))</f>
        <v/>
      </c>
      <c r="B156" s="28" t="str">
        <f>IF($A156="","",INDEX('Calculator Cost per Bucata'!$C:$C,ROW()+4))</f>
        <v/>
      </c>
      <c r="C156" s="28" t="str">
        <f>IF($A156="","",INDEX('Calculator Cost per Bucata'!$D:$D,ROW()+4))</f>
        <v/>
      </c>
      <c r="D156" s="33" t="str">
        <f>IF(INDEX('Calculator Cost per Bucata'!$Y:$Y,ROW()+4)=1,INDEX('Calculator Cost per Bucata'!$P:$P,ROW()+4),"")</f>
        <v/>
      </c>
      <c r="E156" s="33" t="str">
        <f>IF(INDEX('Calculator Cost per Bucata'!$Y:$Y,ROW()+4)=1,INDEX('Calculator Cost per Bucata'!$S:$S,ROW()+4),"")</f>
        <v/>
      </c>
      <c r="F156" s="33" t="str">
        <f>IF($A156="","",IF(N(INDEX('PI Furnizor'!$L:$L,ROW()+1))&gt;0,INDEX('PI Furnizor'!$L:$L,ROW()+1),""))</f>
        <v/>
      </c>
      <c r="G156" s="33" t="str">
        <f>IF($A156="","",IF(Comenzi!$D$6="Da",$D156,$E156))</f>
        <v/>
      </c>
      <c r="H156" s="33" t="str">
        <f>IF(OR($A156="",$F156=""),"",IF(Comenzi!$D$6="Da",IFERROR($F156/(1+INDEX('Calculator Cost per Bucata'!$AC:$AC,ROW()+4)),""),$F156))</f>
        <v/>
      </c>
      <c r="I156" s="46" t="str">
        <f t="shared" si="6"/>
        <v/>
      </c>
      <c r="J156" s="47" t="str">
        <f t="shared" si="7"/>
        <v/>
      </c>
      <c r="K156" s="48" t="str">
        <f t="shared" si="8"/>
        <v/>
      </c>
    </row>
    <row r="157" spans="1:11" x14ac:dyDescent="0.3">
      <c r="A157" s="28" t="str">
        <f>IF(INDEX('Calculator Cost per Bucata'!$A:$A,ROW()+4)="","",INDEX('Calculator Cost per Bucata'!$A:$A,ROW()+4))</f>
        <v/>
      </c>
      <c r="B157" s="28" t="str">
        <f>IF($A157="","",INDEX('Calculator Cost per Bucata'!$C:$C,ROW()+4))</f>
        <v/>
      </c>
      <c r="C157" s="28" t="str">
        <f>IF($A157="","",INDEX('Calculator Cost per Bucata'!$D:$D,ROW()+4))</f>
        <v/>
      </c>
      <c r="D157" s="33" t="str">
        <f>IF(INDEX('Calculator Cost per Bucata'!$Y:$Y,ROW()+4)=1,INDEX('Calculator Cost per Bucata'!$P:$P,ROW()+4),"")</f>
        <v/>
      </c>
      <c r="E157" s="33" t="str">
        <f>IF(INDEX('Calculator Cost per Bucata'!$Y:$Y,ROW()+4)=1,INDEX('Calculator Cost per Bucata'!$S:$S,ROW()+4),"")</f>
        <v/>
      </c>
      <c r="F157" s="33" t="str">
        <f>IF($A157="","",IF(N(INDEX('PI Furnizor'!$L:$L,ROW()+1))&gt;0,INDEX('PI Furnizor'!$L:$L,ROW()+1),""))</f>
        <v/>
      </c>
      <c r="G157" s="33" t="str">
        <f>IF($A157="","",IF(Comenzi!$D$6="Da",$D157,$E157))</f>
        <v/>
      </c>
      <c r="H157" s="33" t="str">
        <f>IF(OR($A157="",$F157=""),"",IF(Comenzi!$D$6="Da",IFERROR($F157/(1+INDEX('Calculator Cost per Bucata'!$AC:$AC,ROW()+4)),""),$F157))</f>
        <v/>
      </c>
      <c r="I157" s="46" t="str">
        <f t="shared" si="6"/>
        <v/>
      </c>
      <c r="J157" s="47" t="str">
        <f t="shared" si="7"/>
        <v/>
      </c>
      <c r="K157" s="48" t="str">
        <f t="shared" si="8"/>
        <v/>
      </c>
    </row>
    <row r="158" spans="1:11" x14ac:dyDescent="0.3">
      <c r="A158" s="28" t="str">
        <f>IF(INDEX('Calculator Cost per Bucata'!$A:$A,ROW()+4)="","",INDEX('Calculator Cost per Bucata'!$A:$A,ROW()+4))</f>
        <v/>
      </c>
      <c r="B158" s="28" t="str">
        <f>IF($A158="","",INDEX('Calculator Cost per Bucata'!$C:$C,ROW()+4))</f>
        <v/>
      </c>
      <c r="C158" s="28" t="str">
        <f>IF($A158="","",INDEX('Calculator Cost per Bucata'!$D:$D,ROW()+4))</f>
        <v/>
      </c>
      <c r="D158" s="33" t="str">
        <f>IF(INDEX('Calculator Cost per Bucata'!$Y:$Y,ROW()+4)=1,INDEX('Calculator Cost per Bucata'!$P:$P,ROW()+4),"")</f>
        <v/>
      </c>
      <c r="E158" s="33" t="str">
        <f>IF(INDEX('Calculator Cost per Bucata'!$Y:$Y,ROW()+4)=1,INDEX('Calculator Cost per Bucata'!$S:$S,ROW()+4),"")</f>
        <v/>
      </c>
      <c r="F158" s="33" t="str">
        <f>IF($A158="","",IF(N(INDEX('PI Furnizor'!$L:$L,ROW()+1))&gt;0,INDEX('PI Furnizor'!$L:$L,ROW()+1),""))</f>
        <v/>
      </c>
      <c r="G158" s="33" t="str">
        <f>IF($A158="","",IF(Comenzi!$D$6="Da",$D158,$E158))</f>
        <v/>
      </c>
      <c r="H158" s="33" t="str">
        <f>IF(OR($A158="",$F158=""),"",IF(Comenzi!$D$6="Da",IFERROR($F158/(1+INDEX('Calculator Cost per Bucata'!$AC:$AC,ROW()+4)),""),$F158))</f>
        <v/>
      </c>
      <c r="I158" s="46" t="str">
        <f t="shared" si="6"/>
        <v/>
      </c>
      <c r="J158" s="47" t="str">
        <f t="shared" si="7"/>
        <v/>
      </c>
      <c r="K158" s="48" t="str">
        <f t="shared" si="8"/>
        <v/>
      </c>
    </row>
    <row r="159" spans="1:11" x14ac:dyDescent="0.3">
      <c r="A159" s="28" t="str">
        <f>IF(INDEX('Calculator Cost per Bucata'!$A:$A,ROW()+4)="","",INDEX('Calculator Cost per Bucata'!$A:$A,ROW()+4))</f>
        <v/>
      </c>
      <c r="B159" s="28" t="str">
        <f>IF($A159="","",INDEX('Calculator Cost per Bucata'!$C:$C,ROW()+4))</f>
        <v/>
      </c>
      <c r="C159" s="28" t="str">
        <f>IF($A159="","",INDEX('Calculator Cost per Bucata'!$D:$D,ROW()+4))</f>
        <v/>
      </c>
      <c r="D159" s="33" t="str">
        <f>IF(INDEX('Calculator Cost per Bucata'!$Y:$Y,ROW()+4)=1,INDEX('Calculator Cost per Bucata'!$P:$P,ROW()+4),"")</f>
        <v/>
      </c>
      <c r="E159" s="33" t="str">
        <f>IF(INDEX('Calculator Cost per Bucata'!$Y:$Y,ROW()+4)=1,INDEX('Calculator Cost per Bucata'!$S:$S,ROW()+4),"")</f>
        <v/>
      </c>
      <c r="F159" s="33" t="str">
        <f>IF($A159="","",IF(N(INDEX('PI Furnizor'!$L:$L,ROW()+1))&gt;0,INDEX('PI Furnizor'!$L:$L,ROW()+1),""))</f>
        <v/>
      </c>
      <c r="G159" s="33" t="str">
        <f>IF($A159="","",IF(Comenzi!$D$6="Da",$D159,$E159))</f>
        <v/>
      </c>
      <c r="H159" s="33" t="str">
        <f>IF(OR($A159="",$F159=""),"",IF(Comenzi!$D$6="Da",IFERROR($F159/(1+INDEX('Calculator Cost per Bucata'!$AC:$AC,ROW()+4)),""),$F159))</f>
        <v/>
      </c>
      <c r="I159" s="46" t="str">
        <f t="shared" si="6"/>
        <v/>
      </c>
      <c r="J159" s="47" t="str">
        <f t="shared" si="7"/>
        <v/>
      </c>
      <c r="K159" s="48" t="str">
        <f t="shared" si="8"/>
        <v/>
      </c>
    </row>
    <row r="160" spans="1:11" x14ac:dyDescent="0.3">
      <c r="A160" s="28" t="str">
        <f>IF(INDEX('Calculator Cost per Bucata'!$A:$A,ROW()+4)="","",INDEX('Calculator Cost per Bucata'!$A:$A,ROW()+4))</f>
        <v/>
      </c>
      <c r="B160" s="28" t="str">
        <f>IF($A160="","",INDEX('Calculator Cost per Bucata'!$C:$C,ROW()+4))</f>
        <v/>
      </c>
      <c r="C160" s="28" t="str">
        <f>IF($A160="","",INDEX('Calculator Cost per Bucata'!$D:$D,ROW()+4))</f>
        <v/>
      </c>
      <c r="D160" s="33" t="str">
        <f>IF(INDEX('Calculator Cost per Bucata'!$Y:$Y,ROW()+4)=1,INDEX('Calculator Cost per Bucata'!$P:$P,ROW()+4),"")</f>
        <v/>
      </c>
      <c r="E160" s="33" t="str">
        <f>IF(INDEX('Calculator Cost per Bucata'!$Y:$Y,ROW()+4)=1,INDEX('Calculator Cost per Bucata'!$S:$S,ROW()+4),"")</f>
        <v/>
      </c>
      <c r="F160" s="33" t="str">
        <f>IF($A160="","",IF(N(INDEX('PI Furnizor'!$L:$L,ROW()+1))&gt;0,INDEX('PI Furnizor'!$L:$L,ROW()+1),""))</f>
        <v/>
      </c>
      <c r="G160" s="33" t="str">
        <f>IF($A160="","",IF(Comenzi!$D$6="Da",$D160,$E160))</f>
        <v/>
      </c>
      <c r="H160" s="33" t="str">
        <f>IF(OR($A160="",$F160=""),"",IF(Comenzi!$D$6="Da",IFERROR($F160/(1+INDEX('Calculator Cost per Bucata'!$AC:$AC,ROW()+4)),""),$F160))</f>
        <v/>
      </c>
      <c r="I160" s="46" t="str">
        <f t="shared" si="6"/>
        <v/>
      </c>
      <c r="J160" s="47" t="str">
        <f t="shared" si="7"/>
        <v/>
      </c>
      <c r="K160" s="48" t="str">
        <f t="shared" si="8"/>
        <v/>
      </c>
    </row>
    <row r="161" spans="1:11" x14ac:dyDescent="0.3">
      <c r="A161" s="28" t="str">
        <f>IF(INDEX('Calculator Cost per Bucata'!$A:$A,ROW()+4)="","",INDEX('Calculator Cost per Bucata'!$A:$A,ROW()+4))</f>
        <v/>
      </c>
      <c r="B161" s="28" t="str">
        <f>IF($A161="","",INDEX('Calculator Cost per Bucata'!$C:$C,ROW()+4))</f>
        <v/>
      </c>
      <c r="C161" s="28" t="str">
        <f>IF($A161="","",INDEX('Calculator Cost per Bucata'!$D:$D,ROW()+4))</f>
        <v/>
      </c>
      <c r="D161" s="33" t="str">
        <f>IF(INDEX('Calculator Cost per Bucata'!$Y:$Y,ROW()+4)=1,INDEX('Calculator Cost per Bucata'!$P:$P,ROW()+4),"")</f>
        <v/>
      </c>
      <c r="E161" s="33" t="str">
        <f>IF(INDEX('Calculator Cost per Bucata'!$Y:$Y,ROW()+4)=1,INDEX('Calculator Cost per Bucata'!$S:$S,ROW()+4),"")</f>
        <v/>
      </c>
      <c r="F161" s="33" t="str">
        <f>IF($A161="","",IF(N(INDEX('PI Furnizor'!$L:$L,ROW()+1))&gt;0,INDEX('PI Furnizor'!$L:$L,ROW()+1),""))</f>
        <v/>
      </c>
      <c r="G161" s="33" t="str">
        <f>IF($A161="","",IF(Comenzi!$D$6="Da",$D161,$E161))</f>
        <v/>
      </c>
      <c r="H161" s="33" t="str">
        <f>IF(OR($A161="",$F161=""),"",IF(Comenzi!$D$6="Da",IFERROR($F161/(1+INDEX('Calculator Cost per Bucata'!$AC:$AC,ROW()+4)),""),$F161))</f>
        <v/>
      </c>
      <c r="I161" s="46" t="str">
        <f t="shared" si="6"/>
        <v/>
      </c>
      <c r="J161" s="47" t="str">
        <f t="shared" si="7"/>
        <v/>
      </c>
      <c r="K161" s="48" t="str">
        <f t="shared" si="8"/>
        <v/>
      </c>
    </row>
    <row r="162" spans="1:11" x14ac:dyDescent="0.3">
      <c r="A162" s="28" t="str">
        <f>IF(INDEX('Calculator Cost per Bucata'!$A:$A,ROW()+4)="","",INDEX('Calculator Cost per Bucata'!$A:$A,ROW()+4))</f>
        <v/>
      </c>
      <c r="B162" s="28" t="str">
        <f>IF($A162="","",INDEX('Calculator Cost per Bucata'!$C:$C,ROW()+4))</f>
        <v/>
      </c>
      <c r="C162" s="28" t="str">
        <f>IF($A162="","",INDEX('Calculator Cost per Bucata'!$D:$D,ROW()+4))</f>
        <v/>
      </c>
      <c r="D162" s="33" t="str">
        <f>IF(INDEX('Calculator Cost per Bucata'!$Y:$Y,ROW()+4)=1,INDEX('Calculator Cost per Bucata'!$P:$P,ROW()+4),"")</f>
        <v/>
      </c>
      <c r="E162" s="33" t="str">
        <f>IF(INDEX('Calculator Cost per Bucata'!$Y:$Y,ROW()+4)=1,INDEX('Calculator Cost per Bucata'!$S:$S,ROW()+4),"")</f>
        <v/>
      </c>
      <c r="F162" s="33" t="str">
        <f>IF($A162="","",IF(N(INDEX('PI Furnizor'!$L:$L,ROW()+1))&gt;0,INDEX('PI Furnizor'!$L:$L,ROW()+1),""))</f>
        <v/>
      </c>
      <c r="G162" s="33" t="str">
        <f>IF($A162="","",IF(Comenzi!$D$6="Da",$D162,$E162))</f>
        <v/>
      </c>
      <c r="H162" s="33" t="str">
        <f>IF(OR($A162="",$F162=""),"",IF(Comenzi!$D$6="Da",IFERROR($F162/(1+INDEX('Calculator Cost per Bucata'!$AC:$AC,ROW()+4)),""),$F162))</f>
        <v/>
      </c>
      <c r="I162" s="46" t="str">
        <f t="shared" si="6"/>
        <v/>
      </c>
      <c r="J162" s="47" t="str">
        <f t="shared" si="7"/>
        <v/>
      </c>
      <c r="K162" s="48" t="str">
        <f t="shared" si="8"/>
        <v/>
      </c>
    </row>
    <row r="163" spans="1:11" x14ac:dyDescent="0.3">
      <c r="A163" s="28" t="str">
        <f>IF(INDEX('Calculator Cost per Bucata'!$A:$A,ROW()+4)="","",INDEX('Calculator Cost per Bucata'!$A:$A,ROW()+4))</f>
        <v/>
      </c>
      <c r="B163" s="28" t="str">
        <f>IF($A163="","",INDEX('Calculator Cost per Bucata'!$C:$C,ROW()+4))</f>
        <v/>
      </c>
      <c r="C163" s="28" t="str">
        <f>IF($A163="","",INDEX('Calculator Cost per Bucata'!$D:$D,ROW()+4))</f>
        <v/>
      </c>
      <c r="D163" s="33" t="str">
        <f>IF(INDEX('Calculator Cost per Bucata'!$Y:$Y,ROW()+4)=1,INDEX('Calculator Cost per Bucata'!$P:$P,ROW()+4),"")</f>
        <v/>
      </c>
      <c r="E163" s="33" t="str">
        <f>IF(INDEX('Calculator Cost per Bucata'!$Y:$Y,ROW()+4)=1,INDEX('Calculator Cost per Bucata'!$S:$S,ROW()+4),"")</f>
        <v/>
      </c>
      <c r="F163" s="33" t="str">
        <f>IF($A163="","",IF(N(INDEX('PI Furnizor'!$L:$L,ROW()+1))&gt;0,INDEX('PI Furnizor'!$L:$L,ROW()+1),""))</f>
        <v/>
      </c>
      <c r="G163" s="33" t="str">
        <f>IF($A163="","",IF(Comenzi!$D$6="Da",$D163,$E163))</f>
        <v/>
      </c>
      <c r="H163" s="33" t="str">
        <f>IF(OR($A163="",$F163=""),"",IF(Comenzi!$D$6="Da",IFERROR($F163/(1+INDEX('Calculator Cost per Bucata'!$AC:$AC,ROW()+4)),""),$F163))</f>
        <v/>
      </c>
      <c r="I163" s="46" t="str">
        <f t="shared" si="6"/>
        <v/>
      </c>
      <c r="J163" s="47" t="str">
        <f t="shared" si="7"/>
        <v/>
      </c>
      <c r="K163" s="48" t="str">
        <f t="shared" si="8"/>
        <v/>
      </c>
    </row>
    <row r="164" spans="1:11" x14ac:dyDescent="0.3">
      <c r="A164" s="28" t="str">
        <f>IF(INDEX('Calculator Cost per Bucata'!$A:$A,ROW()+4)="","",INDEX('Calculator Cost per Bucata'!$A:$A,ROW()+4))</f>
        <v/>
      </c>
      <c r="B164" s="28" t="str">
        <f>IF($A164="","",INDEX('Calculator Cost per Bucata'!$C:$C,ROW()+4))</f>
        <v/>
      </c>
      <c r="C164" s="28" t="str">
        <f>IF($A164="","",INDEX('Calculator Cost per Bucata'!$D:$D,ROW()+4))</f>
        <v/>
      </c>
      <c r="D164" s="33" t="str">
        <f>IF(INDEX('Calculator Cost per Bucata'!$Y:$Y,ROW()+4)=1,INDEX('Calculator Cost per Bucata'!$P:$P,ROW()+4),"")</f>
        <v/>
      </c>
      <c r="E164" s="33" t="str">
        <f>IF(INDEX('Calculator Cost per Bucata'!$Y:$Y,ROW()+4)=1,INDEX('Calculator Cost per Bucata'!$S:$S,ROW()+4),"")</f>
        <v/>
      </c>
      <c r="F164" s="33" t="str">
        <f>IF($A164="","",IF(N(INDEX('PI Furnizor'!$L:$L,ROW()+1))&gt;0,INDEX('PI Furnizor'!$L:$L,ROW()+1),""))</f>
        <v/>
      </c>
      <c r="G164" s="33" t="str">
        <f>IF($A164="","",IF(Comenzi!$D$6="Da",$D164,$E164))</f>
        <v/>
      </c>
      <c r="H164" s="33" t="str">
        <f>IF(OR($A164="",$F164=""),"",IF(Comenzi!$D$6="Da",IFERROR($F164/(1+INDEX('Calculator Cost per Bucata'!$AC:$AC,ROW()+4)),""),$F164))</f>
        <v/>
      </c>
      <c r="I164" s="46" t="str">
        <f t="shared" si="6"/>
        <v/>
      </c>
      <c r="J164" s="47" t="str">
        <f t="shared" si="7"/>
        <v/>
      </c>
      <c r="K164" s="48" t="str">
        <f t="shared" si="8"/>
        <v/>
      </c>
    </row>
    <row r="165" spans="1:11" x14ac:dyDescent="0.3">
      <c r="A165" s="28" t="str">
        <f>IF(INDEX('Calculator Cost per Bucata'!$A:$A,ROW()+4)="","",INDEX('Calculator Cost per Bucata'!$A:$A,ROW()+4))</f>
        <v/>
      </c>
      <c r="B165" s="28" t="str">
        <f>IF($A165="","",INDEX('Calculator Cost per Bucata'!$C:$C,ROW()+4))</f>
        <v/>
      </c>
      <c r="C165" s="28" t="str">
        <f>IF($A165="","",INDEX('Calculator Cost per Bucata'!$D:$D,ROW()+4))</f>
        <v/>
      </c>
      <c r="D165" s="33" t="str">
        <f>IF(INDEX('Calculator Cost per Bucata'!$Y:$Y,ROW()+4)=1,INDEX('Calculator Cost per Bucata'!$P:$P,ROW()+4),"")</f>
        <v/>
      </c>
      <c r="E165" s="33" t="str">
        <f>IF(INDEX('Calculator Cost per Bucata'!$Y:$Y,ROW()+4)=1,INDEX('Calculator Cost per Bucata'!$S:$S,ROW()+4),"")</f>
        <v/>
      </c>
      <c r="F165" s="33" t="str">
        <f>IF($A165="","",IF(N(INDEX('PI Furnizor'!$L:$L,ROW()+1))&gt;0,INDEX('PI Furnizor'!$L:$L,ROW()+1),""))</f>
        <v/>
      </c>
      <c r="G165" s="33" t="str">
        <f>IF($A165="","",IF(Comenzi!$D$6="Da",$D165,$E165))</f>
        <v/>
      </c>
      <c r="H165" s="33" t="str">
        <f>IF(OR($A165="",$F165=""),"",IF(Comenzi!$D$6="Da",IFERROR($F165/(1+INDEX('Calculator Cost per Bucata'!$AC:$AC,ROW()+4)),""),$F165))</f>
        <v/>
      </c>
      <c r="I165" s="46" t="str">
        <f t="shared" si="6"/>
        <v/>
      </c>
      <c r="J165" s="47" t="str">
        <f t="shared" si="7"/>
        <v/>
      </c>
      <c r="K165" s="48" t="str">
        <f t="shared" si="8"/>
        <v/>
      </c>
    </row>
    <row r="166" spans="1:11" x14ac:dyDescent="0.3">
      <c r="A166" s="28" t="str">
        <f>IF(INDEX('Calculator Cost per Bucata'!$A:$A,ROW()+4)="","",INDEX('Calculator Cost per Bucata'!$A:$A,ROW()+4))</f>
        <v/>
      </c>
      <c r="B166" s="28" t="str">
        <f>IF($A166="","",INDEX('Calculator Cost per Bucata'!$C:$C,ROW()+4))</f>
        <v/>
      </c>
      <c r="C166" s="28" t="str">
        <f>IF($A166="","",INDEX('Calculator Cost per Bucata'!$D:$D,ROW()+4))</f>
        <v/>
      </c>
      <c r="D166" s="33" t="str">
        <f>IF(INDEX('Calculator Cost per Bucata'!$Y:$Y,ROW()+4)=1,INDEX('Calculator Cost per Bucata'!$P:$P,ROW()+4),"")</f>
        <v/>
      </c>
      <c r="E166" s="33" t="str">
        <f>IF(INDEX('Calculator Cost per Bucata'!$Y:$Y,ROW()+4)=1,INDEX('Calculator Cost per Bucata'!$S:$S,ROW()+4),"")</f>
        <v/>
      </c>
      <c r="F166" s="33" t="str">
        <f>IF($A166="","",IF(N(INDEX('PI Furnizor'!$L:$L,ROW()+1))&gt;0,INDEX('PI Furnizor'!$L:$L,ROW()+1),""))</f>
        <v/>
      </c>
      <c r="G166" s="33" t="str">
        <f>IF($A166="","",IF(Comenzi!$D$6="Da",$D166,$E166))</f>
        <v/>
      </c>
      <c r="H166" s="33" t="str">
        <f>IF(OR($A166="",$F166=""),"",IF(Comenzi!$D$6="Da",IFERROR($F166/(1+INDEX('Calculator Cost per Bucata'!$AC:$AC,ROW()+4)),""),$F166))</f>
        <v/>
      </c>
      <c r="I166" s="46" t="str">
        <f t="shared" si="6"/>
        <v/>
      </c>
      <c r="J166" s="47" t="str">
        <f t="shared" si="7"/>
        <v/>
      </c>
      <c r="K166" s="48" t="str">
        <f t="shared" si="8"/>
        <v/>
      </c>
    </row>
    <row r="167" spans="1:11" x14ac:dyDescent="0.3">
      <c r="A167" s="28" t="str">
        <f>IF(INDEX('Calculator Cost per Bucata'!$A:$A,ROW()+4)="","",INDEX('Calculator Cost per Bucata'!$A:$A,ROW()+4))</f>
        <v/>
      </c>
      <c r="B167" s="28" t="str">
        <f>IF($A167="","",INDEX('Calculator Cost per Bucata'!$C:$C,ROW()+4))</f>
        <v/>
      </c>
      <c r="C167" s="28" t="str">
        <f>IF($A167="","",INDEX('Calculator Cost per Bucata'!$D:$D,ROW()+4))</f>
        <v/>
      </c>
      <c r="D167" s="33" t="str">
        <f>IF(INDEX('Calculator Cost per Bucata'!$Y:$Y,ROW()+4)=1,INDEX('Calculator Cost per Bucata'!$P:$P,ROW()+4),"")</f>
        <v/>
      </c>
      <c r="E167" s="33" t="str">
        <f>IF(INDEX('Calculator Cost per Bucata'!$Y:$Y,ROW()+4)=1,INDEX('Calculator Cost per Bucata'!$S:$S,ROW()+4),"")</f>
        <v/>
      </c>
      <c r="F167" s="33" t="str">
        <f>IF($A167="","",IF(N(INDEX('PI Furnizor'!$L:$L,ROW()+1))&gt;0,INDEX('PI Furnizor'!$L:$L,ROW()+1),""))</f>
        <v/>
      </c>
      <c r="G167" s="33" t="str">
        <f>IF($A167="","",IF(Comenzi!$D$6="Da",$D167,$E167))</f>
        <v/>
      </c>
      <c r="H167" s="33" t="str">
        <f>IF(OR($A167="",$F167=""),"",IF(Comenzi!$D$6="Da",IFERROR($F167/(1+INDEX('Calculator Cost per Bucata'!$AC:$AC,ROW()+4)),""),$F167))</f>
        <v/>
      </c>
      <c r="I167" s="46" t="str">
        <f t="shared" si="6"/>
        <v/>
      </c>
      <c r="J167" s="47" t="str">
        <f t="shared" si="7"/>
        <v/>
      </c>
      <c r="K167" s="48" t="str">
        <f t="shared" si="8"/>
        <v/>
      </c>
    </row>
    <row r="168" spans="1:11" x14ac:dyDescent="0.3">
      <c r="A168" s="28" t="str">
        <f>IF(INDEX('Calculator Cost per Bucata'!$A:$A,ROW()+4)="","",INDEX('Calculator Cost per Bucata'!$A:$A,ROW()+4))</f>
        <v/>
      </c>
      <c r="B168" s="28" t="str">
        <f>IF($A168="","",INDEX('Calculator Cost per Bucata'!$C:$C,ROW()+4))</f>
        <v/>
      </c>
      <c r="C168" s="28" t="str">
        <f>IF($A168="","",INDEX('Calculator Cost per Bucata'!$D:$D,ROW()+4))</f>
        <v/>
      </c>
      <c r="D168" s="33" t="str">
        <f>IF(INDEX('Calculator Cost per Bucata'!$Y:$Y,ROW()+4)=1,INDEX('Calculator Cost per Bucata'!$P:$P,ROW()+4),"")</f>
        <v/>
      </c>
      <c r="E168" s="33" t="str">
        <f>IF(INDEX('Calculator Cost per Bucata'!$Y:$Y,ROW()+4)=1,INDEX('Calculator Cost per Bucata'!$S:$S,ROW()+4),"")</f>
        <v/>
      </c>
      <c r="F168" s="33" t="str">
        <f>IF($A168="","",IF(N(INDEX('PI Furnizor'!$L:$L,ROW()+1))&gt;0,INDEX('PI Furnizor'!$L:$L,ROW()+1),""))</f>
        <v/>
      </c>
      <c r="G168" s="33" t="str">
        <f>IF($A168="","",IF(Comenzi!$D$6="Da",$D168,$E168))</f>
        <v/>
      </c>
      <c r="H168" s="33" t="str">
        <f>IF(OR($A168="",$F168=""),"",IF(Comenzi!$D$6="Da",IFERROR($F168/(1+INDEX('Calculator Cost per Bucata'!$AC:$AC,ROW()+4)),""),$F168))</f>
        <v/>
      </c>
      <c r="I168" s="46" t="str">
        <f t="shared" si="6"/>
        <v/>
      </c>
      <c r="J168" s="47" t="str">
        <f t="shared" si="7"/>
        <v/>
      </c>
      <c r="K168" s="48" t="str">
        <f t="shared" si="8"/>
        <v/>
      </c>
    </row>
    <row r="169" spans="1:11" x14ac:dyDescent="0.3">
      <c r="A169" s="28" t="str">
        <f>IF(INDEX('Calculator Cost per Bucata'!$A:$A,ROW()+4)="","",INDEX('Calculator Cost per Bucata'!$A:$A,ROW()+4))</f>
        <v/>
      </c>
      <c r="B169" s="28" t="str">
        <f>IF($A169="","",INDEX('Calculator Cost per Bucata'!$C:$C,ROW()+4))</f>
        <v/>
      </c>
      <c r="C169" s="28" t="str">
        <f>IF($A169="","",INDEX('Calculator Cost per Bucata'!$D:$D,ROW()+4))</f>
        <v/>
      </c>
      <c r="D169" s="33" t="str">
        <f>IF(INDEX('Calculator Cost per Bucata'!$Y:$Y,ROW()+4)=1,INDEX('Calculator Cost per Bucata'!$P:$P,ROW()+4),"")</f>
        <v/>
      </c>
      <c r="E169" s="33" t="str">
        <f>IF(INDEX('Calculator Cost per Bucata'!$Y:$Y,ROW()+4)=1,INDEX('Calculator Cost per Bucata'!$S:$S,ROW()+4),"")</f>
        <v/>
      </c>
      <c r="F169" s="33" t="str">
        <f>IF($A169="","",IF(N(INDEX('PI Furnizor'!$L:$L,ROW()+1))&gt;0,INDEX('PI Furnizor'!$L:$L,ROW()+1),""))</f>
        <v/>
      </c>
      <c r="G169" s="33" t="str">
        <f>IF($A169="","",IF(Comenzi!$D$6="Da",$D169,$E169))</f>
        <v/>
      </c>
      <c r="H169" s="33" t="str">
        <f>IF(OR($A169="",$F169=""),"",IF(Comenzi!$D$6="Da",IFERROR($F169/(1+INDEX('Calculator Cost per Bucata'!$AC:$AC,ROW()+4)),""),$F169))</f>
        <v/>
      </c>
      <c r="I169" s="46" t="str">
        <f t="shared" si="6"/>
        <v/>
      </c>
      <c r="J169" s="47" t="str">
        <f t="shared" si="7"/>
        <v/>
      </c>
      <c r="K169" s="48" t="str">
        <f t="shared" si="8"/>
        <v/>
      </c>
    </row>
    <row r="170" spans="1:11" x14ac:dyDescent="0.3">
      <c r="A170" s="28" t="str">
        <f>IF(INDEX('Calculator Cost per Bucata'!$A:$A,ROW()+4)="","",INDEX('Calculator Cost per Bucata'!$A:$A,ROW()+4))</f>
        <v/>
      </c>
      <c r="B170" s="28" t="str">
        <f>IF($A170="","",INDEX('Calculator Cost per Bucata'!$C:$C,ROW()+4))</f>
        <v/>
      </c>
      <c r="C170" s="28" t="str">
        <f>IF($A170="","",INDEX('Calculator Cost per Bucata'!$D:$D,ROW()+4))</f>
        <v/>
      </c>
      <c r="D170" s="33" t="str">
        <f>IF(INDEX('Calculator Cost per Bucata'!$Y:$Y,ROW()+4)=1,INDEX('Calculator Cost per Bucata'!$P:$P,ROW()+4),"")</f>
        <v/>
      </c>
      <c r="E170" s="33" t="str">
        <f>IF(INDEX('Calculator Cost per Bucata'!$Y:$Y,ROW()+4)=1,INDEX('Calculator Cost per Bucata'!$S:$S,ROW()+4),"")</f>
        <v/>
      </c>
      <c r="F170" s="33" t="str">
        <f>IF($A170="","",IF(N(INDEX('PI Furnizor'!$L:$L,ROW()+1))&gt;0,INDEX('PI Furnizor'!$L:$L,ROW()+1),""))</f>
        <v/>
      </c>
      <c r="G170" s="33" t="str">
        <f>IF($A170="","",IF(Comenzi!$D$6="Da",$D170,$E170))</f>
        <v/>
      </c>
      <c r="H170" s="33" t="str">
        <f>IF(OR($A170="",$F170=""),"",IF(Comenzi!$D$6="Da",IFERROR($F170/(1+INDEX('Calculator Cost per Bucata'!$AC:$AC,ROW()+4)),""),$F170))</f>
        <v/>
      </c>
      <c r="I170" s="46" t="str">
        <f t="shared" si="6"/>
        <v/>
      </c>
      <c r="J170" s="47" t="str">
        <f t="shared" si="7"/>
        <v/>
      </c>
      <c r="K170" s="48" t="str">
        <f t="shared" si="8"/>
        <v/>
      </c>
    </row>
    <row r="171" spans="1:11" x14ac:dyDescent="0.3">
      <c r="A171" s="28" t="str">
        <f>IF(INDEX('Calculator Cost per Bucata'!$A:$A,ROW()+4)="","",INDEX('Calculator Cost per Bucata'!$A:$A,ROW()+4))</f>
        <v/>
      </c>
      <c r="B171" s="28" t="str">
        <f>IF($A171="","",INDEX('Calculator Cost per Bucata'!$C:$C,ROW()+4))</f>
        <v/>
      </c>
      <c r="C171" s="28" t="str">
        <f>IF($A171="","",INDEX('Calculator Cost per Bucata'!$D:$D,ROW()+4))</f>
        <v/>
      </c>
      <c r="D171" s="33" t="str">
        <f>IF(INDEX('Calculator Cost per Bucata'!$Y:$Y,ROW()+4)=1,INDEX('Calculator Cost per Bucata'!$P:$P,ROW()+4),"")</f>
        <v/>
      </c>
      <c r="E171" s="33" t="str">
        <f>IF(INDEX('Calculator Cost per Bucata'!$Y:$Y,ROW()+4)=1,INDEX('Calculator Cost per Bucata'!$S:$S,ROW()+4),"")</f>
        <v/>
      </c>
      <c r="F171" s="33" t="str">
        <f>IF($A171="","",IF(N(INDEX('PI Furnizor'!$L:$L,ROW()+1))&gt;0,INDEX('PI Furnizor'!$L:$L,ROW()+1),""))</f>
        <v/>
      </c>
      <c r="G171" s="33" t="str">
        <f>IF($A171="","",IF(Comenzi!$D$6="Da",$D171,$E171))</f>
        <v/>
      </c>
      <c r="H171" s="33" t="str">
        <f>IF(OR($A171="",$F171=""),"",IF(Comenzi!$D$6="Da",IFERROR($F171/(1+INDEX('Calculator Cost per Bucata'!$AC:$AC,ROW()+4)),""),$F171))</f>
        <v/>
      </c>
      <c r="I171" s="46" t="str">
        <f t="shared" si="6"/>
        <v/>
      </c>
      <c r="J171" s="47" t="str">
        <f t="shared" si="7"/>
        <v/>
      </c>
      <c r="K171" s="48" t="str">
        <f t="shared" si="8"/>
        <v/>
      </c>
    </row>
    <row r="172" spans="1:11" x14ac:dyDescent="0.3">
      <c r="A172" s="28" t="str">
        <f>IF(INDEX('Calculator Cost per Bucata'!$A:$A,ROW()+4)="","",INDEX('Calculator Cost per Bucata'!$A:$A,ROW()+4))</f>
        <v/>
      </c>
      <c r="B172" s="28" t="str">
        <f>IF($A172="","",INDEX('Calculator Cost per Bucata'!$C:$C,ROW()+4))</f>
        <v/>
      </c>
      <c r="C172" s="28" t="str">
        <f>IF($A172="","",INDEX('Calculator Cost per Bucata'!$D:$D,ROW()+4))</f>
        <v/>
      </c>
      <c r="D172" s="33" t="str">
        <f>IF(INDEX('Calculator Cost per Bucata'!$Y:$Y,ROW()+4)=1,INDEX('Calculator Cost per Bucata'!$P:$P,ROW()+4),"")</f>
        <v/>
      </c>
      <c r="E172" s="33" t="str">
        <f>IF(INDEX('Calculator Cost per Bucata'!$Y:$Y,ROW()+4)=1,INDEX('Calculator Cost per Bucata'!$S:$S,ROW()+4),"")</f>
        <v/>
      </c>
      <c r="F172" s="33" t="str">
        <f>IF($A172="","",IF(N(INDEX('PI Furnizor'!$L:$L,ROW()+1))&gt;0,INDEX('PI Furnizor'!$L:$L,ROW()+1),""))</f>
        <v/>
      </c>
      <c r="G172" s="33" t="str">
        <f>IF($A172="","",IF(Comenzi!$D$6="Da",$D172,$E172))</f>
        <v/>
      </c>
      <c r="H172" s="33" t="str">
        <f>IF(OR($A172="",$F172=""),"",IF(Comenzi!$D$6="Da",IFERROR($F172/(1+INDEX('Calculator Cost per Bucata'!$AC:$AC,ROW()+4)),""),$F172))</f>
        <v/>
      </c>
      <c r="I172" s="46" t="str">
        <f t="shared" si="6"/>
        <v/>
      </c>
      <c r="J172" s="47" t="str">
        <f t="shared" si="7"/>
        <v/>
      </c>
      <c r="K172" s="48" t="str">
        <f t="shared" si="8"/>
        <v/>
      </c>
    </row>
    <row r="173" spans="1:11" x14ac:dyDescent="0.3">
      <c r="A173" s="28" t="str">
        <f>IF(INDEX('Calculator Cost per Bucata'!$A:$A,ROW()+4)="","",INDEX('Calculator Cost per Bucata'!$A:$A,ROW()+4))</f>
        <v/>
      </c>
      <c r="B173" s="28" t="str">
        <f>IF($A173="","",INDEX('Calculator Cost per Bucata'!$C:$C,ROW()+4))</f>
        <v/>
      </c>
      <c r="C173" s="28" t="str">
        <f>IF($A173="","",INDEX('Calculator Cost per Bucata'!$D:$D,ROW()+4))</f>
        <v/>
      </c>
      <c r="D173" s="33" t="str">
        <f>IF(INDEX('Calculator Cost per Bucata'!$Y:$Y,ROW()+4)=1,INDEX('Calculator Cost per Bucata'!$P:$P,ROW()+4),"")</f>
        <v/>
      </c>
      <c r="E173" s="33" t="str">
        <f>IF(INDEX('Calculator Cost per Bucata'!$Y:$Y,ROW()+4)=1,INDEX('Calculator Cost per Bucata'!$S:$S,ROW()+4),"")</f>
        <v/>
      </c>
      <c r="F173" s="33" t="str">
        <f>IF($A173="","",IF(N(INDEX('PI Furnizor'!$L:$L,ROW()+1))&gt;0,INDEX('PI Furnizor'!$L:$L,ROW()+1),""))</f>
        <v/>
      </c>
      <c r="G173" s="33" t="str">
        <f>IF($A173="","",IF(Comenzi!$D$6="Da",$D173,$E173))</f>
        <v/>
      </c>
      <c r="H173" s="33" t="str">
        <f>IF(OR($A173="",$F173=""),"",IF(Comenzi!$D$6="Da",IFERROR($F173/(1+INDEX('Calculator Cost per Bucata'!$AC:$AC,ROW()+4)),""),$F173))</f>
        <v/>
      </c>
      <c r="I173" s="46" t="str">
        <f t="shared" si="6"/>
        <v/>
      </c>
      <c r="J173" s="47" t="str">
        <f t="shared" si="7"/>
        <v/>
      </c>
      <c r="K173" s="48" t="str">
        <f t="shared" si="8"/>
        <v/>
      </c>
    </row>
    <row r="174" spans="1:11" x14ac:dyDescent="0.3">
      <c r="A174" s="28" t="str">
        <f>IF(INDEX('Calculator Cost per Bucata'!$A:$A,ROW()+4)="","",INDEX('Calculator Cost per Bucata'!$A:$A,ROW()+4))</f>
        <v/>
      </c>
      <c r="B174" s="28" t="str">
        <f>IF($A174="","",INDEX('Calculator Cost per Bucata'!$C:$C,ROW()+4))</f>
        <v/>
      </c>
      <c r="C174" s="28" t="str">
        <f>IF($A174="","",INDEX('Calculator Cost per Bucata'!$D:$D,ROW()+4))</f>
        <v/>
      </c>
      <c r="D174" s="33" t="str">
        <f>IF(INDEX('Calculator Cost per Bucata'!$Y:$Y,ROW()+4)=1,INDEX('Calculator Cost per Bucata'!$P:$P,ROW()+4),"")</f>
        <v/>
      </c>
      <c r="E174" s="33" t="str">
        <f>IF(INDEX('Calculator Cost per Bucata'!$Y:$Y,ROW()+4)=1,INDEX('Calculator Cost per Bucata'!$S:$S,ROW()+4),"")</f>
        <v/>
      </c>
      <c r="F174" s="33" t="str">
        <f>IF($A174="","",IF(N(INDEX('PI Furnizor'!$L:$L,ROW()+1))&gt;0,INDEX('PI Furnizor'!$L:$L,ROW()+1),""))</f>
        <v/>
      </c>
      <c r="G174" s="33" t="str">
        <f>IF($A174="","",IF(Comenzi!$D$6="Da",$D174,$E174))</f>
        <v/>
      </c>
      <c r="H174" s="33" t="str">
        <f>IF(OR($A174="",$F174=""),"",IF(Comenzi!$D$6="Da",IFERROR($F174/(1+INDEX('Calculator Cost per Bucata'!$AC:$AC,ROW()+4)),""),$F174))</f>
        <v/>
      </c>
      <c r="I174" s="46" t="str">
        <f t="shared" si="6"/>
        <v/>
      </c>
      <c r="J174" s="47" t="str">
        <f t="shared" si="7"/>
        <v/>
      </c>
      <c r="K174" s="48" t="str">
        <f t="shared" si="8"/>
        <v/>
      </c>
    </row>
    <row r="175" spans="1:11" x14ac:dyDescent="0.3">
      <c r="A175" s="28" t="str">
        <f>IF(INDEX('Calculator Cost per Bucata'!$A:$A,ROW()+4)="","",INDEX('Calculator Cost per Bucata'!$A:$A,ROW()+4))</f>
        <v/>
      </c>
      <c r="B175" s="28" t="str">
        <f>IF($A175="","",INDEX('Calculator Cost per Bucata'!$C:$C,ROW()+4))</f>
        <v/>
      </c>
      <c r="C175" s="28" t="str">
        <f>IF($A175="","",INDEX('Calculator Cost per Bucata'!$D:$D,ROW()+4))</f>
        <v/>
      </c>
      <c r="D175" s="33" t="str">
        <f>IF(INDEX('Calculator Cost per Bucata'!$Y:$Y,ROW()+4)=1,INDEX('Calculator Cost per Bucata'!$P:$P,ROW()+4),"")</f>
        <v/>
      </c>
      <c r="E175" s="33" t="str">
        <f>IF(INDEX('Calculator Cost per Bucata'!$Y:$Y,ROW()+4)=1,INDEX('Calculator Cost per Bucata'!$S:$S,ROW()+4),"")</f>
        <v/>
      </c>
      <c r="F175" s="33" t="str">
        <f>IF($A175="","",IF(N(INDEX('PI Furnizor'!$L:$L,ROW()+1))&gt;0,INDEX('PI Furnizor'!$L:$L,ROW()+1),""))</f>
        <v/>
      </c>
      <c r="G175" s="33" t="str">
        <f>IF($A175="","",IF(Comenzi!$D$6="Da",$D175,$E175))</f>
        <v/>
      </c>
      <c r="H175" s="33" t="str">
        <f>IF(OR($A175="",$F175=""),"",IF(Comenzi!$D$6="Da",IFERROR($F175/(1+INDEX('Calculator Cost per Bucata'!$AC:$AC,ROW()+4)),""),$F175))</f>
        <v/>
      </c>
      <c r="I175" s="46" t="str">
        <f t="shared" si="6"/>
        <v/>
      </c>
      <c r="J175" s="47" t="str">
        <f t="shared" si="7"/>
        <v/>
      </c>
      <c r="K175" s="48" t="str">
        <f t="shared" si="8"/>
        <v/>
      </c>
    </row>
    <row r="176" spans="1:11" x14ac:dyDescent="0.3">
      <c r="A176" s="28" t="str">
        <f>IF(INDEX('Calculator Cost per Bucata'!$A:$A,ROW()+4)="","",INDEX('Calculator Cost per Bucata'!$A:$A,ROW()+4))</f>
        <v/>
      </c>
      <c r="B176" s="28" t="str">
        <f>IF($A176="","",INDEX('Calculator Cost per Bucata'!$C:$C,ROW()+4))</f>
        <v/>
      </c>
      <c r="C176" s="28" t="str">
        <f>IF($A176="","",INDEX('Calculator Cost per Bucata'!$D:$D,ROW()+4))</f>
        <v/>
      </c>
      <c r="D176" s="33" t="str">
        <f>IF(INDEX('Calculator Cost per Bucata'!$Y:$Y,ROW()+4)=1,INDEX('Calculator Cost per Bucata'!$P:$P,ROW()+4),"")</f>
        <v/>
      </c>
      <c r="E176" s="33" t="str">
        <f>IF(INDEX('Calculator Cost per Bucata'!$Y:$Y,ROW()+4)=1,INDEX('Calculator Cost per Bucata'!$S:$S,ROW()+4),"")</f>
        <v/>
      </c>
      <c r="F176" s="33" t="str">
        <f>IF($A176="","",IF(N(INDEX('PI Furnizor'!$L:$L,ROW()+1))&gt;0,INDEX('PI Furnizor'!$L:$L,ROW()+1),""))</f>
        <v/>
      </c>
      <c r="G176" s="33" t="str">
        <f>IF($A176="","",IF(Comenzi!$D$6="Da",$D176,$E176))</f>
        <v/>
      </c>
      <c r="H176" s="33" t="str">
        <f>IF(OR($A176="",$F176=""),"",IF(Comenzi!$D$6="Da",IFERROR($F176/(1+INDEX('Calculator Cost per Bucata'!$AC:$AC,ROW()+4)),""),$F176))</f>
        <v/>
      </c>
      <c r="I176" s="46" t="str">
        <f t="shared" si="6"/>
        <v/>
      </c>
      <c r="J176" s="47" t="str">
        <f t="shared" si="7"/>
        <v/>
      </c>
      <c r="K176" s="48" t="str">
        <f t="shared" si="8"/>
        <v/>
      </c>
    </row>
    <row r="177" spans="1:11" x14ac:dyDescent="0.3">
      <c r="A177" s="28" t="str">
        <f>IF(INDEX('Calculator Cost per Bucata'!$A:$A,ROW()+4)="","",INDEX('Calculator Cost per Bucata'!$A:$A,ROW()+4))</f>
        <v/>
      </c>
      <c r="B177" s="28" t="str">
        <f>IF($A177="","",INDEX('Calculator Cost per Bucata'!$C:$C,ROW()+4))</f>
        <v/>
      </c>
      <c r="C177" s="28" t="str">
        <f>IF($A177="","",INDEX('Calculator Cost per Bucata'!$D:$D,ROW()+4))</f>
        <v/>
      </c>
      <c r="D177" s="33" t="str">
        <f>IF(INDEX('Calculator Cost per Bucata'!$Y:$Y,ROW()+4)=1,INDEX('Calculator Cost per Bucata'!$P:$P,ROW()+4),"")</f>
        <v/>
      </c>
      <c r="E177" s="33" t="str">
        <f>IF(INDEX('Calculator Cost per Bucata'!$Y:$Y,ROW()+4)=1,INDEX('Calculator Cost per Bucata'!$S:$S,ROW()+4),"")</f>
        <v/>
      </c>
      <c r="F177" s="33" t="str">
        <f>IF($A177="","",IF(N(INDEX('PI Furnizor'!$L:$L,ROW()+1))&gt;0,INDEX('PI Furnizor'!$L:$L,ROW()+1),""))</f>
        <v/>
      </c>
      <c r="G177" s="33" t="str">
        <f>IF($A177="","",IF(Comenzi!$D$6="Da",$D177,$E177))</f>
        <v/>
      </c>
      <c r="H177" s="33" t="str">
        <f>IF(OR($A177="",$F177=""),"",IF(Comenzi!$D$6="Da",IFERROR($F177/(1+INDEX('Calculator Cost per Bucata'!$AC:$AC,ROW()+4)),""),$F177))</f>
        <v/>
      </c>
      <c r="I177" s="46" t="str">
        <f t="shared" si="6"/>
        <v/>
      </c>
      <c r="J177" s="47" t="str">
        <f t="shared" si="7"/>
        <v/>
      </c>
      <c r="K177" s="48" t="str">
        <f t="shared" si="8"/>
        <v/>
      </c>
    </row>
    <row r="178" spans="1:11" x14ac:dyDescent="0.3">
      <c r="A178" s="28" t="str">
        <f>IF(INDEX('Calculator Cost per Bucata'!$A:$A,ROW()+4)="","",INDEX('Calculator Cost per Bucata'!$A:$A,ROW()+4))</f>
        <v/>
      </c>
      <c r="B178" s="28" t="str">
        <f>IF($A178="","",INDEX('Calculator Cost per Bucata'!$C:$C,ROW()+4))</f>
        <v/>
      </c>
      <c r="C178" s="28" t="str">
        <f>IF($A178="","",INDEX('Calculator Cost per Bucata'!$D:$D,ROW()+4))</f>
        <v/>
      </c>
      <c r="D178" s="33" t="str">
        <f>IF(INDEX('Calculator Cost per Bucata'!$Y:$Y,ROW()+4)=1,INDEX('Calculator Cost per Bucata'!$P:$P,ROW()+4),"")</f>
        <v/>
      </c>
      <c r="E178" s="33" t="str">
        <f>IF(INDEX('Calculator Cost per Bucata'!$Y:$Y,ROW()+4)=1,INDEX('Calculator Cost per Bucata'!$S:$S,ROW()+4),"")</f>
        <v/>
      </c>
      <c r="F178" s="33" t="str">
        <f>IF($A178="","",IF(N(INDEX('PI Furnizor'!$L:$L,ROW()+1))&gt;0,INDEX('PI Furnizor'!$L:$L,ROW()+1),""))</f>
        <v/>
      </c>
      <c r="G178" s="33" t="str">
        <f>IF($A178="","",IF(Comenzi!$D$6="Da",$D178,$E178))</f>
        <v/>
      </c>
      <c r="H178" s="33" t="str">
        <f>IF(OR($A178="",$F178=""),"",IF(Comenzi!$D$6="Da",IFERROR($F178/(1+INDEX('Calculator Cost per Bucata'!$AC:$AC,ROW()+4)),""),$F178))</f>
        <v/>
      </c>
      <c r="I178" s="46" t="str">
        <f t="shared" si="6"/>
        <v/>
      </c>
      <c r="J178" s="47" t="str">
        <f t="shared" si="7"/>
        <v/>
      </c>
      <c r="K178" s="48" t="str">
        <f t="shared" si="8"/>
        <v/>
      </c>
    </row>
    <row r="179" spans="1:11" x14ac:dyDescent="0.3">
      <c r="A179" s="28" t="str">
        <f>IF(INDEX('Calculator Cost per Bucata'!$A:$A,ROW()+4)="","",INDEX('Calculator Cost per Bucata'!$A:$A,ROW()+4))</f>
        <v/>
      </c>
      <c r="B179" s="28" t="str">
        <f>IF($A179="","",INDEX('Calculator Cost per Bucata'!$C:$C,ROW()+4))</f>
        <v/>
      </c>
      <c r="C179" s="28" t="str">
        <f>IF($A179="","",INDEX('Calculator Cost per Bucata'!$D:$D,ROW()+4))</f>
        <v/>
      </c>
      <c r="D179" s="33" t="str">
        <f>IF(INDEX('Calculator Cost per Bucata'!$Y:$Y,ROW()+4)=1,INDEX('Calculator Cost per Bucata'!$P:$P,ROW()+4),"")</f>
        <v/>
      </c>
      <c r="E179" s="33" t="str">
        <f>IF(INDEX('Calculator Cost per Bucata'!$Y:$Y,ROW()+4)=1,INDEX('Calculator Cost per Bucata'!$S:$S,ROW()+4),"")</f>
        <v/>
      </c>
      <c r="F179" s="33" t="str">
        <f>IF($A179="","",IF(N(INDEX('PI Furnizor'!$L:$L,ROW()+1))&gt;0,INDEX('PI Furnizor'!$L:$L,ROW()+1),""))</f>
        <v/>
      </c>
      <c r="G179" s="33" t="str">
        <f>IF($A179="","",IF(Comenzi!$D$6="Da",$D179,$E179))</f>
        <v/>
      </c>
      <c r="H179" s="33" t="str">
        <f>IF(OR($A179="",$F179=""),"",IF(Comenzi!$D$6="Da",IFERROR($F179/(1+INDEX('Calculator Cost per Bucata'!$AC:$AC,ROW()+4)),""),$F179))</f>
        <v/>
      </c>
      <c r="I179" s="46" t="str">
        <f t="shared" si="6"/>
        <v/>
      </c>
      <c r="J179" s="47" t="str">
        <f t="shared" si="7"/>
        <v/>
      </c>
      <c r="K179" s="48" t="str">
        <f t="shared" si="8"/>
        <v/>
      </c>
    </row>
    <row r="180" spans="1:11" x14ac:dyDescent="0.3">
      <c r="A180" s="28" t="str">
        <f>IF(INDEX('Calculator Cost per Bucata'!$A:$A,ROW()+4)="","",INDEX('Calculator Cost per Bucata'!$A:$A,ROW()+4))</f>
        <v/>
      </c>
      <c r="B180" s="28" t="str">
        <f>IF($A180="","",INDEX('Calculator Cost per Bucata'!$C:$C,ROW()+4))</f>
        <v/>
      </c>
      <c r="C180" s="28" t="str">
        <f>IF($A180="","",INDEX('Calculator Cost per Bucata'!$D:$D,ROW()+4))</f>
        <v/>
      </c>
      <c r="D180" s="33" t="str">
        <f>IF(INDEX('Calculator Cost per Bucata'!$Y:$Y,ROW()+4)=1,INDEX('Calculator Cost per Bucata'!$P:$P,ROW()+4),"")</f>
        <v/>
      </c>
      <c r="E180" s="33" t="str">
        <f>IF(INDEX('Calculator Cost per Bucata'!$Y:$Y,ROW()+4)=1,INDEX('Calculator Cost per Bucata'!$S:$S,ROW()+4),"")</f>
        <v/>
      </c>
      <c r="F180" s="33" t="str">
        <f>IF($A180="","",IF(N(INDEX('PI Furnizor'!$L:$L,ROW()+1))&gt;0,INDEX('PI Furnizor'!$L:$L,ROW()+1),""))</f>
        <v/>
      </c>
      <c r="G180" s="33" t="str">
        <f>IF($A180="","",IF(Comenzi!$D$6="Da",$D180,$E180))</f>
        <v/>
      </c>
      <c r="H180" s="33" t="str">
        <f>IF(OR($A180="",$F180=""),"",IF(Comenzi!$D$6="Da",IFERROR($F180/(1+INDEX('Calculator Cost per Bucata'!$AC:$AC,ROW()+4)),""),$F180))</f>
        <v/>
      </c>
      <c r="I180" s="46" t="str">
        <f t="shared" si="6"/>
        <v/>
      </c>
      <c r="J180" s="47" t="str">
        <f t="shared" si="7"/>
        <v/>
      </c>
      <c r="K180" s="48" t="str">
        <f t="shared" si="8"/>
        <v/>
      </c>
    </row>
    <row r="181" spans="1:11" x14ac:dyDescent="0.3">
      <c r="A181" s="28" t="str">
        <f>IF(INDEX('Calculator Cost per Bucata'!$A:$A,ROW()+4)="","",INDEX('Calculator Cost per Bucata'!$A:$A,ROW()+4))</f>
        <v/>
      </c>
      <c r="B181" s="28" t="str">
        <f>IF($A181="","",INDEX('Calculator Cost per Bucata'!$C:$C,ROW()+4))</f>
        <v/>
      </c>
      <c r="C181" s="28" t="str">
        <f>IF($A181="","",INDEX('Calculator Cost per Bucata'!$D:$D,ROW()+4))</f>
        <v/>
      </c>
      <c r="D181" s="33" t="str">
        <f>IF(INDEX('Calculator Cost per Bucata'!$Y:$Y,ROW()+4)=1,INDEX('Calculator Cost per Bucata'!$P:$P,ROW()+4),"")</f>
        <v/>
      </c>
      <c r="E181" s="33" t="str">
        <f>IF(INDEX('Calculator Cost per Bucata'!$Y:$Y,ROW()+4)=1,INDEX('Calculator Cost per Bucata'!$S:$S,ROW()+4),"")</f>
        <v/>
      </c>
      <c r="F181" s="33" t="str">
        <f>IF($A181="","",IF(N(INDEX('PI Furnizor'!$L:$L,ROW()+1))&gt;0,INDEX('PI Furnizor'!$L:$L,ROW()+1),""))</f>
        <v/>
      </c>
      <c r="G181" s="33" t="str">
        <f>IF($A181="","",IF(Comenzi!$D$6="Da",$D181,$E181))</f>
        <v/>
      </c>
      <c r="H181" s="33" t="str">
        <f>IF(OR($A181="",$F181=""),"",IF(Comenzi!$D$6="Da",IFERROR($F181/(1+INDEX('Calculator Cost per Bucata'!$AC:$AC,ROW()+4)),""),$F181))</f>
        <v/>
      </c>
      <c r="I181" s="46" t="str">
        <f t="shared" si="6"/>
        <v/>
      </c>
      <c r="J181" s="47" t="str">
        <f t="shared" si="7"/>
        <v/>
      </c>
      <c r="K181" s="48" t="str">
        <f t="shared" si="8"/>
        <v/>
      </c>
    </row>
    <row r="182" spans="1:11" x14ac:dyDescent="0.3">
      <c r="A182" s="28" t="str">
        <f>IF(INDEX('Calculator Cost per Bucata'!$A:$A,ROW()+4)="","",INDEX('Calculator Cost per Bucata'!$A:$A,ROW()+4))</f>
        <v/>
      </c>
      <c r="B182" s="28" t="str">
        <f>IF($A182="","",INDEX('Calculator Cost per Bucata'!$C:$C,ROW()+4))</f>
        <v/>
      </c>
      <c r="C182" s="28" t="str">
        <f>IF($A182="","",INDEX('Calculator Cost per Bucata'!$D:$D,ROW()+4))</f>
        <v/>
      </c>
      <c r="D182" s="33" t="str">
        <f>IF(INDEX('Calculator Cost per Bucata'!$Y:$Y,ROW()+4)=1,INDEX('Calculator Cost per Bucata'!$P:$P,ROW()+4),"")</f>
        <v/>
      </c>
      <c r="E182" s="33" t="str">
        <f>IF(INDEX('Calculator Cost per Bucata'!$Y:$Y,ROW()+4)=1,INDEX('Calculator Cost per Bucata'!$S:$S,ROW()+4),"")</f>
        <v/>
      </c>
      <c r="F182" s="33" t="str">
        <f>IF($A182="","",IF(N(INDEX('PI Furnizor'!$L:$L,ROW()+1))&gt;0,INDEX('PI Furnizor'!$L:$L,ROW()+1),""))</f>
        <v/>
      </c>
      <c r="G182" s="33" t="str">
        <f>IF($A182="","",IF(Comenzi!$D$6="Da",$D182,$E182))</f>
        <v/>
      </c>
      <c r="H182" s="33" t="str">
        <f>IF(OR($A182="",$F182=""),"",IF(Comenzi!$D$6="Da",IFERROR($F182/(1+INDEX('Calculator Cost per Bucata'!$AC:$AC,ROW()+4)),""),$F182))</f>
        <v/>
      </c>
      <c r="I182" s="46" t="str">
        <f t="shared" si="6"/>
        <v/>
      </c>
      <c r="J182" s="47" t="str">
        <f t="shared" si="7"/>
        <v/>
      </c>
      <c r="K182" s="48" t="str">
        <f t="shared" si="8"/>
        <v/>
      </c>
    </row>
    <row r="183" spans="1:11" x14ac:dyDescent="0.3">
      <c r="A183" s="28" t="str">
        <f>IF(INDEX('Calculator Cost per Bucata'!$A:$A,ROW()+4)="","",INDEX('Calculator Cost per Bucata'!$A:$A,ROW()+4))</f>
        <v/>
      </c>
      <c r="B183" s="28" t="str">
        <f>IF($A183="","",INDEX('Calculator Cost per Bucata'!$C:$C,ROW()+4))</f>
        <v/>
      </c>
      <c r="C183" s="28" t="str">
        <f>IF($A183="","",INDEX('Calculator Cost per Bucata'!$D:$D,ROW()+4))</f>
        <v/>
      </c>
      <c r="D183" s="33" t="str">
        <f>IF(INDEX('Calculator Cost per Bucata'!$Y:$Y,ROW()+4)=1,INDEX('Calculator Cost per Bucata'!$P:$P,ROW()+4),"")</f>
        <v/>
      </c>
      <c r="E183" s="33" t="str">
        <f>IF(INDEX('Calculator Cost per Bucata'!$Y:$Y,ROW()+4)=1,INDEX('Calculator Cost per Bucata'!$S:$S,ROW()+4),"")</f>
        <v/>
      </c>
      <c r="F183" s="33" t="str">
        <f>IF($A183="","",IF(N(INDEX('PI Furnizor'!$L:$L,ROW()+1))&gt;0,INDEX('PI Furnizor'!$L:$L,ROW()+1),""))</f>
        <v/>
      </c>
      <c r="G183" s="33" t="str">
        <f>IF($A183="","",IF(Comenzi!$D$6="Da",$D183,$E183))</f>
        <v/>
      </c>
      <c r="H183" s="33" t="str">
        <f>IF(OR($A183="",$F183=""),"",IF(Comenzi!$D$6="Da",IFERROR($F183/(1+INDEX('Calculator Cost per Bucata'!$AC:$AC,ROW()+4)),""),$F183))</f>
        <v/>
      </c>
      <c r="I183" s="46" t="str">
        <f t="shared" si="6"/>
        <v/>
      </c>
      <c r="J183" s="47" t="str">
        <f t="shared" si="7"/>
        <v/>
      </c>
      <c r="K183" s="48" t="str">
        <f t="shared" si="8"/>
        <v/>
      </c>
    </row>
    <row r="184" spans="1:11" x14ac:dyDescent="0.3">
      <c r="A184" s="28" t="str">
        <f>IF(INDEX('Calculator Cost per Bucata'!$A:$A,ROW()+4)="","",INDEX('Calculator Cost per Bucata'!$A:$A,ROW()+4))</f>
        <v/>
      </c>
      <c r="B184" s="28" t="str">
        <f>IF($A184="","",INDEX('Calculator Cost per Bucata'!$C:$C,ROW()+4))</f>
        <v/>
      </c>
      <c r="C184" s="28" t="str">
        <f>IF($A184="","",INDEX('Calculator Cost per Bucata'!$D:$D,ROW()+4))</f>
        <v/>
      </c>
      <c r="D184" s="33" t="str">
        <f>IF(INDEX('Calculator Cost per Bucata'!$Y:$Y,ROW()+4)=1,INDEX('Calculator Cost per Bucata'!$P:$P,ROW()+4),"")</f>
        <v/>
      </c>
      <c r="E184" s="33" t="str">
        <f>IF(INDEX('Calculator Cost per Bucata'!$Y:$Y,ROW()+4)=1,INDEX('Calculator Cost per Bucata'!$S:$S,ROW()+4),"")</f>
        <v/>
      </c>
      <c r="F184" s="33" t="str">
        <f>IF($A184="","",IF(N(INDEX('PI Furnizor'!$L:$L,ROW()+1))&gt;0,INDEX('PI Furnizor'!$L:$L,ROW()+1),""))</f>
        <v/>
      </c>
      <c r="G184" s="33" t="str">
        <f>IF($A184="","",IF(Comenzi!$D$6="Da",$D184,$E184))</f>
        <v/>
      </c>
      <c r="H184" s="33" t="str">
        <f>IF(OR($A184="",$F184=""),"",IF(Comenzi!$D$6="Da",IFERROR($F184/(1+INDEX('Calculator Cost per Bucata'!$AC:$AC,ROW()+4)),""),$F184))</f>
        <v/>
      </c>
      <c r="I184" s="46" t="str">
        <f t="shared" si="6"/>
        <v/>
      </c>
      <c r="J184" s="47" t="str">
        <f t="shared" si="7"/>
        <v/>
      </c>
      <c r="K184" s="48" t="str">
        <f t="shared" si="8"/>
        <v/>
      </c>
    </row>
    <row r="185" spans="1:11" x14ac:dyDescent="0.3">
      <c r="A185" s="28" t="str">
        <f>IF(INDEX('Calculator Cost per Bucata'!$A:$A,ROW()+4)="","",INDEX('Calculator Cost per Bucata'!$A:$A,ROW()+4))</f>
        <v/>
      </c>
      <c r="B185" s="28" t="str">
        <f>IF($A185="","",INDEX('Calculator Cost per Bucata'!$C:$C,ROW()+4))</f>
        <v/>
      </c>
      <c r="C185" s="28" t="str">
        <f>IF($A185="","",INDEX('Calculator Cost per Bucata'!$D:$D,ROW()+4))</f>
        <v/>
      </c>
      <c r="D185" s="33" t="str">
        <f>IF(INDEX('Calculator Cost per Bucata'!$Y:$Y,ROW()+4)=1,INDEX('Calculator Cost per Bucata'!$P:$P,ROW()+4),"")</f>
        <v/>
      </c>
      <c r="E185" s="33" t="str">
        <f>IF(INDEX('Calculator Cost per Bucata'!$Y:$Y,ROW()+4)=1,INDEX('Calculator Cost per Bucata'!$S:$S,ROW()+4),"")</f>
        <v/>
      </c>
      <c r="F185" s="33" t="str">
        <f>IF($A185="","",IF(N(INDEX('PI Furnizor'!$L:$L,ROW()+1))&gt;0,INDEX('PI Furnizor'!$L:$L,ROW()+1),""))</f>
        <v/>
      </c>
      <c r="G185" s="33" t="str">
        <f>IF($A185="","",IF(Comenzi!$D$6="Da",$D185,$E185))</f>
        <v/>
      </c>
      <c r="H185" s="33" t="str">
        <f>IF(OR($A185="",$F185=""),"",IF(Comenzi!$D$6="Da",IFERROR($F185/(1+INDEX('Calculator Cost per Bucata'!$AC:$AC,ROW()+4)),""),$F185))</f>
        <v/>
      </c>
      <c r="I185" s="46" t="str">
        <f t="shared" si="6"/>
        <v/>
      </c>
      <c r="J185" s="47" t="str">
        <f t="shared" si="7"/>
        <v/>
      </c>
      <c r="K185" s="48" t="str">
        <f t="shared" si="8"/>
        <v/>
      </c>
    </row>
    <row r="186" spans="1:11" x14ac:dyDescent="0.3">
      <c r="A186" s="28" t="str">
        <f>IF(INDEX('Calculator Cost per Bucata'!$A:$A,ROW()+4)="","",INDEX('Calculator Cost per Bucata'!$A:$A,ROW()+4))</f>
        <v/>
      </c>
      <c r="B186" s="28" t="str">
        <f>IF($A186="","",INDEX('Calculator Cost per Bucata'!$C:$C,ROW()+4))</f>
        <v/>
      </c>
      <c r="C186" s="28" t="str">
        <f>IF($A186="","",INDEX('Calculator Cost per Bucata'!$D:$D,ROW()+4))</f>
        <v/>
      </c>
      <c r="D186" s="33" t="str">
        <f>IF(INDEX('Calculator Cost per Bucata'!$Y:$Y,ROW()+4)=1,INDEX('Calculator Cost per Bucata'!$P:$P,ROW()+4),"")</f>
        <v/>
      </c>
      <c r="E186" s="33" t="str">
        <f>IF(INDEX('Calculator Cost per Bucata'!$Y:$Y,ROW()+4)=1,INDEX('Calculator Cost per Bucata'!$S:$S,ROW()+4),"")</f>
        <v/>
      </c>
      <c r="F186" s="33" t="str">
        <f>IF($A186="","",IF(N(INDEX('PI Furnizor'!$L:$L,ROW()+1))&gt;0,INDEX('PI Furnizor'!$L:$L,ROW()+1),""))</f>
        <v/>
      </c>
      <c r="G186" s="33" t="str">
        <f>IF($A186="","",IF(Comenzi!$D$6="Da",$D186,$E186))</f>
        <v/>
      </c>
      <c r="H186" s="33" t="str">
        <f>IF(OR($A186="",$F186=""),"",IF(Comenzi!$D$6="Da",IFERROR($F186/(1+INDEX('Calculator Cost per Bucata'!$AC:$AC,ROW()+4)),""),$F186))</f>
        <v/>
      </c>
      <c r="I186" s="46" t="str">
        <f t="shared" si="6"/>
        <v/>
      </c>
      <c r="J186" s="47" t="str">
        <f t="shared" si="7"/>
        <v/>
      </c>
      <c r="K186" s="48" t="str">
        <f t="shared" si="8"/>
        <v/>
      </c>
    </row>
    <row r="187" spans="1:11" x14ac:dyDescent="0.3">
      <c r="A187" s="28" t="str">
        <f>IF(INDEX('Calculator Cost per Bucata'!$A:$A,ROW()+4)="","",INDEX('Calculator Cost per Bucata'!$A:$A,ROW()+4))</f>
        <v/>
      </c>
      <c r="B187" s="28" t="str">
        <f>IF($A187="","",INDEX('Calculator Cost per Bucata'!$C:$C,ROW()+4))</f>
        <v/>
      </c>
      <c r="C187" s="28" t="str">
        <f>IF($A187="","",INDEX('Calculator Cost per Bucata'!$D:$D,ROW()+4))</f>
        <v/>
      </c>
      <c r="D187" s="33" t="str">
        <f>IF(INDEX('Calculator Cost per Bucata'!$Y:$Y,ROW()+4)=1,INDEX('Calculator Cost per Bucata'!$P:$P,ROW()+4),"")</f>
        <v/>
      </c>
      <c r="E187" s="33" t="str">
        <f>IF(INDEX('Calculator Cost per Bucata'!$Y:$Y,ROW()+4)=1,INDEX('Calculator Cost per Bucata'!$S:$S,ROW()+4),"")</f>
        <v/>
      </c>
      <c r="F187" s="33" t="str">
        <f>IF($A187="","",IF(N(INDEX('PI Furnizor'!$L:$L,ROW()+1))&gt;0,INDEX('PI Furnizor'!$L:$L,ROW()+1),""))</f>
        <v/>
      </c>
      <c r="G187" s="33" t="str">
        <f>IF($A187="","",IF(Comenzi!$D$6="Da",$D187,$E187))</f>
        <v/>
      </c>
      <c r="H187" s="33" t="str">
        <f>IF(OR($A187="",$F187=""),"",IF(Comenzi!$D$6="Da",IFERROR($F187/(1+INDEX('Calculator Cost per Bucata'!$AC:$AC,ROW()+4)),""),$F187))</f>
        <v/>
      </c>
      <c r="I187" s="46" t="str">
        <f t="shared" si="6"/>
        <v/>
      </c>
      <c r="J187" s="47" t="str">
        <f t="shared" si="7"/>
        <v/>
      </c>
      <c r="K187" s="48" t="str">
        <f t="shared" si="8"/>
        <v/>
      </c>
    </row>
    <row r="188" spans="1:11" x14ac:dyDescent="0.3">
      <c r="A188" s="28" t="str">
        <f>IF(INDEX('Calculator Cost per Bucata'!$A:$A,ROW()+4)="","",INDEX('Calculator Cost per Bucata'!$A:$A,ROW()+4))</f>
        <v/>
      </c>
      <c r="B188" s="28" t="str">
        <f>IF($A188="","",INDEX('Calculator Cost per Bucata'!$C:$C,ROW()+4))</f>
        <v/>
      </c>
      <c r="C188" s="28" t="str">
        <f>IF($A188="","",INDEX('Calculator Cost per Bucata'!$D:$D,ROW()+4))</f>
        <v/>
      </c>
      <c r="D188" s="33" t="str">
        <f>IF(INDEX('Calculator Cost per Bucata'!$Y:$Y,ROW()+4)=1,INDEX('Calculator Cost per Bucata'!$P:$P,ROW()+4),"")</f>
        <v/>
      </c>
      <c r="E188" s="33" t="str">
        <f>IF(INDEX('Calculator Cost per Bucata'!$Y:$Y,ROW()+4)=1,INDEX('Calculator Cost per Bucata'!$S:$S,ROW()+4),"")</f>
        <v/>
      </c>
      <c r="F188" s="33" t="str">
        <f>IF($A188="","",IF(N(INDEX('PI Furnizor'!$L:$L,ROW()+1))&gt;0,INDEX('PI Furnizor'!$L:$L,ROW()+1),""))</f>
        <v/>
      </c>
      <c r="G188" s="33" t="str">
        <f>IF($A188="","",IF(Comenzi!$D$6="Da",$D188,$E188))</f>
        <v/>
      </c>
      <c r="H188" s="33" t="str">
        <f>IF(OR($A188="",$F188=""),"",IF(Comenzi!$D$6="Da",IFERROR($F188/(1+INDEX('Calculator Cost per Bucata'!$AC:$AC,ROW()+4)),""),$F188))</f>
        <v/>
      </c>
      <c r="I188" s="46" t="str">
        <f t="shared" si="6"/>
        <v/>
      </c>
      <c r="J188" s="47" t="str">
        <f t="shared" si="7"/>
        <v/>
      </c>
      <c r="K188" s="48" t="str">
        <f t="shared" si="8"/>
        <v/>
      </c>
    </row>
    <row r="189" spans="1:11" x14ac:dyDescent="0.3">
      <c r="A189" s="28" t="str">
        <f>IF(INDEX('Calculator Cost per Bucata'!$A:$A,ROW()+4)="","",INDEX('Calculator Cost per Bucata'!$A:$A,ROW()+4))</f>
        <v/>
      </c>
      <c r="B189" s="28" t="str">
        <f>IF($A189="","",INDEX('Calculator Cost per Bucata'!$C:$C,ROW()+4))</f>
        <v/>
      </c>
      <c r="C189" s="28" t="str">
        <f>IF($A189="","",INDEX('Calculator Cost per Bucata'!$D:$D,ROW()+4))</f>
        <v/>
      </c>
      <c r="D189" s="33" t="str">
        <f>IF(INDEX('Calculator Cost per Bucata'!$Y:$Y,ROW()+4)=1,INDEX('Calculator Cost per Bucata'!$P:$P,ROW()+4),"")</f>
        <v/>
      </c>
      <c r="E189" s="33" t="str">
        <f>IF(INDEX('Calculator Cost per Bucata'!$Y:$Y,ROW()+4)=1,INDEX('Calculator Cost per Bucata'!$S:$S,ROW()+4),"")</f>
        <v/>
      </c>
      <c r="F189" s="33" t="str">
        <f>IF($A189="","",IF(N(INDEX('PI Furnizor'!$L:$L,ROW()+1))&gt;0,INDEX('PI Furnizor'!$L:$L,ROW()+1),""))</f>
        <v/>
      </c>
      <c r="G189" s="33" t="str">
        <f>IF($A189="","",IF(Comenzi!$D$6="Da",$D189,$E189))</f>
        <v/>
      </c>
      <c r="H189" s="33" t="str">
        <f>IF(OR($A189="",$F189=""),"",IF(Comenzi!$D$6="Da",IFERROR($F189/(1+INDEX('Calculator Cost per Bucata'!$AC:$AC,ROW()+4)),""),$F189))</f>
        <v/>
      </c>
      <c r="I189" s="46" t="str">
        <f t="shared" si="6"/>
        <v/>
      </c>
      <c r="J189" s="47" t="str">
        <f t="shared" si="7"/>
        <v/>
      </c>
      <c r="K189" s="48" t="str">
        <f t="shared" si="8"/>
        <v/>
      </c>
    </row>
    <row r="190" spans="1:11" x14ac:dyDescent="0.3">
      <c r="A190" s="28" t="str">
        <f>IF(INDEX('Calculator Cost per Bucata'!$A:$A,ROW()+4)="","",INDEX('Calculator Cost per Bucata'!$A:$A,ROW()+4))</f>
        <v/>
      </c>
      <c r="B190" s="28" t="str">
        <f>IF($A190="","",INDEX('Calculator Cost per Bucata'!$C:$C,ROW()+4))</f>
        <v/>
      </c>
      <c r="C190" s="28" t="str">
        <f>IF($A190="","",INDEX('Calculator Cost per Bucata'!$D:$D,ROW()+4))</f>
        <v/>
      </c>
      <c r="D190" s="33" t="str">
        <f>IF(INDEX('Calculator Cost per Bucata'!$Y:$Y,ROW()+4)=1,INDEX('Calculator Cost per Bucata'!$P:$P,ROW()+4),"")</f>
        <v/>
      </c>
      <c r="E190" s="33" t="str">
        <f>IF(INDEX('Calculator Cost per Bucata'!$Y:$Y,ROW()+4)=1,INDEX('Calculator Cost per Bucata'!$S:$S,ROW()+4),"")</f>
        <v/>
      </c>
      <c r="F190" s="33" t="str">
        <f>IF($A190="","",IF(N(INDEX('PI Furnizor'!$L:$L,ROW()+1))&gt;0,INDEX('PI Furnizor'!$L:$L,ROW()+1),""))</f>
        <v/>
      </c>
      <c r="G190" s="33" t="str">
        <f>IF($A190="","",IF(Comenzi!$D$6="Da",$D190,$E190))</f>
        <v/>
      </c>
      <c r="H190" s="33" t="str">
        <f>IF(OR($A190="",$F190=""),"",IF(Comenzi!$D$6="Da",IFERROR($F190/(1+INDEX('Calculator Cost per Bucata'!$AC:$AC,ROW()+4)),""),$F190))</f>
        <v/>
      </c>
      <c r="I190" s="46" t="str">
        <f t="shared" si="6"/>
        <v/>
      </c>
      <c r="J190" s="47" t="str">
        <f t="shared" si="7"/>
        <v/>
      </c>
      <c r="K190" s="48" t="str">
        <f t="shared" si="8"/>
        <v/>
      </c>
    </row>
    <row r="191" spans="1:11" x14ac:dyDescent="0.3">
      <c r="A191" s="28" t="str">
        <f>IF(INDEX('Calculator Cost per Bucata'!$A:$A,ROW()+4)="","",INDEX('Calculator Cost per Bucata'!$A:$A,ROW()+4))</f>
        <v/>
      </c>
      <c r="B191" s="28" t="str">
        <f>IF($A191="","",INDEX('Calculator Cost per Bucata'!$C:$C,ROW()+4))</f>
        <v/>
      </c>
      <c r="C191" s="28" t="str">
        <f>IF($A191="","",INDEX('Calculator Cost per Bucata'!$D:$D,ROW()+4))</f>
        <v/>
      </c>
      <c r="D191" s="33" t="str">
        <f>IF(INDEX('Calculator Cost per Bucata'!$Y:$Y,ROW()+4)=1,INDEX('Calculator Cost per Bucata'!$P:$P,ROW()+4),"")</f>
        <v/>
      </c>
      <c r="E191" s="33" t="str">
        <f>IF(INDEX('Calculator Cost per Bucata'!$Y:$Y,ROW()+4)=1,INDEX('Calculator Cost per Bucata'!$S:$S,ROW()+4),"")</f>
        <v/>
      </c>
      <c r="F191" s="33" t="str">
        <f>IF($A191="","",IF(N(INDEX('PI Furnizor'!$L:$L,ROW()+1))&gt;0,INDEX('PI Furnizor'!$L:$L,ROW()+1),""))</f>
        <v/>
      </c>
      <c r="G191" s="33" t="str">
        <f>IF($A191="","",IF(Comenzi!$D$6="Da",$D191,$E191))</f>
        <v/>
      </c>
      <c r="H191" s="33" t="str">
        <f>IF(OR($A191="",$F191=""),"",IF(Comenzi!$D$6="Da",IFERROR($F191/(1+INDEX('Calculator Cost per Bucata'!$AC:$AC,ROW()+4)),""),$F191))</f>
        <v/>
      </c>
      <c r="I191" s="46" t="str">
        <f t="shared" si="6"/>
        <v/>
      </c>
      <c r="J191" s="47" t="str">
        <f t="shared" si="7"/>
        <v/>
      </c>
      <c r="K191" s="48" t="str">
        <f t="shared" si="8"/>
        <v/>
      </c>
    </row>
    <row r="192" spans="1:11" x14ac:dyDescent="0.3">
      <c r="A192" s="28" t="str">
        <f>IF(INDEX('Calculator Cost per Bucata'!$A:$A,ROW()+4)="","",INDEX('Calculator Cost per Bucata'!$A:$A,ROW()+4))</f>
        <v/>
      </c>
      <c r="B192" s="28" t="str">
        <f>IF($A192="","",INDEX('Calculator Cost per Bucata'!$C:$C,ROW()+4))</f>
        <v/>
      </c>
      <c r="C192" s="28" t="str">
        <f>IF($A192="","",INDEX('Calculator Cost per Bucata'!$D:$D,ROW()+4))</f>
        <v/>
      </c>
      <c r="D192" s="33" t="str">
        <f>IF(INDEX('Calculator Cost per Bucata'!$Y:$Y,ROW()+4)=1,INDEX('Calculator Cost per Bucata'!$P:$P,ROW()+4),"")</f>
        <v/>
      </c>
      <c r="E192" s="33" t="str">
        <f>IF(INDEX('Calculator Cost per Bucata'!$Y:$Y,ROW()+4)=1,INDEX('Calculator Cost per Bucata'!$S:$S,ROW()+4),"")</f>
        <v/>
      </c>
      <c r="F192" s="33" t="str">
        <f>IF($A192="","",IF(N(INDEX('PI Furnizor'!$L:$L,ROW()+1))&gt;0,INDEX('PI Furnizor'!$L:$L,ROW()+1),""))</f>
        <v/>
      </c>
      <c r="G192" s="33" t="str">
        <f>IF($A192="","",IF(Comenzi!$D$6="Da",$D192,$E192))</f>
        <v/>
      </c>
      <c r="H192" s="33" t="str">
        <f>IF(OR($A192="",$F192=""),"",IF(Comenzi!$D$6="Da",IFERROR($F192/(1+INDEX('Calculator Cost per Bucata'!$AC:$AC,ROW()+4)),""),$F192))</f>
        <v/>
      </c>
      <c r="I192" s="46" t="str">
        <f t="shared" si="6"/>
        <v/>
      </c>
      <c r="J192" s="47" t="str">
        <f t="shared" si="7"/>
        <v/>
      </c>
      <c r="K192" s="48" t="str">
        <f t="shared" si="8"/>
        <v/>
      </c>
    </row>
    <row r="193" spans="1:11" x14ac:dyDescent="0.3">
      <c r="A193" s="28" t="str">
        <f>IF(INDEX('Calculator Cost per Bucata'!$A:$A,ROW()+4)="","",INDEX('Calculator Cost per Bucata'!$A:$A,ROW()+4))</f>
        <v/>
      </c>
      <c r="B193" s="28" t="str">
        <f>IF($A193="","",INDEX('Calculator Cost per Bucata'!$C:$C,ROW()+4))</f>
        <v/>
      </c>
      <c r="C193" s="28" t="str">
        <f>IF($A193="","",INDEX('Calculator Cost per Bucata'!$D:$D,ROW()+4))</f>
        <v/>
      </c>
      <c r="D193" s="33" t="str">
        <f>IF(INDEX('Calculator Cost per Bucata'!$Y:$Y,ROW()+4)=1,INDEX('Calculator Cost per Bucata'!$P:$P,ROW()+4),"")</f>
        <v/>
      </c>
      <c r="E193" s="33" t="str">
        <f>IF(INDEX('Calculator Cost per Bucata'!$Y:$Y,ROW()+4)=1,INDEX('Calculator Cost per Bucata'!$S:$S,ROW()+4),"")</f>
        <v/>
      </c>
      <c r="F193" s="33" t="str">
        <f>IF($A193="","",IF(N(INDEX('PI Furnizor'!$L:$L,ROW()+1))&gt;0,INDEX('PI Furnizor'!$L:$L,ROW()+1),""))</f>
        <v/>
      </c>
      <c r="G193" s="33" t="str">
        <f>IF($A193="","",IF(Comenzi!$D$6="Da",$D193,$E193))</f>
        <v/>
      </c>
      <c r="H193" s="33" t="str">
        <f>IF(OR($A193="",$F193=""),"",IF(Comenzi!$D$6="Da",IFERROR($F193/(1+INDEX('Calculator Cost per Bucata'!$AC:$AC,ROW()+4)),""),$F193))</f>
        <v/>
      </c>
      <c r="I193" s="46" t="str">
        <f t="shared" si="6"/>
        <v/>
      </c>
      <c r="J193" s="47" t="str">
        <f t="shared" si="7"/>
        <v/>
      </c>
      <c r="K193" s="48" t="str">
        <f t="shared" si="8"/>
        <v/>
      </c>
    </row>
    <row r="194" spans="1:11" x14ac:dyDescent="0.3">
      <c r="A194" s="28" t="str">
        <f>IF(INDEX('Calculator Cost per Bucata'!$A:$A,ROW()+4)="","",INDEX('Calculator Cost per Bucata'!$A:$A,ROW()+4))</f>
        <v/>
      </c>
      <c r="B194" s="28" t="str">
        <f>IF($A194="","",INDEX('Calculator Cost per Bucata'!$C:$C,ROW()+4))</f>
        <v/>
      </c>
      <c r="C194" s="28" t="str">
        <f>IF($A194="","",INDEX('Calculator Cost per Bucata'!$D:$D,ROW()+4))</f>
        <v/>
      </c>
      <c r="D194" s="33" t="str">
        <f>IF(INDEX('Calculator Cost per Bucata'!$Y:$Y,ROW()+4)=1,INDEX('Calculator Cost per Bucata'!$P:$P,ROW()+4),"")</f>
        <v/>
      </c>
      <c r="E194" s="33" t="str">
        <f>IF(INDEX('Calculator Cost per Bucata'!$Y:$Y,ROW()+4)=1,INDEX('Calculator Cost per Bucata'!$S:$S,ROW()+4),"")</f>
        <v/>
      </c>
      <c r="F194" s="33" t="str">
        <f>IF($A194="","",IF(N(INDEX('PI Furnizor'!$L:$L,ROW()+1))&gt;0,INDEX('PI Furnizor'!$L:$L,ROW()+1),""))</f>
        <v/>
      </c>
      <c r="G194" s="33" t="str">
        <f>IF($A194="","",IF(Comenzi!$D$6="Da",$D194,$E194))</f>
        <v/>
      </c>
      <c r="H194" s="33" t="str">
        <f>IF(OR($A194="",$F194=""),"",IF(Comenzi!$D$6="Da",IFERROR($F194/(1+INDEX('Calculator Cost per Bucata'!$AC:$AC,ROW()+4)),""),$F194))</f>
        <v/>
      </c>
      <c r="I194" s="46" t="str">
        <f t="shared" si="6"/>
        <v/>
      </c>
      <c r="J194" s="47" t="str">
        <f t="shared" si="7"/>
        <v/>
      </c>
      <c r="K194" s="48" t="str">
        <f t="shared" si="8"/>
        <v/>
      </c>
    </row>
    <row r="195" spans="1:11" x14ac:dyDescent="0.3">
      <c r="A195" s="28" t="str">
        <f>IF(INDEX('Calculator Cost per Bucata'!$A:$A,ROW()+4)="","",INDEX('Calculator Cost per Bucata'!$A:$A,ROW()+4))</f>
        <v/>
      </c>
      <c r="B195" s="28" t="str">
        <f>IF($A195="","",INDEX('Calculator Cost per Bucata'!$C:$C,ROW()+4))</f>
        <v/>
      </c>
      <c r="C195" s="28" t="str">
        <f>IF($A195="","",INDEX('Calculator Cost per Bucata'!$D:$D,ROW()+4))</f>
        <v/>
      </c>
      <c r="D195" s="33" t="str">
        <f>IF(INDEX('Calculator Cost per Bucata'!$Y:$Y,ROW()+4)=1,INDEX('Calculator Cost per Bucata'!$P:$P,ROW()+4),"")</f>
        <v/>
      </c>
      <c r="E195" s="33" t="str">
        <f>IF(INDEX('Calculator Cost per Bucata'!$Y:$Y,ROW()+4)=1,INDEX('Calculator Cost per Bucata'!$S:$S,ROW()+4),"")</f>
        <v/>
      </c>
      <c r="F195" s="33" t="str">
        <f>IF($A195="","",IF(N(INDEX('PI Furnizor'!$L:$L,ROW()+1))&gt;0,INDEX('PI Furnizor'!$L:$L,ROW()+1),""))</f>
        <v/>
      </c>
      <c r="G195" s="33" t="str">
        <f>IF($A195="","",IF(Comenzi!$D$6="Da",$D195,$E195))</f>
        <v/>
      </c>
      <c r="H195" s="33" t="str">
        <f>IF(OR($A195="",$F195=""),"",IF(Comenzi!$D$6="Da",IFERROR($F195/(1+INDEX('Calculator Cost per Bucata'!$AC:$AC,ROW()+4)),""),$F195))</f>
        <v/>
      </c>
      <c r="I195" s="46" t="str">
        <f t="shared" si="6"/>
        <v/>
      </c>
      <c r="J195" s="47" t="str">
        <f t="shared" si="7"/>
        <v/>
      </c>
      <c r="K195" s="48" t="str">
        <f t="shared" si="8"/>
        <v/>
      </c>
    </row>
    <row r="196" spans="1:11" x14ac:dyDescent="0.3">
      <c r="A196" s="28" t="str">
        <f>IF(INDEX('Calculator Cost per Bucata'!$A:$A,ROW()+4)="","",INDEX('Calculator Cost per Bucata'!$A:$A,ROW()+4))</f>
        <v/>
      </c>
      <c r="B196" s="28" t="str">
        <f>IF($A196="","",INDEX('Calculator Cost per Bucata'!$C:$C,ROW()+4))</f>
        <v/>
      </c>
      <c r="C196" s="28" t="str">
        <f>IF($A196="","",INDEX('Calculator Cost per Bucata'!$D:$D,ROW()+4))</f>
        <v/>
      </c>
      <c r="D196" s="33" t="str">
        <f>IF(INDEX('Calculator Cost per Bucata'!$Y:$Y,ROW()+4)=1,INDEX('Calculator Cost per Bucata'!$P:$P,ROW()+4),"")</f>
        <v/>
      </c>
      <c r="E196" s="33" t="str">
        <f>IF(INDEX('Calculator Cost per Bucata'!$Y:$Y,ROW()+4)=1,INDEX('Calculator Cost per Bucata'!$S:$S,ROW()+4),"")</f>
        <v/>
      </c>
      <c r="F196" s="33" t="str">
        <f>IF($A196="","",IF(N(INDEX('PI Furnizor'!$L:$L,ROW()+1))&gt;0,INDEX('PI Furnizor'!$L:$L,ROW()+1),""))</f>
        <v/>
      </c>
      <c r="G196" s="33" t="str">
        <f>IF($A196="","",IF(Comenzi!$D$6="Da",$D196,$E196))</f>
        <v/>
      </c>
      <c r="H196" s="33" t="str">
        <f>IF(OR($A196="",$F196=""),"",IF(Comenzi!$D$6="Da",IFERROR($F196/(1+INDEX('Calculator Cost per Bucata'!$AC:$AC,ROW()+4)),""),$F196))</f>
        <v/>
      </c>
      <c r="I196" s="46" t="str">
        <f t="shared" si="6"/>
        <v/>
      </c>
      <c r="J196" s="47" t="str">
        <f t="shared" si="7"/>
        <v/>
      </c>
      <c r="K196" s="48" t="str">
        <f t="shared" si="8"/>
        <v/>
      </c>
    </row>
    <row r="197" spans="1:11" x14ac:dyDescent="0.3">
      <c r="A197" s="28" t="str">
        <f>IF(INDEX('Calculator Cost per Bucata'!$A:$A,ROW()+4)="","",INDEX('Calculator Cost per Bucata'!$A:$A,ROW()+4))</f>
        <v/>
      </c>
      <c r="B197" s="28" t="str">
        <f>IF($A197="","",INDEX('Calculator Cost per Bucata'!$C:$C,ROW()+4))</f>
        <v/>
      </c>
      <c r="C197" s="28" t="str">
        <f>IF($A197="","",INDEX('Calculator Cost per Bucata'!$D:$D,ROW()+4))</f>
        <v/>
      </c>
      <c r="D197" s="33" t="str">
        <f>IF(INDEX('Calculator Cost per Bucata'!$Y:$Y,ROW()+4)=1,INDEX('Calculator Cost per Bucata'!$P:$P,ROW()+4),"")</f>
        <v/>
      </c>
      <c r="E197" s="33" t="str">
        <f>IF(INDEX('Calculator Cost per Bucata'!$Y:$Y,ROW()+4)=1,INDEX('Calculator Cost per Bucata'!$S:$S,ROW()+4),"")</f>
        <v/>
      </c>
      <c r="F197" s="33" t="str">
        <f>IF($A197="","",IF(N(INDEX('PI Furnizor'!$L:$L,ROW()+1))&gt;0,INDEX('PI Furnizor'!$L:$L,ROW()+1),""))</f>
        <v/>
      </c>
      <c r="G197" s="33" t="str">
        <f>IF($A197="","",IF(Comenzi!$D$6="Da",$D197,$E197))</f>
        <v/>
      </c>
      <c r="H197" s="33" t="str">
        <f>IF(OR($A197="",$F197=""),"",IF(Comenzi!$D$6="Da",IFERROR($F197/(1+INDEX('Calculator Cost per Bucata'!$AC:$AC,ROW()+4)),""),$F197))</f>
        <v/>
      </c>
      <c r="I197" s="46" t="str">
        <f t="shared" si="6"/>
        <v/>
      </c>
      <c r="J197" s="47" t="str">
        <f t="shared" si="7"/>
        <v/>
      </c>
      <c r="K197" s="48" t="str">
        <f t="shared" si="8"/>
        <v/>
      </c>
    </row>
    <row r="198" spans="1:11" x14ac:dyDescent="0.3">
      <c r="A198" s="28" t="str">
        <f>IF(INDEX('Calculator Cost per Bucata'!$A:$A,ROW()+4)="","",INDEX('Calculator Cost per Bucata'!$A:$A,ROW()+4))</f>
        <v/>
      </c>
      <c r="B198" s="28" t="str">
        <f>IF($A198="","",INDEX('Calculator Cost per Bucata'!$C:$C,ROW()+4))</f>
        <v/>
      </c>
      <c r="C198" s="28" t="str">
        <f>IF($A198="","",INDEX('Calculator Cost per Bucata'!$D:$D,ROW()+4))</f>
        <v/>
      </c>
      <c r="D198" s="33" t="str">
        <f>IF(INDEX('Calculator Cost per Bucata'!$Y:$Y,ROW()+4)=1,INDEX('Calculator Cost per Bucata'!$P:$P,ROW()+4),"")</f>
        <v/>
      </c>
      <c r="E198" s="33" t="str">
        <f>IF(INDEX('Calculator Cost per Bucata'!$Y:$Y,ROW()+4)=1,INDEX('Calculator Cost per Bucata'!$S:$S,ROW()+4),"")</f>
        <v/>
      </c>
      <c r="F198" s="33" t="str">
        <f>IF($A198="","",IF(N(INDEX('PI Furnizor'!$L:$L,ROW()+1))&gt;0,INDEX('PI Furnizor'!$L:$L,ROW()+1),""))</f>
        <v/>
      </c>
      <c r="G198" s="33" t="str">
        <f>IF($A198="","",IF(Comenzi!$D$6="Da",$D198,$E198))</f>
        <v/>
      </c>
      <c r="H198" s="33" t="str">
        <f>IF(OR($A198="",$F198=""),"",IF(Comenzi!$D$6="Da",IFERROR($F198/(1+INDEX('Calculator Cost per Bucata'!$AC:$AC,ROW()+4)),""),$F198))</f>
        <v/>
      </c>
      <c r="I198" s="46" t="str">
        <f t="shared" ref="I198:I261" si="9">IF(OR($G198="",$H198=""),"",$H198-$G198)</f>
        <v/>
      </c>
      <c r="J198" s="47" t="str">
        <f t="shared" ref="J198:J261" si="10">IF(OR($G198="",$H198=""),"",($H198-$G198)/$H198)</f>
        <v/>
      </c>
      <c r="K198" s="48" t="str">
        <f t="shared" ref="K198:K261" si="11">IF($A198="","",IF($G198="","Date incomplete - vezi Calculator",IF($H198="","Introdu pretul RO (PI Furnizor, col. L)",IF($H198&gt;$G198*1.15,"Import avantajos - marja buna",IF($H198&gt;$G198,"Import usor avantajos - marja mica","Piata RO mai ieftina - verifica")))))</f>
        <v/>
      </c>
    </row>
    <row r="199" spans="1:11" x14ac:dyDescent="0.3">
      <c r="A199" s="28" t="str">
        <f>IF(INDEX('Calculator Cost per Bucata'!$A:$A,ROW()+4)="","",INDEX('Calculator Cost per Bucata'!$A:$A,ROW()+4))</f>
        <v/>
      </c>
      <c r="B199" s="28" t="str">
        <f>IF($A199="","",INDEX('Calculator Cost per Bucata'!$C:$C,ROW()+4))</f>
        <v/>
      </c>
      <c r="C199" s="28" t="str">
        <f>IF($A199="","",INDEX('Calculator Cost per Bucata'!$D:$D,ROW()+4))</f>
        <v/>
      </c>
      <c r="D199" s="33" t="str">
        <f>IF(INDEX('Calculator Cost per Bucata'!$Y:$Y,ROW()+4)=1,INDEX('Calculator Cost per Bucata'!$P:$P,ROW()+4),"")</f>
        <v/>
      </c>
      <c r="E199" s="33" t="str">
        <f>IF(INDEX('Calculator Cost per Bucata'!$Y:$Y,ROW()+4)=1,INDEX('Calculator Cost per Bucata'!$S:$S,ROW()+4),"")</f>
        <v/>
      </c>
      <c r="F199" s="33" t="str">
        <f>IF($A199="","",IF(N(INDEX('PI Furnizor'!$L:$L,ROW()+1))&gt;0,INDEX('PI Furnizor'!$L:$L,ROW()+1),""))</f>
        <v/>
      </c>
      <c r="G199" s="33" t="str">
        <f>IF($A199="","",IF(Comenzi!$D$6="Da",$D199,$E199))</f>
        <v/>
      </c>
      <c r="H199" s="33" t="str">
        <f>IF(OR($A199="",$F199=""),"",IF(Comenzi!$D$6="Da",IFERROR($F199/(1+INDEX('Calculator Cost per Bucata'!$AC:$AC,ROW()+4)),""),$F199))</f>
        <v/>
      </c>
      <c r="I199" s="46" t="str">
        <f t="shared" si="9"/>
        <v/>
      </c>
      <c r="J199" s="47" t="str">
        <f t="shared" si="10"/>
        <v/>
      </c>
      <c r="K199" s="48" t="str">
        <f t="shared" si="11"/>
        <v/>
      </c>
    </row>
    <row r="200" spans="1:11" x14ac:dyDescent="0.3">
      <c r="A200" s="28" t="str">
        <f>IF(INDEX('Calculator Cost per Bucata'!$A:$A,ROW()+4)="","",INDEX('Calculator Cost per Bucata'!$A:$A,ROW()+4))</f>
        <v/>
      </c>
      <c r="B200" s="28" t="str">
        <f>IF($A200="","",INDEX('Calculator Cost per Bucata'!$C:$C,ROW()+4))</f>
        <v/>
      </c>
      <c r="C200" s="28" t="str">
        <f>IF($A200="","",INDEX('Calculator Cost per Bucata'!$D:$D,ROW()+4))</f>
        <v/>
      </c>
      <c r="D200" s="33" t="str">
        <f>IF(INDEX('Calculator Cost per Bucata'!$Y:$Y,ROW()+4)=1,INDEX('Calculator Cost per Bucata'!$P:$P,ROW()+4),"")</f>
        <v/>
      </c>
      <c r="E200" s="33" t="str">
        <f>IF(INDEX('Calculator Cost per Bucata'!$Y:$Y,ROW()+4)=1,INDEX('Calculator Cost per Bucata'!$S:$S,ROW()+4),"")</f>
        <v/>
      </c>
      <c r="F200" s="33" t="str">
        <f>IF($A200="","",IF(N(INDEX('PI Furnizor'!$L:$L,ROW()+1))&gt;0,INDEX('PI Furnizor'!$L:$L,ROW()+1),""))</f>
        <v/>
      </c>
      <c r="G200" s="33" t="str">
        <f>IF($A200="","",IF(Comenzi!$D$6="Da",$D200,$E200))</f>
        <v/>
      </c>
      <c r="H200" s="33" t="str">
        <f>IF(OR($A200="",$F200=""),"",IF(Comenzi!$D$6="Da",IFERROR($F200/(1+INDEX('Calculator Cost per Bucata'!$AC:$AC,ROW()+4)),""),$F200))</f>
        <v/>
      </c>
      <c r="I200" s="46" t="str">
        <f t="shared" si="9"/>
        <v/>
      </c>
      <c r="J200" s="47" t="str">
        <f t="shared" si="10"/>
        <v/>
      </c>
      <c r="K200" s="48" t="str">
        <f t="shared" si="11"/>
        <v/>
      </c>
    </row>
    <row r="201" spans="1:11" x14ac:dyDescent="0.3">
      <c r="A201" s="28" t="str">
        <f>IF(INDEX('Calculator Cost per Bucata'!$A:$A,ROW()+4)="","",INDEX('Calculator Cost per Bucata'!$A:$A,ROW()+4))</f>
        <v/>
      </c>
      <c r="B201" s="28" t="str">
        <f>IF($A201="","",INDEX('Calculator Cost per Bucata'!$C:$C,ROW()+4))</f>
        <v/>
      </c>
      <c r="C201" s="28" t="str">
        <f>IF($A201="","",INDEX('Calculator Cost per Bucata'!$D:$D,ROW()+4))</f>
        <v/>
      </c>
      <c r="D201" s="33" t="str">
        <f>IF(INDEX('Calculator Cost per Bucata'!$Y:$Y,ROW()+4)=1,INDEX('Calculator Cost per Bucata'!$P:$P,ROW()+4),"")</f>
        <v/>
      </c>
      <c r="E201" s="33" t="str">
        <f>IF(INDEX('Calculator Cost per Bucata'!$Y:$Y,ROW()+4)=1,INDEX('Calculator Cost per Bucata'!$S:$S,ROW()+4),"")</f>
        <v/>
      </c>
      <c r="F201" s="33" t="str">
        <f>IF($A201="","",IF(N(INDEX('PI Furnizor'!$L:$L,ROW()+1))&gt;0,INDEX('PI Furnizor'!$L:$L,ROW()+1),""))</f>
        <v/>
      </c>
      <c r="G201" s="33" t="str">
        <f>IF($A201="","",IF(Comenzi!$D$6="Da",$D201,$E201))</f>
        <v/>
      </c>
      <c r="H201" s="33" t="str">
        <f>IF(OR($A201="",$F201=""),"",IF(Comenzi!$D$6="Da",IFERROR($F201/(1+INDEX('Calculator Cost per Bucata'!$AC:$AC,ROW()+4)),""),$F201))</f>
        <v/>
      </c>
      <c r="I201" s="46" t="str">
        <f t="shared" si="9"/>
        <v/>
      </c>
      <c r="J201" s="47" t="str">
        <f t="shared" si="10"/>
        <v/>
      </c>
      <c r="K201" s="48" t="str">
        <f t="shared" si="11"/>
        <v/>
      </c>
    </row>
    <row r="202" spans="1:11" x14ac:dyDescent="0.3">
      <c r="A202" s="28" t="str">
        <f>IF(INDEX('Calculator Cost per Bucata'!$A:$A,ROW()+4)="","",INDEX('Calculator Cost per Bucata'!$A:$A,ROW()+4))</f>
        <v/>
      </c>
      <c r="B202" s="28" t="str">
        <f>IF($A202="","",INDEX('Calculator Cost per Bucata'!$C:$C,ROW()+4))</f>
        <v/>
      </c>
      <c r="C202" s="28" t="str">
        <f>IF($A202="","",INDEX('Calculator Cost per Bucata'!$D:$D,ROW()+4))</f>
        <v/>
      </c>
      <c r="D202" s="33" t="str">
        <f>IF(INDEX('Calculator Cost per Bucata'!$Y:$Y,ROW()+4)=1,INDEX('Calculator Cost per Bucata'!$P:$P,ROW()+4),"")</f>
        <v/>
      </c>
      <c r="E202" s="33" t="str">
        <f>IF(INDEX('Calculator Cost per Bucata'!$Y:$Y,ROW()+4)=1,INDEX('Calculator Cost per Bucata'!$S:$S,ROW()+4),"")</f>
        <v/>
      </c>
      <c r="F202" s="33" t="str">
        <f>IF($A202="","",IF(N(INDEX('PI Furnizor'!$L:$L,ROW()+1))&gt;0,INDEX('PI Furnizor'!$L:$L,ROW()+1),""))</f>
        <v/>
      </c>
      <c r="G202" s="33" t="str">
        <f>IF($A202="","",IF(Comenzi!$D$6="Da",$D202,$E202))</f>
        <v/>
      </c>
      <c r="H202" s="33" t="str">
        <f>IF(OR($A202="",$F202=""),"",IF(Comenzi!$D$6="Da",IFERROR($F202/(1+INDEX('Calculator Cost per Bucata'!$AC:$AC,ROW()+4)),""),$F202))</f>
        <v/>
      </c>
      <c r="I202" s="46" t="str">
        <f t="shared" si="9"/>
        <v/>
      </c>
      <c r="J202" s="47" t="str">
        <f t="shared" si="10"/>
        <v/>
      </c>
      <c r="K202" s="48" t="str">
        <f t="shared" si="11"/>
        <v/>
      </c>
    </row>
    <row r="203" spans="1:11" x14ac:dyDescent="0.3">
      <c r="A203" s="28" t="str">
        <f>IF(INDEX('Calculator Cost per Bucata'!$A:$A,ROW()+4)="","",INDEX('Calculator Cost per Bucata'!$A:$A,ROW()+4))</f>
        <v/>
      </c>
      <c r="B203" s="28" t="str">
        <f>IF($A203="","",INDEX('Calculator Cost per Bucata'!$C:$C,ROW()+4))</f>
        <v/>
      </c>
      <c r="C203" s="28" t="str">
        <f>IF($A203="","",INDEX('Calculator Cost per Bucata'!$D:$D,ROW()+4))</f>
        <v/>
      </c>
      <c r="D203" s="33" t="str">
        <f>IF(INDEX('Calculator Cost per Bucata'!$Y:$Y,ROW()+4)=1,INDEX('Calculator Cost per Bucata'!$P:$P,ROW()+4),"")</f>
        <v/>
      </c>
      <c r="E203" s="33" t="str">
        <f>IF(INDEX('Calculator Cost per Bucata'!$Y:$Y,ROW()+4)=1,INDEX('Calculator Cost per Bucata'!$S:$S,ROW()+4),"")</f>
        <v/>
      </c>
      <c r="F203" s="33" t="str">
        <f>IF($A203="","",IF(N(INDEX('PI Furnizor'!$L:$L,ROW()+1))&gt;0,INDEX('PI Furnizor'!$L:$L,ROW()+1),""))</f>
        <v/>
      </c>
      <c r="G203" s="33" t="str">
        <f>IF($A203="","",IF(Comenzi!$D$6="Da",$D203,$E203))</f>
        <v/>
      </c>
      <c r="H203" s="33" t="str">
        <f>IF(OR($A203="",$F203=""),"",IF(Comenzi!$D$6="Da",IFERROR($F203/(1+INDEX('Calculator Cost per Bucata'!$AC:$AC,ROW()+4)),""),$F203))</f>
        <v/>
      </c>
      <c r="I203" s="46" t="str">
        <f t="shared" si="9"/>
        <v/>
      </c>
      <c r="J203" s="47" t="str">
        <f t="shared" si="10"/>
        <v/>
      </c>
      <c r="K203" s="48" t="str">
        <f t="shared" si="11"/>
        <v/>
      </c>
    </row>
    <row r="204" spans="1:11" x14ac:dyDescent="0.3">
      <c r="A204" s="28" t="str">
        <f>IF(INDEX('Calculator Cost per Bucata'!$A:$A,ROW()+4)="","",INDEX('Calculator Cost per Bucata'!$A:$A,ROW()+4))</f>
        <v/>
      </c>
      <c r="B204" s="28" t="str">
        <f>IF($A204="","",INDEX('Calculator Cost per Bucata'!$C:$C,ROW()+4))</f>
        <v/>
      </c>
      <c r="C204" s="28" t="str">
        <f>IF($A204="","",INDEX('Calculator Cost per Bucata'!$D:$D,ROW()+4))</f>
        <v/>
      </c>
      <c r="D204" s="33" t="str">
        <f>IF(INDEX('Calculator Cost per Bucata'!$Y:$Y,ROW()+4)=1,INDEX('Calculator Cost per Bucata'!$P:$P,ROW()+4),"")</f>
        <v/>
      </c>
      <c r="E204" s="33" t="str">
        <f>IF(INDEX('Calculator Cost per Bucata'!$Y:$Y,ROW()+4)=1,INDEX('Calculator Cost per Bucata'!$S:$S,ROW()+4),"")</f>
        <v/>
      </c>
      <c r="F204" s="33" t="str">
        <f>IF($A204="","",IF(N(INDEX('PI Furnizor'!$L:$L,ROW()+1))&gt;0,INDEX('PI Furnizor'!$L:$L,ROW()+1),""))</f>
        <v/>
      </c>
      <c r="G204" s="33" t="str">
        <f>IF($A204="","",IF(Comenzi!$D$6="Da",$D204,$E204))</f>
        <v/>
      </c>
      <c r="H204" s="33" t="str">
        <f>IF(OR($A204="",$F204=""),"",IF(Comenzi!$D$6="Da",IFERROR($F204/(1+INDEX('Calculator Cost per Bucata'!$AC:$AC,ROW()+4)),""),$F204))</f>
        <v/>
      </c>
      <c r="I204" s="46" t="str">
        <f t="shared" si="9"/>
        <v/>
      </c>
      <c r="J204" s="47" t="str">
        <f t="shared" si="10"/>
        <v/>
      </c>
      <c r="K204" s="48" t="str">
        <f t="shared" si="11"/>
        <v/>
      </c>
    </row>
    <row r="205" spans="1:11" x14ac:dyDescent="0.3">
      <c r="A205" s="28" t="str">
        <f>IF(INDEX('Calculator Cost per Bucata'!$A:$A,ROW()+4)="","",INDEX('Calculator Cost per Bucata'!$A:$A,ROW()+4))</f>
        <v/>
      </c>
      <c r="B205" s="28" t="str">
        <f>IF($A205="","",INDEX('Calculator Cost per Bucata'!$C:$C,ROW()+4))</f>
        <v/>
      </c>
      <c r="C205" s="28" t="str">
        <f>IF($A205="","",INDEX('Calculator Cost per Bucata'!$D:$D,ROW()+4))</f>
        <v/>
      </c>
      <c r="D205" s="33" t="str">
        <f>IF(INDEX('Calculator Cost per Bucata'!$Y:$Y,ROW()+4)=1,INDEX('Calculator Cost per Bucata'!$P:$P,ROW()+4),"")</f>
        <v/>
      </c>
      <c r="E205" s="33" t="str">
        <f>IF(INDEX('Calculator Cost per Bucata'!$Y:$Y,ROW()+4)=1,INDEX('Calculator Cost per Bucata'!$S:$S,ROW()+4),"")</f>
        <v/>
      </c>
      <c r="F205" s="33" t="str">
        <f>IF($A205="","",IF(N(INDEX('PI Furnizor'!$L:$L,ROW()+1))&gt;0,INDEX('PI Furnizor'!$L:$L,ROW()+1),""))</f>
        <v/>
      </c>
      <c r="G205" s="33" t="str">
        <f>IF($A205="","",IF(Comenzi!$D$6="Da",$D205,$E205))</f>
        <v/>
      </c>
      <c r="H205" s="33" t="str">
        <f>IF(OR($A205="",$F205=""),"",IF(Comenzi!$D$6="Da",IFERROR($F205/(1+INDEX('Calculator Cost per Bucata'!$AC:$AC,ROW()+4)),""),$F205))</f>
        <v/>
      </c>
      <c r="I205" s="46" t="str">
        <f t="shared" si="9"/>
        <v/>
      </c>
      <c r="J205" s="47" t="str">
        <f t="shared" si="10"/>
        <v/>
      </c>
      <c r="K205" s="48" t="str">
        <f t="shared" si="11"/>
        <v/>
      </c>
    </row>
    <row r="206" spans="1:11" x14ac:dyDescent="0.3">
      <c r="A206" s="28" t="str">
        <f>IF(INDEX('Calculator Cost per Bucata'!$A:$A,ROW()+4)="","",INDEX('Calculator Cost per Bucata'!$A:$A,ROW()+4))</f>
        <v/>
      </c>
      <c r="B206" s="28" t="str">
        <f>IF($A206="","",INDEX('Calculator Cost per Bucata'!$C:$C,ROW()+4))</f>
        <v/>
      </c>
      <c r="C206" s="28" t="str">
        <f>IF($A206="","",INDEX('Calculator Cost per Bucata'!$D:$D,ROW()+4))</f>
        <v/>
      </c>
      <c r="D206" s="33" t="str">
        <f>IF(INDEX('Calculator Cost per Bucata'!$Y:$Y,ROW()+4)=1,INDEX('Calculator Cost per Bucata'!$P:$P,ROW()+4),"")</f>
        <v/>
      </c>
      <c r="E206" s="33" t="str">
        <f>IF(INDEX('Calculator Cost per Bucata'!$Y:$Y,ROW()+4)=1,INDEX('Calculator Cost per Bucata'!$S:$S,ROW()+4),"")</f>
        <v/>
      </c>
      <c r="F206" s="33" t="str">
        <f>IF($A206="","",IF(N(INDEX('PI Furnizor'!$L:$L,ROW()+1))&gt;0,INDEX('PI Furnizor'!$L:$L,ROW()+1),""))</f>
        <v/>
      </c>
      <c r="G206" s="33" t="str">
        <f>IF($A206="","",IF(Comenzi!$D$6="Da",$D206,$E206))</f>
        <v/>
      </c>
      <c r="H206" s="33" t="str">
        <f>IF(OR($A206="",$F206=""),"",IF(Comenzi!$D$6="Da",IFERROR($F206/(1+INDEX('Calculator Cost per Bucata'!$AC:$AC,ROW()+4)),""),$F206))</f>
        <v/>
      </c>
      <c r="I206" s="46" t="str">
        <f t="shared" si="9"/>
        <v/>
      </c>
      <c r="J206" s="47" t="str">
        <f t="shared" si="10"/>
        <v/>
      </c>
      <c r="K206" s="48" t="str">
        <f t="shared" si="11"/>
        <v/>
      </c>
    </row>
    <row r="207" spans="1:11" x14ac:dyDescent="0.3">
      <c r="A207" s="28" t="str">
        <f>IF(INDEX('Calculator Cost per Bucata'!$A:$A,ROW()+4)="","",INDEX('Calculator Cost per Bucata'!$A:$A,ROW()+4))</f>
        <v/>
      </c>
      <c r="B207" s="28" t="str">
        <f>IF($A207="","",INDEX('Calculator Cost per Bucata'!$C:$C,ROW()+4))</f>
        <v/>
      </c>
      <c r="C207" s="28" t="str">
        <f>IF($A207="","",INDEX('Calculator Cost per Bucata'!$D:$D,ROW()+4))</f>
        <v/>
      </c>
      <c r="D207" s="33" t="str">
        <f>IF(INDEX('Calculator Cost per Bucata'!$Y:$Y,ROW()+4)=1,INDEX('Calculator Cost per Bucata'!$P:$P,ROW()+4),"")</f>
        <v/>
      </c>
      <c r="E207" s="33" t="str">
        <f>IF(INDEX('Calculator Cost per Bucata'!$Y:$Y,ROW()+4)=1,INDEX('Calculator Cost per Bucata'!$S:$S,ROW()+4),"")</f>
        <v/>
      </c>
      <c r="F207" s="33" t="str">
        <f>IF($A207="","",IF(N(INDEX('PI Furnizor'!$L:$L,ROW()+1))&gt;0,INDEX('PI Furnizor'!$L:$L,ROW()+1),""))</f>
        <v/>
      </c>
      <c r="G207" s="33" t="str">
        <f>IF($A207="","",IF(Comenzi!$D$6="Da",$D207,$E207))</f>
        <v/>
      </c>
      <c r="H207" s="33" t="str">
        <f>IF(OR($A207="",$F207=""),"",IF(Comenzi!$D$6="Da",IFERROR($F207/(1+INDEX('Calculator Cost per Bucata'!$AC:$AC,ROW()+4)),""),$F207))</f>
        <v/>
      </c>
      <c r="I207" s="46" t="str">
        <f t="shared" si="9"/>
        <v/>
      </c>
      <c r="J207" s="47" t="str">
        <f t="shared" si="10"/>
        <v/>
      </c>
      <c r="K207" s="48" t="str">
        <f t="shared" si="11"/>
        <v/>
      </c>
    </row>
    <row r="208" spans="1:11" x14ac:dyDescent="0.3">
      <c r="A208" s="28" t="str">
        <f>IF(INDEX('Calculator Cost per Bucata'!$A:$A,ROW()+4)="","",INDEX('Calculator Cost per Bucata'!$A:$A,ROW()+4))</f>
        <v/>
      </c>
      <c r="B208" s="28" t="str">
        <f>IF($A208="","",INDEX('Calculator Cost per Bucata'!$C:$C,ROW()+4))</f>
        <v/>
      </c>
      <c r="C208" s="28" t="str">
        <f>IF($A208="","",INDEX('Calculator Cost per Bucata'!$D:$D,ROW()+4))</f>
        <v/>
      </c>
      <c r="D208" s="33" t="str">
        <f>IF(INDEX('Calculator Cost per Bucata'!$Y:$Y,ROW()+4)=1,INDEX('Calculator Cost per Bucata'!$P:$P,ROW()+4),"")</f>
        <v/>
      </c>
      <c r="E208" s="33" t="str">
        <f>IF(INDEX('Calculator Cost per Bucata'!$Y:$Y,ROW()+4)=1,INDEX('Calculator Cost per Bucata'!$S:$S,ROW()+4),"")</f>
        <v/>
      </c>
      <c r="F208" s="33" t="str">
        <f>IF($A208="","",IF(N(INDEX('PI Furnizor'!$L:$L,ROW()+1))&gt;0,INDEX('PI Furnizor'!$L:$L,ROW()+1),""))</f>
        <v/>
      </c>
      <c r="G208" s="33" t="str">
        <f>IF($A208="","",IF(Comenzi!$D$6="Da",$D208,$E208))</f>
        <v/>
      </c>
      <c r="H208" s="33" t="str">
        <f>IF(OR($A208="",$F208=""),"",IF(Comenzi!$D$6="Da",IFERROR($F208/(1+INDEX('Calculator Cost per Bucata'!$AC:$AC,ROW()+4)),""),$F208))</f>
        <v/>
      </c>
      <c r="I208" s="46" t="str">
        <f t="shared" si="9"/>
        <v/>
      </c>
      <c r="J208" s="47" t="str">
        <f t="shared" si="10"/>
        <v/>
      </c>
      <c r="K208" s="48" t="str">
        <f t="shared" si="11"/>
        <v/>
      </c>
    </row>
    <row r="209" spans="1:11" x14ac:dyDescent="0.3">
      <c r="A209" s="28" t="str">
        <f>IF(INDEX('Calculator Cost per Bucata'!$A:$A,ROW()+4)="","",INDEX('Calculator Cost per Bucata'!$A:$A,ROW()+4))</f>
        <v/>
      </c>
      <c r="B209" s="28" t="str">
        <f>IF($A209="","",INDEX('Calculator Cost per Bucata'!$C:$C,ROW()+4))</f>
        <v/>
      </c>
      <c r="C209" s="28" t="str">
        <f>IF($A209="","",INDEX('Calculator Cost per Bucata'!$D:$D,ROW()+4))</f>
        <v/>
      </c>
      <c r="D209" s="33" t="str">
        <f>IF(INDEX('Calculator Cost per Bucata'!$Y:$Y,ROW()+4)=1,INDEX('Calculator Cost per Bucata'!$P:$P,ROW()+4),"")</f>
        <v/>
      </c>
      <c r="E209" s="33" t="str">
        <f>IF(INDEX('Calculator Cost per Bucata'!$Y:$Y,ROW()+4)=1,INDEX('Calculator Cost per Bucata'!$S:$S,ROW()+4),"")</f>
        <v/>
      </c>
      <c r="F209" s="33" t="str">
        <f>IF($A209="","",IF(N(INDEX('PI Furnizor'!$L:$L,ROW()+1))&gt;0,INDEX('PI Furnizor'!$L:$L,ROW()+1),""))</f>
        <v/>
      </c>
      <c r="G209" s="33" t="str">
        <f>IF($A209="","",IF(Comenzi!$D$6="Da",$D209,$E209))</f>
        <v/>
      </c>
      <c r="H209" s="33" t="str">
        <f>IF(OR($A209="",$F209=""),"",IF(Comenzi!$D$6="Da",IFERROR($F209/(1+INDEX('Calculator Cost per Bucata'!$AC:$AC,ROW()+4)),""),$F209))</f>
        <v/>
      </c>
      <c r="I209" s="46" t="str">
        <f t="shared" si="9"/>
        <v/>
      </c>
      <c r="J209" s="47" t="str">
        <f t="shared" si="10"/>
        <v/>
      </c>
      <c r="K209" s="48" t="str">
        <f t="shared" si="11"/>
        <v/>
      </c>
    </row>
    <row r="210" spans="1:11" x14ac:dyDescent="0.3">
      <c r="A210" s="28" t="str">
        <f>IF(INDEX('Calculator Cost per Bucata'!$A:$A,ROW()+4)="","",INDEX('Calculator Cost per Bucata'!$A:$A,ROW()+4))</f>
        <v/>
      </c>
      <c r="B210" s="28" t="str">
        <f>IF($A210="","",INDEX('Calculator Cost per Bucata'!$C:$C,ROW()+4))</f>
        <v/>
      </c>
      <c r="C210" s="28" t="str">
        <f>IF($A210="","",INDEX('Calculator Cost per Bucata'!$D:$D,ROW()+4))</f>
        <v/>
      </c>
      <c r="D210" s="33" t="str">
        <f>IF(INDEX('Calculator Cost per Bucata'!$Y:$Y,ROW()+4)=1,INDEX('Calculator Cost per Bucata'!$P:$P,ROW()+4),"")</f>
        <v/>
      </c>
      <c r="E210" s="33" t="str">
        <f>IF(INDEX('Calculator Cost per Bucata'!$Y:$Y,ROW()+4)=1,INDEX('Calculator Cost per Bucata'!$S:$S,ROW()+4),"")</f>
        <v/>
      </c>
      <c r="F210" s="33" t="str">
        <f>IF($A210="","",IF(N(INDEX('PI Furnizor'!$L:$L,ROW()+1))&gt;0,INDEX('PI Furnizor'!$L:$L,ROW()+1),""))</f>
        <v/>
      </c>
      <c r="G210" s="33" t="str">
        <f>IF($A210="","",IF(Comenzi!$D$6="Da",$D210,$E210))</f>
        <v/>
      </c>
      <c r="H210" s="33" t="str">
        <f>IF(OR($A210="",$F210=""),"",IF(Comenzi!$D$6="Da",IFERROR($F210/(1+INDEX('Calculator Cost per Bucata'!$AC:$AC,ROW()+4)),""),$F210))</f>
        <v/>
      </c>
      <c r="I210" s="46" t="str">
        <f t="shared" si="9"/>
        <v/>
      </c>
      <c r="J210" s="47" t="str">
        <f t="shared" si="10"/>
        <v/>
      </c>
      <c r="K210" s="48" t="str">
        <f t="shared" si="11"/>
        <v/>
      </c>
    </row>
    <row r="211" spans="1:11" x14ac:dyDescent="0.3">
      <c r="A211" s="28" t="str">
        <f>IF(INDEX('Calculator Cost per Bucata'!$A:$A,ROW()+4)="","",INDEX('Calculator Cost per Bucata'!$A:$A,ROW()+4))</f>
        <v/>
      </c>
      <c r="B211" s="28" t="str">
        <f>IF($A211="","",INDEX('Calculator Cost per Bucata'!$C:$C,ROW()+4))</f>
        <v/>
      </c>
      <c r="C211" s="28" t="str">
        <f>IF($A211="","",INDEX('Calculator Cost per Bucata'!$D:$D,ROW()+4))</f>
        <v/>
      </c>
      <c r="D211" s="33" t="str">
        <f>IF(INDEX('Calculator Cost per Bucata'!$Y:$Y,ROW()+4)=1,INDEX('Calculator Cost per Bucata'!$P:$P,ROW()+4),"")</f>
        <v/>
      </c>
      <c r="E211" s="33" t="str">
        <f>IF(INDEX('Calculator Cost per Bucata'!$Y:$Y,ROW()+4)=1,INDEX('Calculator Cost per Bucata'!$S:$S,ROW()+4),"")</f>
        <v/>
      </c>
      <c r="F211" s="33" t="str">
        <f>IF($A211="","",IF(N(INDEX('PI Furnizor'!$L:$L,ROW()+1))&gt;0,INDEX('PI Furnizor'!$L:$L,ROW()+1),""))</f>
        <v/>
      </c>
      <c r="G211" s="33" t="str">
        <f>IF($A211="","",IF(Comenzi!$D$6="Da",$D211,$E211))</f>
        <v/>
      </c>
      <c r="H211" s="33" t="str">
        <f>IF(OR($A211="",$F211=""),"",IF(Comenzi!$D$6="Da",IFERROR($F211/(1+INDEX('Calculator Cost per Bucata'!$AC:$AC,ROW()+4)),""),$F211))</f>
        <v/>
      </c>
      <c r="I211" s="46" t="str">
        <f t="shared" si="9"/>
        <v/>
      </c>
      <c r="J211" s="47" t="str">
        <f t="shared" si="10"/>
        <v/>
      </c>
      <c r="K211" s="48" t="str">
        <f t="shared" si="11"/>
        <v/>
      </c>
    </row>
    <row r="212" spans="1:11" x14ac:dyDescent="0.3">
      <c r="A212" s="28" t="str">
        <f>IF(INDEX('Calculator Cost per Bucata'!$A:$A,ROW()+4)="","",INDEX('Calculator Cost per Bucata'!$A:$A,ROW()+4))</f>
        <v/>
      </c>
      <c r="B212" s="28" t="str">
        <f>IF($A212="","",INDEX('Calculator Cost per Bucata'!$C:$C,ROW()+4))</f>
        <v/>
      </c>
      <c r="C212" s="28" t="str">
        <f>IF($A212="","",INDEX('Calculator Cost per Bucata'!$D:$D,ROW()+4))</f>
        <v/>
      </c>
      <c r="D212" s="33" t="str">
        <f>IF(INDEX('Calculator Cost per Bucata'!$Y:$Y,ROW()+4)=1,INDEX('Calculator Cost per Bucata'!$P:$P,ROW()+4),"")</f>
        <v/>
      </c>
      <c r="E212" s="33" t="str">
        <f>IF(INDEX('Calculator Cost per Bucata'!$Y:$Y,ROW()+4)=1,INDEX('Calculator Cost per Bucata'!$S:$S,ROW()+4),"")</f>
        <v/>
      </c>
      <c r="F212" s="33" t="str">
        <f>IF($A212="","",IF(N(INDEX('PI Furnizor'!$L:$L,ROW()+1))&gt;0,INDEX('PI Furnizor'!$L:$L,ROW()+1),""))</f>
        <v/>
      </c>
      <c r="G212" s="33" t="str">
        <f>IF($A212="","",IF(Comenzi!$D$6="Da",$D212,$E212))</f>
        <v/>
      </c>
      <c r="H212" s="33" t="str">
        <f>IF(OR($A212="",$F212=""),"",IF(Comenzi!$D$6="Da",IFERROR($F212/(1+INDEX('Calculator Cost per Bucata'!$AC:$AC,ROW()+4)),""),$F212))</f>
        <v/>
      </c>
      <c r="I212" s="46" t="str">
        <f t="shared" si="9"/>
        <v/>
      </c>
      <c r="J212" s="47" t="str">
        <f t="shared" si="10"/>
        <v/>
      </c>
      <c r="K212" s="48" t="str">
        <f t="shared" si="11"/>
        <v/>
      </c>
    </row>
    <row r="213" spans="1:11" x14ac:dyDescent="0.3">
      <c r="A213" s="28" t="str">
        <f>IF(INDEX('Calculator Cost per Bucata'!$A:$A,ROW()+4)="","",INDEX('Calculator Cost per Bucata'!$A:$A,ROW()+4))</f>
        <v/>
      </c>
      <c r="B213" s="28" t="str">
        <f>IF($A213="","",INDEX('Calculator Cost per Bucata'!$C:$C,ROW()+4))</f>
        <v/>
      </c>
      <c r="C213" s="28" t="str">
        <f>IF($A213="","",INDEX('Calculator Cost per Bucata'!$D:$D,ROW()+4))</f>
        <v/>
      </c>
      <c r="D213" s="33" t="str">
        <f>IF(INDEX('Calculator Cost per Bucata'!$Y:$Y,ROW()+4)=1,INDEX('Calculator Cost per Bucata'!$P:$P,ROW()+4),"")</f>
        <v/>
      </c>
      <c r="E213" s="33" t="str">
        <f>IF(INDEX('Calculator Cost per Bucata'!$Y:$Y,ROW()+4)=1,INDEX('Calculator Cost per Bucata'!$S:$S,ROW()+4),"")</f>
        <v/>
      </c>
      <c r="F213" s="33" t="str">
        <f>IF($A213="","",IF(N(INDEX('PI Furnizor'!$L:$L,ROW()+1))&gt;0,INDEX('PI Furnizor'!$L:$L,ROW()+1),""))</f>
        <v/>
      </c>
      <c r="G213" s="33" t="str">
        <f>IF($A213="","",IF(Comenzi!$D$6="Da",$D213,$E213))</f>
        <v/>
      </c>
      <c r="H213" s="33" t="str">
        <f>IF(OR($A213="",$F213=""),"",IF(Comenzi!$D$6="Da",IFERROR($F213/(1+INDEX('Calculator Cost per Bucata'!$AC:$AC,ROW()+4)),""),$F213))</f>
        <v/>
      </c>
      <c r="I213" s="46" t="str">
        <f t="shared" si="9"/>
        <v/>
      </c>
      <c r="J213" s="47" t="str">
        <f t="shared" si="10"/>
        <v/>
      </c>
      <c r="K213" s="48" t="str">
        <f t="shared" si="11"/>
        <v/>
      </c>
    </row>
    <row r="214" spans="1:11" x14ac:dyDescent="0.3">
      <c r="A214" s="28" t="str">
        <f>IF(INDEX('Calculator Cost per Bucata'!$A:$A,ROW()+4)="","",INDEX('Calculator Cost per Bucata'!$A:$A,ROW()+4))</f>
        <v/>
      </c>
      <c r="B214" s="28" t="str">
        <f>IF($A214="","",INDEX('Calculator Cost per Bucata'!$C:$C,ROW()+4))</f>
        <v/>
      </c>
      <c r="C214" s="28" t="str">
        <f>IF($A214="","",INDEX('Calculator Cost per Bucata'!$D:$D,ROW()+4))</f>
        <v/>
      </c>
      <c r="D214" s="33" t="str">
        <f>IF(INDEX('Calculator Cost per Bucata'!$Y:$Y,ROW()+4)=1,INDEX('Calculator Cost per Bucata'!$P:$P,ROW()+4),"")</f>
        <v/>
      </c>
      <c r="E214" s="33" t="str">
        <f>IF(INDEX('Calculator Cost per Bucata'!$Y:$Y,ROW()+4)=1,INDEX('Calculator Cost per Bucata'!$S:$S,ROW()+4),"")</f>
        <v/>
      </c>
      <c r="F214" s="33" t="str">
        <f>IF($A214="","",IF(N(INDEX('PI Furnizor'!$L:$L,ROW()+1))&gt;0,INDEX('PI Furnizor'!$L:$L,ROW()+1),""))</f>
        <v/>
      </c>
      <c r="G214" s="33" t="str">
        <f>IF($A214="","",IF(Comenzi!$D$6="Da",$D214,$E214))</f>
        <v/>
      </c>
      <c r="H214" s="33" t="str">
        <f>IF(OR($A214="",$F214=""),"",IF(Comenzi!$D$6="Da",IFERROR($F214/(1+INDEX('Calculator Cost per Bucata'!$AC:$AC,ROW()+4)),""),$F214))</f>
        <v/>
      </c>
      <c r="I214" s="46" t="str">
        <f t="shared" si="9"/>
        <v/>
      </c>
      <c r="J214" s="47" t="str">
        <f t="shared" si="10"/>
        <v/>
      </c>
      <c r="K214" s="48" t="str">
        <f t="shared" si="11"/>
        <v/>
      </c>
    </row>
    <row r="215" spans="1:11" x14ac:dyDescent="0.3">
      <c r="A215" s="28" t="str">
        <f>IF(INDEX('Calculator Cost per Bucata'!$A:$A,ROW()+4)="","",INDEX('Calculator Cost per Bucata'!$A:$A,ROW()+4))</f>
        <v/>
      </c>
      <c r="B215" s="28" t="str">
        <f>IF($A215="","",INDEX('Calculator Cost per Bucata'!$C:$C,ROW()+4))</f>
        <v/>
      </c>
      <c r="C215" s="28" t="str">
        <f>IF($A215="","",INDEX('Calculator Cost per Bucata'!$D:$D,ROW()+4))</f>
        <v/>
      </c>
      <c r="D215" s="33" t="str">
        <f>IF(INDEX('Calculator Cost per Bucata'!$Y:$Y,ROW()+4)=1,INDEX('Calculator Cost per Bucata'!$P:$P,ROW()+4),"")</f>
        <v/>
      </c>
      <c r="E215" s="33" t="str">
        <f>IF(INDEX('Calculator Cost per Bucata'!$Y:$Y,ROW()+4)=1,INDEX('Calculator Cost per Bucata'!$S:$S,ROW()+4),"")</f>
        <v/>
      </c>
      <c r="F215" s="33" t="str">
        <f>IF($A215="","",IF(N(INDEX('PI Furnizor'!$L:$L,ROW()+1))&gt;0,INDEX('PI Furnizor'!$L:$L,ROW()+1),""))</f>
        <v/>
      </c>
      <c r="G215" s="33" t="str">
        <f>IF($A215="","",IF(Comenzi!$D$6="Da",$D215,$E215))</f>
        <v/>
      </c>
      <c r="H215" s="33" t="str">
        <f>IF(OR($A215="",$F215=""),"",IF(Comenzi!$D$6="Da",IFERROR($F215/(1+INDEX('Calculator Cost per Bucata'!$AC:$AC,ROW()+4)),""),$F215))</f>
        <v/>
      </c>
      <c r="I215" s="46" t="str">
        <f t="shared" si="9"/>
        <v/>
      </c>
      <c r="J215" s="47" t="str">
        <f t="shared" si="10"/>
        <v/>
      </c>
      <c r="K215" s="48" t="str">
        <f t="shared" si="11"/>
        <v/>
      </c>
    </row>
    <row r="216" spans="1:11" x14ac:dyDescent="0.3">
      <c r="A216" s="28" t="str">
        <f>IF(INDEX('Calculator Cost per Bucata'!$A:$A,ROW()+4)="","",INDEX('Calculator Cost per Bucata'!$A:$A,ROW()+4))</f>
        <v/>
      </c>
      <c r="B216" s="28" t="str">
        <f>IF($A216="","",INDEX('Calculator Cost per Bucata'!$C:$C,ROW()+4))</f>
        <v/>
      </c>
      <c r="C216" s="28" t="str">
        <f>IF($A216="","",INDEX('Calculator Cost per Bucata'!$D:$D,ROW()+4))</f>
        <v/>
      </c>
      <c r="D216" s="33" t="str">
        <f>IF(INDEX('Calculator Cost per Bucata'!$Y:$Y,ROW()+4)=1,INDEX('Calculator Cost per Bucata'!$P:$P,ROW()+4),"")</f>
        <v/>
      </c>
      <c r="E216" s="33" t="str">
        <f>IF(INDEX('Calculator Cost per Bucata'!$Y:$Y,ROW()+4)=1,INDEX('Calculator Cost per Bucata'!$S:$S,ROW()+4),"")</f>
        <v/>
      </c>
      <c r="F216" s="33" t="str">
        <f>IF($A216="","",IF(N(INDEX('PI Furnizor'!$L:$L,ROW()+1))&gt;0,INDEX('PI Furnizor'!$L:$L,ROW()+1),""))</f>
        <v/>
      </c>
      <c r="G216" s="33" t="str">
        <f>IF($A216="","",IF(Comenzi!$D$6="Da",$D216,$E216))</f>
        <v/>
      </c>
      <c r="H216" s="33" t="str">
        <f>IF(OR($A216="",$F216=""),"",IF(Comenzi!$D$6="Da",IFERROR($F216/(1+INDEX('Calculator Cost per Bucata'!$AC:$AC,ROW()+4)),""),$F216))</f>
        <v/>
      </c>
      <c r="I216" s="46" t="str">
        <f t="shared" si="9"/>
        <v/>
      </c>
      <c r="J216" s="47" t="str">
        <f t="shared" si="10"/>
        <v/>
      </c>
      <c r="K216" s="48" t="str">
        <f t="shared" si="11"/>
        <v/>
      </c>
    </row>
    <row r="217" spans="1:11" x14ac:dyDescent="0.3">
      <c r="A217" s="28" t="str">
        <f>IF(INDEX('Calculator Cost per Bucata'!$A:$A,ROW()+4)="","",INDEX('Calculator Cost per Bucata'!$A:$A,ROW()+4))</f>
        <v/>
      </c>
      <c r="B217" s="28" t="str">
        <f>IF($A217="","",INDEX('Calculator Cost per Bucata'!$C:$C,ROW()+4))</f>
        <v/>
      </c>
      <c r="C217" s="28" t="str">
        <f>IF($A217="","",INDEX('Calculator Cost per Bucata'!$D:$D,ROW()+4))</f>
        <v/>
      </c>
      <c r="D217" s="33" t="str">
        <f>IF(INDEX('Calculator Cost per Bucata'!$Y:$Y,ROW()+4)=1,INDEX('Calculator Cost per Bucata'!$P:$P,ROW()+4),"")</f>
        <v/>
      </c>
      <c r="E217" s="33" t="str">
        <f>IF(INDEX('Calculator Cost per Bucata'!$Y:$Y,ROW()+4)=1,INDEX('Calculator Cost per Bucata'!$S:$S,ROW()+4),"")</f>
        <v/>
      </c>
      <c r="F217" s="33" t="str">
        <f>IF($A217="","",IF(N(INDEX('PI Furnizor'!$L:$L,ROW()+1))&gt;0,INDEX('PI Furnizor'!$L:$L,ROW()+1),""))</f>
        <v/>
      </c>
      <c r="G217" s="33" t="str">
        <f>IF($A217="","",IF(Comenzi!$D$6="Da",$D217,$E217))</f>
        <v/>
      </c>
      <c r="H217" s="33" t="str">
        <f>IF(OR($A217="",$F217=""),"",IF(Comenzi!$D$6="Da",IFERROR($F217/(1+INDEX('Calculator Cost per Bucata'!$AC:$AC,ROW()+4)),""),$F217))</f>
        <v/>
      </c>
      <c r="I217" s="46" t="str">
        <f t="shared" si="9"/>
        <v/>
      </c>
      <c r="J217" s="47" t="str">
        <f t="shared" si="10"/>
        <v/>
      </c>
      <c r="K217" s="48" t="str">
        <f t="shared" si="11"/>
        <v/>
      </c>
    </row>
    <row r="218" spans="1:11" x14ac:dyDescent="0.3">
      <c r="A218" s="28" t="str">
        <f>IF(INDEX('Calculator Cost per Bucata'!$A:$A,ROW()+4)="","",INDEX('Calculator Cost per Bucata'!$A:$A,ROW()+4))</f>
        <v/>
      </c>
      <c r="B218" s="28" t="str">
        <f>IF($A218="","",INDEX('Calculator Cost per Bucata'!$C:$C,ROW()+4))</f>
        <v/>
      </c>
      <c r="C218" s="28" t="str">
        <f>IF($A218="","",INDEX('Calculator Cost per Bucata'!$D:$D,ROW()+4))</f>
        <v/>
      </c>
      <c r="D218" s="33" t="str">
        <f>IF(INDEX('Calculator Cost per Bucata'!$Y:$Y,ROW()+4)=1,INDEX('Calculator Cost per Bucata'!$P:$P,ROW()+4),"")</f>
        <v/>
      </c>
      <c r="E218" s="33" t="str">
        <f>IF(INDEX('Calculator Cost per Bucata'!$Y:$Y,ROW()+4)=1,INDEX('Calculator Cost per Bucata'!$S:$S,ROW()+4),"")</f>
        <v/>
      </c>
      <c r="F218" s="33" t="str">
        <f>IF($A218="","",IF(N(INDEX('PI Furnizor'!$L:$L,ROW()+1))&gt;0,INDEX('PI Furnizor'!$L:$L,ROW()+1),""))</f>
        <v/>
      </c>
      <c r="G218" s="33" t="str">
        <f>IF($A218="","",IF(Comenzi!$D$6="Da",$D218,$E218))</f>
        <v/>
      </c>
      <c r="H218" s="33" t="str">
        <f>IF(OR($A218="",$F218=""),"",IF(Comenzi!$D$6="Da",IFERROR($F218/(1+INDEX('Calculator Cost per Bucata'!$AC:$AC,ROW()+4)),""),$F218))</f>
        <v/>
      </c>
      <c r="I218" s="46" t="str">
        <f t="shared" si="9"/>
        <v/>
      </c>
      <c r="J218" s="47" t="str">
        <f t="shared" si="10"/>
        <v/>
      </c>
      <c r="K218" s="48" t="str">
        <f t="shared" si="11"/>
        <v/>
      </c>
    </row>
    <row r="219" spans="1:11" x14ac:dyDescent="0.3">
      <c r="A219" s="28" t="str">
        <f>IF(INDEX('Calculator Cost per Bucata'!$A:$A,ROW()+4)="","",INDEX('Calculator Cost per Bucata'!$A:$A,ROW()+4))</f>
        <v/>
      </c>
      <c r="B219" s="28" t="str">
        <f>IF($A219="","",INDEX('Calculator Cost per Bucata'!$C:$C,ROW()+4))</f>
        <v/>
      </c>
      <c r="C219" s="28" t="str">
        <f>IF($A219="","",INDEX('Calculator Cost per Bucata'!$D:$D,ROW()+4))</f>
        <v/>
      </c>
      <c r="D219" s="33" t="str">
        <f>IF(INDEX('Calculator Cost per Bucata'!$Y:$Y,ROW()+4)=1,INDEX('Calculator Cost per Bucata'!$P:$P,ROW()+4),"")</f>
        <v/>
      </c>
      <c r="E219" s="33" t="str">
        <f>IF(INDEX('Calculator Cost per Bucata'!$Y:$Y,ROW()+4)=1,INDEX('Calculator Cost per Bucata'!$S:$S,ROW()+4),"")</f>
        <v/>
      </c>
      <c r="F219" s="33" t="str">
        <f>IF($A219="","",IF(N(INDEX('PI Furnizor'!$L:$L,ROW()+1))&gt;0,INDEX('PI Furnizor'!$L:$L,ROW()+1),""))</f>
        <v/>
      </c>
      <c r="G219" s="33" t="str">
        <f>IF($A219="","",IF(Comenzi!$D$6="Da",$D219,$E219))</f>
        <v/>
      </c>
      <c r="H219" s="33" t="str">
        <f>IF(OR($A219="",$F219=""),"",IF(Comenzi!$D$6="Da",IFERROR($F219/(1+INDEX('Calculator Cost per Bucata'!$AC:$AC,ROW()+4)),""),$F219))</f>
        <v/>
      </c>
      <c r="I219" s="46" t="str">
        <f t="shared" si="9"/>
        <v/>
      </c>
      <c r="J219" s="47" t="str">
        <f t="shared" si="10"/>
        <v/>
      </c>
      <c r="K219" s="48" t="str">
        <f t="shared" si="11"/>
        <v/>
      </c>
    </row>
    <row r="220" spans="1:11" x14ac:dyDescent="0.3">
      <c r="A220" s="28" t="str">
        <f>IF(INDEX('Calculator Cost per Bucata'!$A:$A,ROW()+4)="","",INDEX('Calculator Cost per Bucata'!$A:$A,ROW()+4))</f>
        <v/>
      </c>
      <c r="B220" s="28" t="str">
        <f>IF($A220="","",INDEX('Calculator Cost per Bucata'!$C:$C,ROW()+4))</f>
        <v/>
      </c>
      <c r="C220" s="28" t="str">
        <f>IF($A220="","",INDEX('Calculator Cost per Bucata'!$D:$D,ROW()+4))</f>
        <v/>
      </c>
      <c r="D220" s="33" t="str">
        <f>IF(INDEX('Calculator Cost per Bucata'!$Y:$Y,ROW()+4)=1,INDEX('Calculator Cost per Bucata'!$P:$P,ROW()+4),"")</f>
        <v/>
      </c>
      <c r="E220" s="33" t="str">
        <f>IF(INDEX('Calculator Cost per Bucata'!$Y:$Y,ROW()+4)=1,INDEX('Calculator Cost per Bucata'!$S:$S,ROW()+4),"")</f>
        <v/>
      </c>
      <c r="F220" s="33" t="str">
        <f>IF($A220="","",IF(N(INDEX('PI Furnizor'!$L:$L,ROW()+1))&gt;0,INDEX('PI Furnizor'!$L:$L,ROW()+1),""))</f>
        <v/>
      </c>
      <c r="G220" s="33" t="str">
        <f>IF($A220="","",IF(Comenzi!$D$6="Da",$D220,$E220))</f>
        <v/>
      </c>
      <c r="H220" s="33" t="str">
        <f>IF(OR($A220="",$F220=""),"",IF(Comenzi!$D$6="Da",IFERROR($F220/(1+INDEX('Calculator Cost per Bucata'!$AC:$AC,ROW()+4)),""),$F220))</f>
        <v/>
      </c>
      <c r="I220" s="46" t="str">
        <f t="shared" si="9"/>
        <v/>
      </c>
      <c r="J220" s="47" t="str">
        <f t="shared" si="10"/>
        <v/>
      </c>
      <c r="K220" s="48" t="str">
        <f t="shared" si="11"/>
        <v/>
      </c>
    </row>
    <row r="221" spans="1:11" x14ac:dyDescent="0.3">
      <c r="A221" s="28" t="str">
        <f>IF(INDEX('Calculator Cost per Bucata'!$A:$A,ROW()+4)="","",INDEX('Calculator Cost per Bucata'!$A:$A,ROW()+4))</f>
        <v/>
      </c>
      <c r="B221" s="28" t="str">
        <f>IF($A221="","",INDEX('Calculator Cost per Bucata'!$C:$C,ROW()+4))</f>
        <v/>
      </c>
      <c r="C221" s="28" t="str">
        <f>IF($A221="","",INDEX('Calculator Cost per Bucata'!$D:$D,ROW()+4))</f>
        <v/>
      </c>
      <c r="D221" s="33" t="str">
        <f>IF(INDEX('Calculator Cost per Bucata'!$Y:$Y,ROW()+4)=1,INDEX('Calculator Cost per Bucata'!$P:$P,ROW()+4),"")</f>
        <v/>
      </c>
      <c r="E221" s="33" t="str">
        <f>IF(INDEX('Calculator Cost per Bucata'!$Y:$Y,ROW()+4)=1,INDEX('Calculator Cost per Bucata'!$S:$S,ROW()+4),"")</f>
        <v/>
      </c>
      <c r="F221" s="33" t="str">
        <f>IF($A221="","",IF(N(INDEX('PI Furnizor'!$L:$L,ROW()+1))&gt;0,INDEX('PI Furnizor'!$L:$L,ROW()+1),""))</f>
        <v/>
      </c>
      <c r="G221" s="33" t="str">
        <f>IF($A221="","",IF(Comenzi!$D$6="Da",$D221,$E221))</f>
        <v/>
      </c>
      <c r="H221" s="33" t="str">
        <f>IF(OR($A221="",$F221=""),"",IF(Comenzi!$D$6="Da",IFERROR($F221/(1+INDEX('Calculator Cost per Bucata'!$AC:$AC,ROW()+4)),""),$F221))</f>
        <v/>
      </c>
      <c r="I221" s="46" t="str">
        <f t="shared" si="9"/>
        <v/>
      </c>
      <c r="J221" s="47" t="str">
        <f t="shared" si="10"/>
        <v/>
      </c>
      <c r="K221" s="48" t="str">
        <f t="shared" si="11"/>
        <v/>
      </c>
    </row>
    <row r="222" spans="1:11" x14ac:dyDescent="0.3">
      <c r="A222" s="28" t="str">
        <f>IF(INDEX('Calculator Cost per Bucata'!$A:$A,ROW()+4)="","",INDEX('Calculator Cost per Bucata'!$A:$A,ROW()+4))</f>
        <v/>
      </c>
      <c r="B222" s="28" t="str">
        <f>IF($A222="","",INDEX('Calculator Cost per Bucata'!$C:$C,ROW()+4))</f>
        <v/>
      </c>
      <c r="C222" s="28" t="str">
        <f>IF($A222="","",INDEX('Calculator Cost per Bucata'!$D:$D,ROW()+4))</f>
        <v/>
      </c>
      <c r="D222" s="33" t="str">
        <f>IF(INDEX('Calculator Cost per Bucata'!$Y:$Y,ROW()+4)=1,INDEX('Calculator Cost per Bucata'!$P:$P,ROW()+4),"")</f>
        <v/>
      </c>
      <c r="E222" s="33" t="str">
        <f>IF(INDEX('Calculator Cost per Bucata'!$Y:$Y,ROW()+4)=1,INDEX('Calculator Cost per Bucata'!$S:$S,ROW()+4),"")</f>
        <v/>
      </c>
      <c r="F222" s="33" t="str">
        <f>IF($A222="","",IF(N(INDEX('PI Furnizor'!$L:$L,ROW()+1))&gt;0,INDEX('PI Furnizor'!$L:$L,ROW()+1),""))</f>
        <v/>
      </c>
      <c r="G222" s="33" t="str">
        <f>IF($A222="","",IF(Comenzi!$D$6="Da",$D222,$E222))</f>
        <v/>
      </c>
      <c r="H222" s="33" t="str">
        <f>IF(OR($A222="",$F222=""),"",IF(Comenzi!$D$6="Da",IFERROR($F222/(1+INDEX('Calculator Cost per Bucata'!$AC:$AC,ROW()+4)),""),$F222))</f>
        <v/>
      </c>
      <c r="I222" s="46" t="str">
        <f t="shared" si="9"/>
        <v/>
      </c>
      <c r="J222" s="47" t="str">
        <f t="shared" si="10"/>
        <v/>
      </c>
      <c r="K222" s="48" t="str">
        <f t="shared" si="11"/>
        <v/>
      </c>
    </row>
    <row r="223" spans="1:11" x14ac:dyDescent="0.3">
      <c r="A223" s="28" t="str">
        <f>IF(INDEX('Calculator Cost per Bucata'!$A:$A,ROW()+4)="","",INDEX('Calculator Cost per Bucata'!$A:$A,ROW()+4))</f>
        <v/>
      </c>
      <c r="B223" s="28" t="str">
        <f>IF($A223="","",INDEX('Calculator Cost per Bucata'!$C:$C,ROW()+4))</f>
        <v/>
      </c>
      <c r="C223" s="28" t="str">
        <f>IF($A223="","",INDEX('Calculator Cost per Bucata'!$D:$D,ROW()+4))</f>
        <v/>
      </c>
      <c r="D223" s="33" t="str">
        <f>IF(INDEX('Calculator Cost per Bucata'!$Y:$Y,ROW()+4)=1,INDEX('Calculator Cost per Bucata'!$P:$P,ROW()+4),"")</f>
        <v/>
      </c>
      <c r="E223" s="33" t="str">
        <f>IF(INDEX('Calculator Cost per Bucata'!$Y:$Y,ROW()+4)=1,INDEX('Calculator Cost per Bucata'!$S:$S,ROW()+4),"")</f>
        <v/>
      </c>
      <c r="F223" s="33" t="str">
        <f>IF($A223="","",IF(N(INDEX('PI Furnizor'!$L:$L,ROW()+1))&gt;0,INDEX('PI Furnizor'!$L:$L,ROW()+1),""))</f>
        <v/>
      </c>
      <c r="G223" s="33" t="str">
        <f>IF($A223="","",IF(Comenzi!$D$6="Da",$D223,$E223))</f>
        <v/>
      </c>
      <c r="H223" s="33" t="str">
        <f>IF(OR($A223="",$F223=""),"",IF(Comenzi!$D$6="Da",IFERROR($F223/(1+INDEX('Calculator Cost per Bucata'!$AC:$AC,ROW()+4)),""),$F223))</f>
        <v/>
      </c>
      <c r="I223" s="46" t="str">
        <f t="shared" si="9"/>
        <v/>
      </c>
      <c r="J223" s="47" t="str">
        <f t="shared" si="10"/>
        <v/>
      </c>
      <c r="K223" s="48" t="str">
        <f t="shared" si="11"/>
        <v/>
      </c>
    </row>
    <row r="224" spans="1:11" x14ac:dyDescent="0.3">
      <c r="A224" s="28" t="str">
        <f>IF(INDEX('Calculator Cost per Bucata'!$A:$A,ROW()+4)="","",INDEX('Calculator Cost per Bucata'!$A:$A,ROW()+4))</f>
        <v/>
      </c>
      <c r="B224" s="28" t="str">
        <f>IF($A224="","",INDEX('Calculator Cost per Bucata'!$C:$C,ROW()+4))</f>
        <v/>
      </c>
      <c r="C224" s="28" t="str">
        <f>IF($A224="","",INDEX('Calculator Cost per Bucata'!$D:$D,ROW()+4))</f>
        <v/>
      </c>
      <c r="D224" s="33" t="str">
        <f>IF(INDEX('Calculator Cost per Bucata'!$Y:$Y,ROW()+4)=1,INDEX('Calculator Cost per Bucata'!$P:$P,ROW()+4),"")</f>
        <v/>
      </c>
      <c r="E224" s="33" t="str">
        <f>IF(INDEX('Calculator Cost per Bucata'!$Y:$Y,ROW()+4)=1,INDEX('Calculator Cost per Bucata'!$S:$S,ROW()+4),"")</f>
        <v/>
      </c>
      <c r="F224" s="33" t="str">
        <f>IF($A224="","",IF(N(INDEX('PI Furnizor'!$L:$L,ROW()+1))&gt;0,INDEX('PI Furnizor'!$L:$L,ROW()+1),""))</f>
        <v/>
      </c>
      <c r="G224" s="33" t="str">
        <f>IF($A224="","",IF(Comenzi!$D$6="Da",$D224,$E224))</f>
        <v/>
      </c>
      <c r="H224" s="33" t="str">
        <f>IF(OR($A224="",$F224=""),"",IF(Comenzi!$D$6="Da",IFERROR($F224/(1+INDEX('Calculator Cost per Bucata'!$AC:$AC,ROW()+4)),""),$F224))</f>
        <v/>
      </c>
      <c r="I224" s="46" t="str">
        <f t="shared" si="9"/>
        <v/>
      </c>
      <c r="J224" s="47" t="str">
        <f t="shared" si="10"/>
        <v/>
      </c>
      <c r="K224" s="48" t="str">
        <f t="shared" si="11"/>
        <v/>
      </c>
    </row>
    <row r="225" spans="1:11" x14ac:dyDescent="0.3">
      <c r="A225" s="28" t="str">
        <f>IF(INDEX('Calculator Cost per Bucata'!$A:$A,ROW()+4)="","",INDEX('Calculator Cost per Bucata'!$A:$A,ROW()+4))</f>
        <v/>
      </c>
      <c r="B225" s="28" t="str">
        <f>IF($A225="","",INDEX('Calculator Cost per Bucata'!$C:$C,ROW()+4))</f>
        <v/>
      </c>
      <c r="C225" s="28" t="str">
        <f>IF($A225="","",INDEX('Calculator Cost per Bucata'!$D:$D,ROW()+4))</f>
        <v/>
      </c>
      <c r="D225" s="33" t="str">
        <f>IF(INDEX('Calculator Cost per Bucata'!$Y:$Y,ROW()+4)=1,INDEX('Calculator Cost per Bucata'!$P:$P,ROW()+4),"")</f>
        <v/>
      </c>
      <c r="E225" s="33" t="str">
        <f>IF(INDEX('Calculator Cost per Bucata'!$Y:$Y,ROW()+4)=1,INDEX('Calculator Cost per Bucata'!$S:$S,ROW()+4),"")</f>
        <v/>
      </c>
      <c r="F225" s="33" t="str">
        <f>IF($A225="","",IF(N(INDEX('PI Furnizor'!$L:$L,ROW()+1))&gt;0,INDEX('PI Furnizor'!$L:$L,ROW()+1),""))</f>
        <v/>
      </c>
      <c r="G225" s="33" t="str">
        <f>IF($A225="","",IF(Comenzi!$D$6="Da",$D225,$E225))</f>
        <v/>
      </c>
      <c r="H225" s="33" t="str">
        <f>IF(OR($A225="",$F225=""),"",IF(Comenzi!$D$6="Da",IFERROR($F225/(1+INDEX('Calculator Cost per Bucata'!$AC:$AC,ROW()+4)),""),$F225))</f>
        <v/>
      </c>
      <c r="I225" s="46" t="str">
        <f t="shared" si="9"/>
        <v/>
      </c>
      <c r="J225" s="47" t="str">
        <f t="shared" si="10"/>
        <v/>
      </c>
      <c r="K225" s="48" t="str">
        <f t="shared" si="11"/>
        <v/>
      </c>
    </row>
    <row r="226" spans="1:11" x14ac:dyDescent="0.3">
      <c r="A226" s="28" t="str">
        <f>IF(INDEX('Calculator Cost per Bucata'!$A:$A,ROW()+4)="","",INDEX('Calculator Cost per Bucata'!$A:$A,ROW()+4))</f>
        <v/>
      </c>
      <c r="B226" s="28" t="str">
        <f>IF($A226="","",INDEX('Calculator Cost per Bucata'!$C:$C,ROW()+4))</f>
        <v/>
      </c>
      <c r="C226" s="28" t="str">
        <f>IF($A226="","",INDEX('Calculator Cost per Bucata'!$D:$D,ROW()+4))</f>
        <v/>
      </c>
      <c r="D226" s="33" t="str">
        <f>IF(INDEX('Calculator Cost per Bucata'!$Y:$Y,ROW()+4)=1,INDEX('Calculator Cost per Bucata'!$P:$P,ROW()+4),"")</f>
        <v/>
      </c>
      <c r="E226" s="33" t="str">
        <f>IF(INDEX('Calculator Cost per Bucata'!$Y:$Y,ROW()+4)=1,INDEX('Calculator Cost per Bucata'!$S:$S,ROW()+4),"")</f>
        <v/>
      </c>
      <c r="F226" s="33" t="str">
        <f>IF($A226="","",IF(N(INDEX('PI Furnizor'!$L:$L,ROW()+1))&gt;0,INDEX('PI Furnizor'!$L:$L,ROW()+1),""))</f>
        <v/>
      </c>
      <c r="G226" s="33" t="str">
        <f>IF($A226="","",IF(Comenzi!$D$6="Da",$D226,$E226))</f>
        <v/>
      </c>
      <c r="H226" s="33" t="str">
        <f>IF(OR($A226="",$F226=""),"",IF(Comenzi!$D$6="Da",IFERROR($F226/(1+INDEX('Calculator Cost per Bucata'!$AC:$AC,ROW()+4)),""),$F226))</f>
        <v/>
      </c>
      <c r="I226" s="46" t="str">
        <f t="shared" si="9"/>
        <v/>
      </c>
      <c r="J226" s="47" t="str">
        <f t="shared" si="10"/>
        <v/>
      </c>
      <c r="K226" s="48" t="str">
        <f t="shared" si="11"/>
        <v/>
      </c>
    </row>
    <row r="227" spans="1:11" x14ac:dyDescent="0.3">
      <c r="A227" s="28" t="str">
        <f>IF(INDEX('Calculator Cost per Bucata'!$A:$A,ROW()+4)="","",INDEX('Calculator Cost per Bucata'!$A:$A,ROW()+4))</f>
        <v/>
      </c>
      <c r="B227" s="28" t="str">
        <f>IF($A227="","",INDEX('Calculator Cost per Bucata'!$C:$C,ROW()+4))</f>
        <v/>
      </c>
      <c r="C227" s="28" t="str">
        <f>IF($A227="","",INDEX('Calculator Cost per Bucata'!$D:$D,ROW()+4))</f>
        <v/>
      </c>
      <c r="D227" s="33" t="str">
        <f>IF(INDEX('Calculator Cost per Bucata'!$Y:$Y,ROW()+4)=1,INDEX('Calculator Cost per Bucata'!$P:$P,ROW()+4),"")</f>
        <v/>
      </c>
      <c r="E227" s="33" t="str">
        <f>IF(INDEX('Calculator Cost per Bucata'!$Y:$Y,ROW()+4)=1,INDEX('Calculator Cost per Bucata'!$S:$S,ROW()+4),"")</f>
        <v/>
      </c>
      <c r="F227" s="33" t="str">
        <f>IF($A227="","",IF(N(INDEX('PI Furnizor'!$L:$L,ROW()+1))&gt;0,INDEX('PI Furnizor'!$L:$L,ROW()+1),""))</f>
        <v/>
      </c>
      <c r="G227" s="33" t="str">
        <f>IF($A227="","",IF(Comenzi!$D$6="Da",$D227,$E227))</f>
        <v/>
      </c>
      <c r="H227" s="33" t="str">
        <f>IF(OR($A227="",$F227=""),"",IF(Comenzi!$D$6="Da",IFERROR($F227/(1+INDEX('Calculator Cost per Bucata'!$AC:$AC,ROW()+4)),""),$F227))</f>
        <v/>
      </c>
      <c r="I227" s="46" t="str">
        <f t="shared" si="9"/>
        <v/>
      </c>
      <c r="J227" s="47" t="str">
        <f t="shared" si="10"/>
        <v/>
      </c>
      <c r="K227" s="48" t="str">
        <f t="shared" si="11"/>
        <v/>
      </c>
    </row>
    <row r="228" spans="1:11" x14ac:dyDescent="0.3">
      <c r="A228" s="28" t="str">
        <f>IF(INDEX('Calculator Cost per Bucata'!$A:$A,ROW()+4)="","",INDEX('Calculator Cost per Bucata'!$A:$A,ROW()+4))</f>
        <v/>
      </c>
      <c r="B228" s="28" t="str">
        <f>IF($A228="","",INDEX('Calculator Cost per Bucata'!$C:$C,ROW()+4))</f>
        <v/>
      </c>
      <c r="C228" s="28" t="str">
        <f>IF($A228="","",INDEX('Calculator Cost per Bucata'!$D:$D,ROW()+4))</f>
        <v/>
      </c>
      <c r="D228" s="33" t="str">
        <f>IF(INDEX('Calculator Cost per Bucata'!$Y:$Y,ROW()+4)=1,INDEX('Calculator Cost per Bucata'!$P:$P,ROW()+4),"")</f>
        <v/>
      </c>
      <c r="E228" s="33" t="str">
        <f>IF(INDEX('Calculator Cost per Bucata'!$Y:$Y,ROW()+4)=1,INDEX('Calculator Cost per Bucata'!$S:$S,ROW()+4),"")</f>
        <v/>
      </c>
      <c r="F228" s="33" t="str">
        <f>IF($A228="","",IF(N(INDEX('PI Furnizor'!$L:$L,ROW()+1))&gt;0,INDEX('PI Furnizor'!$L:$L,ROW()+1),""))</f>
        <v/>
      </c>
      <c r="G228" s="33" t="str">
        <f>IF($A228="","",IF(Comenzi!$D$6="Da",$D228,$E228))</f>
        <v/>
      </c>
      <c r="H228" s="33" t="str">
        <f>IF(OR($A228="",$F228=""),"",IF(Comenzi!$D$6="Da",IFERROR($F228/(1+INDEX('Calculator Cost per Bucata'!$AC:$AC,ROW()+4)),""),$F228))</f>
        <v/>
      </c>
      <c r="I228" s="46" t="str">
        <f t="shared" si="9"/>
        <v/>
      </c>
      <c r="J228" s="47" t="str">
        <f t="shared" si="10"/>
        <v/>
      </c>
      <c r="K228" s="48" t="str">
        <f t="shared" si="11"/>
        <v/>
      </c>
    </row>
    <row r="229" spans="1:11" x14ac:dyDescent="0.3">
      <c r="A229" s="28" t="str">
        <f>IF(INDEX('Calculator Cost per Bucata'!$A:$A,ROW()+4)="","",INDEX('Calculator Cost per Bucata'!$A:$A,ROW()+4))</f>
        <v/>
      </c>
      <c r="B229" s="28" t="str">
        <f>IF($A229="","",INDEX('Calculator Cost per Bucata'!$C:$C,ROW()+4))</f>
        <v/>
      </c>
      <c r="C229" s="28" t="str">
        <f>IF($A229="","",INDEX('Calculator Cost per Bucata'!$D:$D,ROW()+4))</f>
        <v/>
      </c>
      <c r="D229" s="33" t="str">
        <f>IF(INDEX('Calculator Cost per Bucata'!$Y:$Y,ROW()+4)=1,INDEX('Calculator Cost per Bucata'!$P:$P,ROW()+4),"")</f>
        <v/>
      </c>
      <c r="E229" s="33" t="str">
        <f>IF(INDEX('Calculator Cost per Bucata'!$Y:$Y,ROW()+4)=1,INDEX('Calculator Cost per Bucata'!$S:$S,ROW()+4),"")</f>
        <v/>
      </c>
      <c r="F229" s="33" t="str">
        <f>IF($A229="","",IF(N(INDEX('PI Furnizor'!$L:$L,ROW()+1))&gt;0,INDEX('PI Furnizor'!$L:$L,ROW()+1),""))</f>
        <v/>
      </c>
      <c r="G229" s="33" t="str">
        <f>IF($A229="","",IF(Comenzi!$D$6="Da",$D229,$E229))</f>
        <v/>
      </c>
      <c r="H229" s="33" t="str">
        <f>IF(OR($A229="",$F229=""),"",IF(Comenzi!$D$6="Da",IFERROR($F229/(1+INDEX('Calculator Cost per Bucata'!$AC:$AC,ROW()+4)),""),$F229))</f>
        <v/>
      </c>
      <c r="I229" s="46" t="str">
        <f t="shared" si="9"/>
        <v/>
      </c>
      <c r="J229" s="47" t="str">
        <f t="shared" si="10"/>
        <v/>
      </c>
      <c r="K229" s="48" t="str">
        <f t="shared" si="11"/>
        <v/>
      </c>
    </row>
    <row r="230" spans="1:11" x14ac:dyDescent="0.3">
      <c r="A230" s="28" t="str">
        <f>IF(INDEX('Calculator Cost per Bucata'!$A:$A,ROW()+4)="","",INDEX('Calculator Cost per Bucata'!$A:$A,ROW()+4))</f>
        <v/>
      </c>
      <c r="B230" s="28" t="str">
        <f>IF($A230="","",INDEX('Calculator Cost per Bucata'!$C:$C,ROW()+4))</f>
        <v/>
      </c>
      <c r="C230" s="28" t="str">
        <f>IF($A230="","",INDEX('Calculator Cost per Bucata'!$D:$D,ROW()+4))</f>
        <v/>
      </c>
      <c r="D230" s="33" t="str">
        <f>IF(INDEX('Calculator Cost per Bucata'!$Y:$Y,ROW()+4)=1,INDEX('Calculator Cost per Bucata'!$P:$P,ROW()+4),"")</f>
        <v/>
      </c>
      <c r="E230" s="33" t="str">
        <f>IF(INDEX('Calculator Cost per Bucata'!$Y:$Y,ROW()+4)=1,INDEX('Calculator Cost per Bucata'!$S:$S,ROW()+4),"")</f>
        <v/>
      </c>
      <c r="F230" s="33" t="str">
        <f>IF($A230="","",IF(N(INDEX('PI Furnizor'!$L:$L,ROW()+1))&gt;0,INDEX('PI Furnizor'!$L:$L,ROW()+1),""))</f>
        <v/>
      </c>
      <c r="G230" s="33" t="str">
        <f>IF($A230="","",IF(Comenzi!$D$6="Da",$D230,$E230))</f>
        <v/>
      </c>
      <c r="H230" s="33" t="str">
        <f>IF(OR($A230="",$F230=""),"",IF(Comenzi!$D$6="Da",IFERROR($F230/(1+INDEX('Calculator Cost per Bucata'!$AC:$AC,ROW()+4)),""),$F230))</f>
        <v/>
      </c>
      <c r="I230" s="46" t="str">
        <f t="shared" si="9"/>
        <v/>
      </c>
      <c r="J230" s="47" t="str">
        <f t="shared" si="10"/>
        <v/>
      </c>
      <c r="K230" s="48" t="str">
        <f t="shared" si="11"/>
        <v/>
      </c>
    </row>
    <row r="231" spans="1:11" x14ac:dyDescent="0.3">
      <c r="A231" s="28" t="str">
        <f>IF(INDEX('Calculator Cost per Bucata'!$A:$A,ROW()+4)="","",INDEX('Calculator Cost per Bucata'!$A:$A,ROW()+4))</f>
        <v/>
      </c>
      <c r="B231" s="28" t="str">
        <f>IF($A231="","",INDEX('Calculator Cost per Bucata'!$C:$C,ROW()+4))</f>
        <v/>
      </c>
      <c r="C231" s="28" t="str">
        <f>IF($A231="","",INDEX('Calculator Cost per Bucata'!$D:$D,ROW()+4))</f>
        <v/>
      </c>
      <c r="D231" s="33" t="str">
        <f>IF(INDEX('Calculator Cost per Bucata'!$Y:$Y,ROW()+4)=1,INDEX('Calculator Cost per Bucata'!$P:$P,ROW()+4),"")</f>
        <v/>
      </c>
      <c r="E231" s="33" t="str">
        <f>IF(INDEX('Calculator Cost per Bucata'!$Y:$Y,ROW()+4)=1,INDEX('Calculator Cost per Bucata'!$S:$S,ROW()+4),"")</f>
        <v/>
      </c>
      <c r="F231" s="33" t="str">
        <f>IF($A231="","",IF(N(INDEX('PI Furnizor'!$L:$L,ROW()+1))&gt;0,INDEX('PI Furnizor'!$L:$L,ROW()+1),""))</f>
        <v/>
      </c>
      <c r="G231" s="33" t="str">
        <f>IF($A231="","",IF(Comenzi!$D$6="Da",$D231,$E231))</f>
        <v/>
      </c>
      <c r="H231" s="33" t="str">
        <f>IF(OR($A231="",$F231=""),"",IF(Comenzi!$D$6="Da",IFERROR($F231/(1+INDEX('Calculator Cost per Bucata'!$AC:$AC,ROW()+4)),""),$F231))</f>
        <v/>
      </c>
      <c r="I231" s="46" t="str">
        <f t="shared" si="9"/>
        <v/>
      </c>
      <c r="J231" s="47" t="str">
        <f t="shared" si="10"/>
        <v/>
      </c>
      <c r="K231" s="48" t="str">
        <f t="shared" si="11"/>
        <v/>
      </c>
    </row>
    <row r="232" spans="1:11" x14ac:dyDescent="0.3">
      <c r="A232" s="28" t="str">
        <f>IF(INDEX('Calculator Cost per Bucata'!$A:$A,ROW()+4)="","",INDEX('Calculator Cost per Bucata'!$A:$A,ROW()+4))</f>
        <v/>
      </c>
      <c r="B232" s="28" t="str">
        <f>IF($A232="","",INDEX('Calculator Cost per Bucata'!$C:$C,ROW()+4))</f>
        <v/>
      </c>
      <c r="C232" s="28" t="str">
        <f>IF($A232="","",INDEX('Calculator Cost per Bucata'!$D:$D,ROW()+4))</f>
        <v/>
      </c>
      <c r="D232" s="33" t="str">
        <f>IF(INDEX('Calculator Cost per Bucata'!$Y:$Y,ROW()+4)=1,INDEX('Calculator Cost per Bucata'!$P:$P,ROW()+4),"")</f>
        <v/>
      </c>
      <c r="E232" s="33" t="str">
        <f>IF(INDEX('Calculator Cost per Bucata'!$Y:$Y,ROW()+4)=1,INDEX('Calculator Cost per Bucata'!$S:$S,ROW()+4),"")</f>
        <v/>
      </c>
      <c r="F232" s="33" t="str">
        <f>IF($A232="","",IF(N(INDEX('PI Furnizor'!$L:$L,ROW()+1))&gt;0,INDEX('PI Furnizor'!$L:$L,ROW()+1),""))</f>
        <v/>
      </c>
      <c r="G232" s="33" t="str">
        <f>IF($A232="","",IF(Comenzi!$D$6="Da",$D232,$E232))</f>
        <v/>
      </c>
      <c r="H232" s="33" t="str">
        <f>IF(OR($A232="",$F232=""),"",IF(Comenzi!$D$6="Da",IFERROR($F232/(1+INDEX('Calculator Cost per Bucata'!$AC:$AC,ROW()+4)),""),$F232))</f>
        <v/>
      </c>
      <c r="I232" s="46" t="str">
        <f t="shared" si="9"/>
        <v/>
      </c>
      <c r="J232" s="47" t="str">
        <f t="shared" si="10"/>
        <v/>
      </c>
      <c r="K232" s="48" t="str">
        <f t="shared" si="11"/>
        <v/>
      </c>
    </row>
    <row r="233" spans="1:11" x14ac:dyDescent="0.3">
      <c r="A233" s="28" t="str">
        <f>IF(INDEX('Calculator Cost per Bucata'!$A:$A,ROW()+4)="","",INDEX('Calculator Cost per Bucata'!$A:$A,ROW()+4))</f>
        <v/>
      </c>
      <c r="B233" s="28" t="str">
        <f>IF($A233="","",INDEX('Calculator Cost per Bucata'!$C:$C,ROW()+4))</f>
        <v/>
      </c>
      <c r="C233" s="28" t="str">
        <f>IF($A233="","",INDEX('Calculator Cost per Bucata'!$D:$D,ROW()+4))</f>
        <v/>
      </c>
      <c r="D233" s="33" t="str">
        <f>IF(INDEX('Calculator Cost per Bucata'!$Y:$Y,ROW()+4)=1,INDEX('Calculator Cost per Bucata'!$P:$P,ROW()+4),"")</f>
        <v/>
      </c>
      <c r="E233" s="33" t="str">
        <f>IF(INDEX('Calculator Cost per Bucata'!$Y:$Y,ROW()+4)=1,INDEX('Calculator Cost per Bucata'!$S:$S,ROW()+4),"")</f>
        <v/>
      </c>
      <c r="F233" s="33" t="str">
        <f>IF($A233="","",IF(N(INDEX('PI Furnizor'!$L:$L,ROW()+1))&gt;0,INDEX('PI Furnizor'!$L:$L,ROW()+1),""))</f>
        <v/>
      </c>
      <c r="G233" s="33" t="str">
        <f>IF($A233="","",IF(Comenzi!$D$6="Da",$D233,$E233))</f>
        <v/>
      </c>
      <c r="H233" s="33" t="str">
        <f>IF(OR($A233="",$F233=""),"",IF(Comenzi!$D$6="Da",IFERROR($F233/(1+INDEX('Calculator Cost per Bucata'!$AC:$AC,ROW()+4)),""),$F233))</f>
        <v/>
      </c>
      <c r="I233" s="46" t="str">
        <f t="shared" si="9"/>
        <v/>
      </c>
      <c r="J233" s="47" t="str">
        <f t="shared" si="10"/>
        <v/>
      </c>
      <c r="K233" s="48" t="str">
        <f t="shared" si="11"/>
        <v/>
      </c>
    </row>
    <row r="234" spans="1:11" x14ac:dyDescent="0.3">
      <c r="A234" s="28" t="str">
        <f>IF(INDEX('Calculator Cost per Bucata'!$A:$A,ROW()+4)="","",INDEX('Calculator Cost per Bucata'!$A:$A,ROW()+4))</f>
        <v/>
      </c>
      <c r="B234" s="28" t="str">
        <f>IF($A234="","",INDEX('Calculator Cost per Bucata'!$C:$C,ROW()+4))</f>
        <v/>
      </c>
      <c r="C234" s="28" t="str">
        <f>IF($A234="","",INDEX('Calculator Cost per Bucata'!$D:$D,ROW()+4))</f>
        <v/>
      </c>
      <c r="D234" s="33" t="str">
        <f>IF(INDEX('Calculator Cost per Bucata'!$Y:$Y,ROW()+4)=1,INDEX('Calculator Cost per Bucata'!$P:$P,ROW()+4),"")</f>
        <v/>
      </c>
      <c r="E234" s="33" t="str">
        <f>IF(INDEX('Calculator Cost per Bucata'!$Y:$Y,ROW()+4)=1,INDEX('Calculator Cost per Bucata'!$S:$S,ROW()+4),"")</f>
        <v/>
      </c>
      <c r="F234" s="33" t="str">
        <f>IF($A234="","",IF(N(INDEX('PI Furnizor'!$L:$L,ROW()+1))&gt;0,INDEX('PI Furnizor'!$L:$L,ROW()+1),""))</f>
        <v/>
      </c>
      <c r="G234" s="33" t="str">
        <f>IF($A234="","",IF(Comenzi!$D$6="Da",$D234,$E234))</f>
        <v/>
      </c>
      <c r="H234" s="33" t="str">
        <f>IF(OR($A234="",$F234=""),"",IF(Comenzi!$D$6="Da",IFERROR($F234/(1+INDEX('Calculator Cost per Bucata'!$AC:$AC,ROW()+4)),""),$F234))</f>
        <v/>
      </c>
      <c r="I234" s="46" t="str">
        <f t="shared" si="9"/>
        <v/>
      </c>
      <c r="J234" s="47" t="str">
        <f t="shared" si="10"/>
        <v/>
      </c>
      <c r="K234" s="48" t="str">
        <f t="shared" si="11"/>
        <v/>
      </c>
    </row>
    <row r="235" spans="1:11" x14ac:dyDescent="0.3">
      <c r="A235" s="28" t="str">
        <f>IF(INDEX('Calculator Cost per Bucata'!$A:$A,ROW()+4)="","",INDEX('Calculator Cost per Bucata'!$A:$A,ROW()+4))</f>
        <v/>
      </c>
      <c r="B235" s="28" t="str">
        <f>IF($A235="","",INDEX('Calculator Cost per Bucata'!$C:$C,ROW()+4))</f>
        <v/>
      </c>
      <c r="C235" s="28" t="str">
        <f>IF($A235="","",INDEX('Calculator Cost per Bucata'!$D:$D,ROW()+4))</f>
        <v/>
      </c>
      <c r="D235" s="33" t="str">
        <f>IF(INDEX('Calculator Cost per Bucata'!$Y:$Y,ROW()+4)=1,INDEX('Calculator Cost per Bucata'!$P:$P,ROW()+4),"")</f>
        <v/>
      </c>
      <c r="E235" s="33" t="str">
        <f>IF(INDEX('Calculator Cost per Bucata'!$Y:$Y,ROW()+4)=1,INDEX('Calculator Cost per Bucata'!$S:$S,ROW()+4),"")</f>
        <v/>
      </c>
      <c r="F235" s="33" t="str">
        <f>IF($A235="","",IF(N(INDEX('PI Furnizor'!$L:$L,ROW()+1))&gt;0,INDEX('PI Furnizor'!$L:$L,ROW()+1),""))</f>
        <v/>
      </c>
      <c r="G235" s="33" t="str">
        <f>IF($A235="","",IF(Comenzi!$D$6="Da",$D235,$E235))</f>
        <v/>
      </c>
      <c r="H235" s="33" t="str">
        <f>IF(OR($A235="",$F235=""),"",IF(Comenzi!$D$6="Da",IFERROR($F235/(1+INDEX('Calculator Cost per Bucata'!$AC:$AC,ROW()+4)),""),$F235))</f>
        <v/>
      </c>
      <c r="I235" s="46" t="str">
        <f t="shared" si="9"/>
        <v/>
      </c>
      <c r="J235" s="47" t="str">
        <f t="shared" si="10"/>
        <v/>
      </c>
      <c r="K235" s="48" t="str">
        <f t="shared" si="11"/>
        <v/>
      </c>
    </row>
    <row r="236" spans="1:11" x14ac:dyDescent="0.3">
      <c r="A236" s="28" t="str">
        <f>IF(INDEX('Calculator Cost per Bucata'!$A:$A,ROW()+4)="","",INDEX('Calculator Cost per Bucata'!$A:$A,ROW()+4))</f>
        <v/>
      </c>
      <c r="B236" s="28" t="str">
        <f>IF($A236="","",INDEX('Calculator Cost per Bucata'!$C:$C,ROW()+4))</f>
        <v/>
      </c>
      <c r="C236" s="28" t="str">
        <f>IF($A236="","",INDEX('Calculator Cost per Bucata'!$D:$D,ROW()+4))</f>
        <v/>
      </c>
      <c r="D236" s="33" t="str">
        <f>IF(INDEX('Calculator Cost per Bucata'!$Y:$Y,ROW()+4)=1,INDEX('Calculator Cost per Bucata'!$P:$P,ROW()+4),"")</f>
        <v/>
      </c>
      <c r="E236" s="33" t="str">
        <f>IF(INDEX('Calculator Cost per Bucata'!$Y:$Y,ROW()+4)=1,INDEX('Calculator Cost per Bucata'!$S:$S,ROW()+4),"")</f>
        <v/>
      </c>
      <c r="F236" s="33" t="str">
        <f>IF($A236="","",IF(N(INDEX('PI Furnizor'!$L:$L,ROW()+1))&gt;0,INDEX('PI Furnizor'!$L:$L,ROW()+1),""))</f>
        <v/>
      </c>
      <c r="G236" s="33" t="str">
        <f>IF($A236="","",IF(Comenzi!$D$6="Da",$D236,$E236))</f>
        <v/>
      </c>
      <c r="H236" s="33" t="str">
        <f>IF(OR($A236="",$F236=""),"",IF(Comenzi!$D$6="Da",IFERROR($F236/(1+INDEX('Calculator Cost per Bucata'!$AC:$AC,ROW()+4)),""),$F236))</f>
        <v/>
      </c>
      <c r="I236" s="46" t="str">
        <f t="shared" si="9"/>
        <v/>
      </c>
      <c r="J236" s="47" t="str">
        <f t="shared" si="10"/>
        <v/>
      </c>
      <c r="K236" s="48" t="str">
        <f t="shared" si="11"/>
        <v/>
      </c>
    </row>
    <row r="237" spans="1:11" x14ac:dyDescent="0.3">
      <c r="A237" s="28" t="str">
        <f>IF(INDEX('Calculator Cost per Bucata'!$A:$A,ROW()+4)="","",INDEX('Calculator Cost per Bucata'!$A:$A,ROW()+4))</f>
        <v/>
      </c>
      <c r="B237" s="28" t="str">
        <f>IF($A237="","",INDEX('Calculator Cost per Bucata'!$C:$C,ROW()+4))</f>
        <v/>
      </c>
      <c r="C237" s="28" t="str">
        <f>IF($A237="","",INDEX('Calculator Cost per Bucata'!$D:$D,ROW()+4))</f>
        <v/>
      </c>
      <c r="D237" s="33" t="str">
        <f>IF(INDEX('Calculator Cost per Bucata'!$Y:$Y,ROW()+4)=1,INDEX('Calculator Cost per Bucata'!$P:$P,ROW()+4),"")</f>
        <v/>
      </c>
      <c r="E237" s="33" t="str">
        <f>IF(INDEX('Calculator Cost per Bucata'!$Y:$Y,ROW()+4)=1,INDEX('Calculator Cost per Bucata'!$S:$S,ROW()+4),"")</f>
        <v/>
      </c>
      <c r="F237" s="33" t="str">
        <f>IF($A237="","",IF(N(INDEX('PI Furnizor'!$L:$L,ROW()+1))&gt;0,INDEX('PI Furnizor'!$L:$L,ROW()+1),""))</f>
        <v/>
      </c>
      <c r="G237" s="33" t="str">
        <f>IF($A237="","",IF(Comenzi!$D$6="Da",$D237,$E237))</f>
        <v/>
      </c>
      <c r="H237" s="33" t="str">
        <f>IF(OR($A237="",$F237=""),"",IF(Comenzi!$D$6="Da",IFERROR($F237/(1+INDEX('Calculator Cost per Bucata'!$AC:$AC,ROW()+4)),""),$F237))</f>
        <v/>
      </c>
      <c r="I237" s="46" t="str">
        <f t="shared" si="9"/>
        <v/>
      </c>
      <c r="J237" s="47" t="str">
        <f t="shared" si="10"/>
        <v/>
      </c>
      <c r="K237" s="48" t="str">
        <f t="shared" si="11"/>
        <v/>
      </c>
    </row>
    <row r="238" spans="1:11" x14ac:dyDescent="0.3">
      <c r="A238" s="28" t="str">
        <f>IF(INDEX('Calculator Cost per Bucata'!$A:$A,ROW()+4)="","",INDEX('Calculator Cost per Bucata'!$A:$A,ROW()+4))</f>
        <v/>
      </c>
      <c r="B238" s="28" t="str">
        <f>IF($A238="","",INDEX('Calculator Cost per Bucata'!$C:$C,ROW()+4))</f>
        <v/>
      </c>
      <c r="C238" s="28" t="str">
        <f>IF($A238="","",INDEX('Calculator Cost per Bucata'!$D:$D,ROW()+4))</f>
        <v/>
      </c>
      <c r="D238" s="33" t="str">
        <f>IF(INDEX('Calculator Cost per Bucata'!$Y:$Y,ROW()+4)=1,INDEX('Calculator Cost per Bucata'!$P:$P,ROW()+4),"")</f>
        <v/>
      </c>
      <c r="E238" s="33" t="str">
        <f>IF(INDEX('Calculator Cost per Bucata'!$Y:$Y,ROW()+4)=1,INDEX('Calculator Cost per Bucata'!$S:$S,ROW()+4),"")</f>
        <v/>
      </c>
      <c r="F238" s="33" t="str">
        <f>IF($A238="","",IF(N(INDEX('PI Furnizor'!$L:$L,ROW()+1))&gt;0,INDEX('PI Furnizor'!$L:$L,ROW()+1),""))</f>
        <v/>
      </c>
      <c r="G238" s="33" t="str">
        <f>IF($A238="","",IF(Comenzi!$D$6="Da",$D238,$E238))</f>
        <v/>
      </c>
      <c r="H238" s="33" t="str">
        <f>IF(OR($A238="",$F238=""),"",IF(Comenzi!$D$6="Da",IFERROR($F238/(1+INDEX('Calculator Cost per Bucata'!$AC:$AC,ROW()+4)),""),$F238))</f>
        <v/>
      </c>
      <c r="I238" s="46" t="str">
        <f t="shared" si="9"/>
        <v/>
      </c>
      <c r="J238" s="47" t="str">
        <f t="shared" si="10"/>
        <v/>
      </c>
      <c r="K238" s="48" t="str">
        <f t="shared" si="11"/>
        <v/>
      </c>
    </row>
    <row r="239" spans="1:11" x14ac:dyDescent="0.3">
      <c r="A239" s="28" t="str">
        <f>IF(INDEX('Calculator Cost per Bucata'!$A:$A,ROW()+4)="","",INDEX('Calculator Cost per Bucata'!$A:$A,ROW()+4))</f>
        <v/>
      </c>
      <c r="B239" s="28" t="str">
        <f>IF($A239="","",INDEX('Calculator Cost per Bucata'!$C:$C,ROW()+4))</f>
        <v/>
      </c>
      <c r="C239" s="28" t="str">
        <f>IF($A239="","",INDEX('Calculator Cost per Bucata'!$D:$D,ROW()+4))</f>
        <v/>
      </c>
      <c r="D239" s="33" t="str">
        <f>IF(INDEX('Calculator Cost per Bucata'!$Y:$Y,ROW()+4)=1,INDEX('Calculator Cost per Bucata'!$P:$P,ROW()+4),"")</f>
        <v/>
      </c>
      <c r="E239" s="33" t="str">
        <f>IF(INDEX('Calculator Cost per Bucata'!$Y:$Y,ROW()+4)=1,INDEX('Calculator Cost per Bucata'!$S:$S,ROW()+4),"")</f>
        <v/>
      </c>
      <c r="F239" s="33" t="str">
        <f>IF($A239="","",IF(N(INDEX('PI Furnizor'!$L:$L,ROW()+1))&gt;0,INDEX('PI Furnizor'!$L:$L,ROW()+1),""))</f>
        <v/>
      </c>
      <c r="G239" s="33" t="str">
        <f>IF($A239="","",IF(Comenzi!$D$6="Da",$D239,$E239))</f>
        <v/>
      </c>
      <c r="H239" s="33" t="str">
        <f>IF(OR($A239="",$F239=""),"",IF(Comenzi!$D$6="Da",IFERROR($F239/(1+INDEX('Calculator Cost per Bucata'!$AC:$AC,ROW()+4)),""),$F239))</f>
        <v/>
      </c>
      <c r="I239" s="46" t="str">
        <f t="shared" si="9"/>
        <v/>
      </c>
      <c r="J239" s="47" t="str">
        <f t="shared" si="10"/>
        <v/>
      </c>
      <c r="K239" s="48" t="str">
        <f t="shared" si="11"/>
        <v/>
      </c>
    </row>
    <row r="240" spans="1:11" x14ac:dyDescent="0.3">
      <c r="A240" s="28" t="str">
        <f>IF(INDEX('Calculator Cost per Bucata'!$A:$A,ROW()+4)="","",INDEX('Calculator Cost per Bucata'!$A:$A,ROW()+4))</f>
        <v/>
      </c>
      <c r="B240" s="28" t="str">
        <f>IF($A240="","",INDEX('Calculator Cost per Bucata'!$C:$C,ROW()+4))</f>
        <v/>
      </c>
      <c r="C240" s="28" t="str">
        <f>IF($A240="","",INDEX('Calculator Cost per Bucata'!$D:$D,ROW()+4))</f>
        <v/>
      </c>
      <c r="D240" s="33" t="str">
        <f>IF(INDEX('Calculator Cost per Bucata'!$Y:$Y,ROW()+4)=1,INDEX('Calculator Cost per Bucata'!$P:$P,ROW()+4),"")</f>
        <v/>
      </c>
      <c r="E240" s="33" t="str">
        <f>IF(INDEX('Calculator Cost per Bucata'!$Y:$Y,ROW()+4)=1,INDEX('Calculator Cost per Bucata'!$S:$S,ROW()+4),"")</f>
        <v/>
      </c>
      <c r="F240" s="33" t="str">
        <f>IF($A240="","",IF(N(INDEX('PI Furnizor'!$L:$L,ROW()+1))&gt;0,INDEX('PI Furnizor'!$L:$L,ROW()+1),""))</f>
        <v/>
      </c>
      <c r="G240" s="33" t="str">
        <f>IF($A240="","",IF(Comenzi!$D$6="Da",$D240,$E240))</f>
        <v/>
      </c>
      <c r="H240" s="33" t="str">
        <f>IF(OR($A240="",$F240=""),"",IF(Comenzi!$D$6="Da",IFERROR($F240/(1+INDEX('Calculator Cost per Bucata'!$AC:$AC,ROW()+4)),""),$F240))</f>
        <v/>
      </c>
      <c r="I240" s="46" t="str">
        <f t="shared" si="9"/>
        <v/>
      </c>
      <c r="J240" s="47" t="str">
        <f t="shared" si="10"/>
        <v/>
      </c>
      <c r="K240" s="48" t="str">
        <f t="shared" si="11"/>
        <v/>
      </c>
    </row>
    <row r="241" spans="1:11" x14ac:dyDescent="0.3">
      <c r="A241" s="28" t="str">
        <f>IF(INDEX('Calculator Cost per Bucata'!$A:$A,ROW()+4)="","",INDEX('Calculator Cost per Bucata'!$A:$A,ROW()+4))</f>
        <v/>
      </c>
      <c r="B241" s="28" t="str">
        <f>IF($A241="","",INDEX('Calculator Cost per Bucata'!$C:$C,ROW()+4))</f>
        <v/>
      </c>
      <c r="C241" s="28" t="str">
        <f>IF($A241="","",INDEX('Calculator Cost per Bucata'!$D:$D,ROW()+4))</f>
        <v/>
      </c>
      <c r="D241" s="33" t="str">
        <f>IF(INDEX('Calculator Cost per Bucata'!$Y:$Y,ROW()+4)=1,INDEX('Calculator Cost per Bucata'!$P:$P,ROW()+4),"")</f>
        <v/>
      </c>
      <c r="E241" s="33" t="str">
        <f>IF(INDEX('Calculator Cost per Bucata'!$Y:$Y,ROW()+4)=1,INDEX('Calculator Cost per Bucata'!$S:$S,ROW()+4),"")</f>
        <v/>
      </c>
      <c r="F241" s="33" t="str">
        <f>IF($A241="","",IF(N(INDEX('PI Furnizor'!$L:$L,ROW()+1))&gt;0,INDEX('PI Furnizor'!$L:$L,ROW()+1),""))</f>
        <v/>
      </c>
      <c r="G241" s="33" t="str">
        <f>IF($A241="","",IF(Comenzi!$D$6="Da",$D241,$E241))</f>
        <v/>
      </c>
      <c r="H241" s="33" t="str">
        <f>IF(OR($A241="",$F241=""),"",IF(Comenzi!$D$6="Da",IFERROR($F241/(1+INDEX('Calculator Cost per Bucata'!$AC:$AC,ROW()+4)),""),$F241))</f>
        <v/>
      </c>
      <c r="I241" s="46" t="str">
        <f t="shared" si="9"/>
        <v/>
      </c>
      <c r="J241" s="47" t="str">
        <f t="shared" si="10"/>
        <v/>
      </c>
      <c r="K241" s="48" t="str">
        <f t="shared" si="11"/>
        <v/>
      </c>
    </row>
    <row r="242" spans="1:11" x14ac:dyDescent="0.3">
      <c r="A242" s="28" t="str">
        <f>IF(INDEX('Calculator Cost per Bucata'!$A:$A,ROW()+4)="","",INDEX('Calculator Cost per Bucata'!$A:$A,ROW()+4))</f>
        <v/>
      </c>
      <c r="B242" s="28" t="str">
        <f>IF($A242="","",INDEX('Calculator Cost per Bucata'!$C:$C,ROW()+4))</f>
        <v/>
      </c>
      <c r="C242" s="28" t="str">
        <f>IF($A242="","",INDEX('Calculator Cost per Bucata'!$D:$D,ROW()+4))</f>
        <v/>
      </c>
      <c r="D242" s="33" t="str">
        <f>IF(INDEX('Calculator Cost per Bucata'!$Y:$Y,ROW()+4)=1,INDEX('Calculator Cost per Bucata'!$P:$P,ROW()+4),"")</f>
        <v/>
      </c>
      <c r="E242" s="33" t="str">
        <f>IF(INDEX('Calculator Cost per Bucata'!$Y:$Y,ROW()+4)=1,INDEX('Calculator Cost per Bucata'!$S:$S,ROW()+4),"")</f>
        <v/>
      </c>
      <c r="F242" s="33" t="str">
        <f>IF($A242="","",IF(N(INDEX('PI Furnizor'!$L:$L,ROW()+1))&gt;0,INDEX('PI Furnizor'!$L:$L,ROW()+1),""))</f>
        <v/>
      </c>
      <c r="G242" s="33" t="str">
        <f>IF($A242="","",IF(Comenzi!$D$6="Da",$D242,$E242))</f>
        <v/>
      </c>
      <c r="H242" s="33" t="str">
        <f>IF(OR($A242="",$F242=""),"",IF(Comenzi!$D$6="Da",IFERROR($F242/(1+INDEX('Calculator Cost per Bucata'!$AC:$AC,ROW()+4)),""),$F242))</f>
        <v/>
      </c>
      <c r="I242" s="46" t="str">
        <f t="shared" si="9"/>
        <v/>
      </c>
      <c r="J242" s="47" t="str">
        <f t="shared" si="10"/>
        <v/>
      </c>
      <c r="K242" s="48" t="str">
        <f t="shared" si="11"/>
        <v/>
      </c>
    </row>
    <row r="243" spans="1:11" x14ac:dyDescent="0.3">
      <c r="A243" s="28" t="str">
        <f>IF(INDEX('Calculator Cost per Bucata'!$A:$A,ROW()+4)="","",INDEX('Calculator Cost per Bucata'!$A:$A,ROW()+4))</f>
        <v/>
      </c>
      <c r="B243" s="28" t="str">
        <f>IF($A243="","",INDEX('Calculator Cost per Bucata'!$C:$C,ROW()+4))</f>
        <v/>
      </c>
      <c r="C243" s="28" t="str">
        <f>IF($A243="","",INDEX('Calculator Cost per Bucata'!$D:$D,ROW()+4))</f>
        <v/>
      </c>
      <c r="D243" s="33" t="str">
        <f>IF(INDEX('Calculator Cost per Bucata'!$Y:$Y,ROW()+4)=1,INDEX('Calculator Cost per Bucata'!$P:$P,ROW()+4),"")</f>
        <v/>
      </c>
      <c r="E243" s="33" t="str">
        <f>IF(INDEX('Calculator Cost per Bucata'!$Y:$Y,ROW()+4)=1,INDEX('Calculator Cost per Bucata'!$S:$S,ROW()+4),"")</f>
        <v/>
      </c>
      <c r="F243" s="33" t="str">
        <f>IF($A243="","",IF(N(INDEX('PI Furnizor'!$L:$L,ROW()+1))&gt;0,INDEX('PI Furnizor'!$L:$L,ROW()+1),""))</f>
        <v/>
      </c>
      <c r="G243" s="33" t="str">
        <f>IF($A243="","",IF(Comenzi!$D$6="Da",$D243,$E243))</f>
        <v/>
      </c>
      <c r="H243" s="33" t="str">
        <f>IF(OR($A243="",$F243=""),"",IF(Comenzi!$D$6="Da",IFERROR($F243/(1+INDEX('Calculator Cost per Bucata'!$AC:$AC,ROW()+4)),""),$F243))</f>
        <v/>
      </c>
      <c r="I243" s="46" t="str">
        <f t="shared" si="9"/>
        <v/>
      </c>
      <c r="J243" s="47" t="str">
        <f t="shared" si="10"/>
        <v/>
      </c>
      <c r="K243" s="48" t="str">
        <f t="shared" si="11"/>
        <v/>
      </c>
    </row>
    <row r="244" spans="1:11" x14ac:dyDescent="0.3">
      <c r="A244" s="28" t="str">
        <f>IF(INDEX('Calculator Cost per Bucata'!$A:$A,ROW()+4)="","",INDEX('Calculator Cost per Bucata'!$A:$A,ROW()+4))</f>
        <v/>
      </c>
      <c r="B244" s="28" t="str">
        <f>IF($A244="","",INDEX('Calculator Cost per Bucata'!$C:$C,ROW()+4))</f>
        <v/>
      </c>
      <c r="C244" s="28" t="str">
        <f>IF($A244="","",INDEX('Calculator Cost per Bucata'!$D:$D,ROW()+4))</f>
        <v/>
      </c>
      <c r="D244" s="33" t="str">
        <f>IF(INDEX('Calculator Cost per Bucata'!$Y:$Y,ROW()+4)=1,INDEX('Calculator Cost per Bucata'!$P:$P,ROW()+4),"")</f>
        <v/>
      </c>
      <c r="E244" s="33" t="str">
        <f>IF(INDEX('Calculator Cost per Bucata'!$Y:$Y,ROW()+4)=1,INDEX('Calculator Cost per Bucata'!$S:$S,ROW()+4),"")</f>
        <v/>
      </c>
      <c r="F244" s="33" t="str">
        <f>IF($A244="","",IF(N(INDEX('PI Furnizor'!$L:$L,ROW()+1))&gt;0,INDEX('PI Furnizor'!$L:$L,ROW()+1),""))</f>
        <v/>
      </c>
      <c r="G244" s="33" t="str">
        <f>IF($A244="","",IF(Comenzi!$D$6="Da",$D244,$E244))</f>
        <v/>
      </c>
      <c r="H244" s="33" t="str">
        <f>IF(OR($A244="",$F244=""),"",IF(Comenzi!$D$6="Da",IFERROR($F244/(1+INDEX('Calculator Cost per Bucata'!$AC:$AC,ROW()+4)),""),$F244))</f>
        <v/>
      </c>
      <c r="I244" s="46" t="str">
        <f t="shared" si="9"/>
        <v/>
      </c>
      <c r="J244" s="47" t="str">
        <f t="shared" si="10"/>
        <v/>
      </c>
      <c r="K244" s="48" t="str">
        <f t="shared" si="11"/>
        <v/>
      </c>
    </row>
    <row r="245" spans="1:11" x14ac:dyDescent="0.3">
      <c r="A245" s="28" t="str">
        <f>IF(INDEX('Calculator Cost per Bucata'!$A:$A,ROW()+4)="","",INDEX('Calculator Cost per Bucata'!$A:$A,ROW()+4))</f>
        <v/>
      </c>
      <c r="B245" s="28" t="str">
        <f>IF($A245="","",INDEX('Calculator Cost per Bucata'!$C:$C,ROW()+4))</f>
        <v/>
      </c>
      <c r="C245" s="28" t="str">
        <f>IF($A245="","",INDEX('Calculator Cost per Bucata'!$D:$D,ROW()+4))</f>
        <v/>
      </c>
      <c r="D245" s="33" t="str">
        <f>IF(INDEX('Calculator Cost per Bucata'!$Y:$Y,ROW()+4)=1,INDEX('Calculator Cost per Bucata'!$P:$P,ROW()+4),"")</f>
        <v/>
      </c>
      <c r="E245" s="33" t="str">
        <f>IF(INDEX('Calculator Cost per Bucata'!$Y:$Y,ROW()+4)=1,INDEX('Calculator Cost per Bucata'!$S:$S,ROW()+4),"")</f>
        <v/>
      </c>
      <c r="F245" s="33" t="str">
        <f>IF($A245="","",IF(N(INDEX('PI Furnizor'!$L:$L,ROW()+1))&gt;0,INDEX('PI Furnizor'!$L:$L,ROW()+1),""))</f>
        <v/>
      </c>
      <c r="G245" s="33" t="str">
        <f>IF($A245="","",IF(Comenzi!$D$6="Da",$D245,$E245))</f>
        <v/>
      </c>
      <c r="H245" s="33" t="str">
        <f>IF(OR($A245="",$F245=""),"",IF(Comenzi!$D$6="Da",IFERROR($F245/(1+INDEX('Calculator Cost per Bucata'!$AC:$AC,ROW()+4)),""),$F245))</f>
        <v/>
      </c>
      <c r="I245" s="46" t="str">
        <f t="shared" si="9"/>
        <v/>
      </c>
      <c r="J245" s="47" t="str">
        <f t="shared" si="10"/>
        <v/>
      </c>
      <c r="K245" s="48" t="str">
        <f t="shared" si="11"/>
        <v/>
      </c>
    </row>
    <row r="246" spans="1:11" x14ac:dyDescent="0.3">
      <c r="A246" s="28" t="str">
        <f>IF(INDEX('Calculator Cost per Bucata'!$A:$A,ROW()+4)="","",INDEX('Calculator Cost per Bucata'!$A:$A,ROW()+4))</f>
        <v/>
      </c>
      <c r="B246" s="28" t="str">
        <f>IF($A246="","",INDEX('Calculator Cost per Bucata'!$C:$C,ROW()+4))</f>
        <v/>
      </c>
      <c r="C246" s="28" t="str">
        <f>IF($A246="","",INDEX('Calculator Cost per Bucata'!$D:$D,ROW()+4))</f>
        <v/>
      </c>
      <c r="D246" s="33" t="str">
        <f>IF(INDEX('Calculator Cost per Bucata'!$Y:$Y,ROW()+4)=1,INDEX('Calculator Cost per Bucata'!$P:$P,ROW()+4),"")</f>
        <v/>
      </c>
      <c r="E246" s="33" t="str">
        <f>IF(INDEX('Calculator Cost per Bucata'!$Y:$Y,ROW()+4)=1,INDEX('Calculator Cost per Bucata'!$S:$S,ROW()+4),"")</f>
        <v/>
      </c>
      <c r="F246" s="33" t="str">
        <f>IF($A246="","",IF(N(INDEX('PI Furnizor'!$L:$L,ROW()+1))&gt;0,INDEX('PI Furnizor'!$L:$L,ROW()+1),""))</f>
        <v/>
      </c>
      <c r="G246" s="33" t="str">
        <f>IF($A246="","",IF(Comenzi!$D$6="Da",$D246,$E246))</f>
        <v/>
      </c>
      <c r="H246" s="33" t="str">
        <f>IF(OR($A246="",$F246=""),"",IF(Comenzi!$D$6="Da",IFERROR($F246/(1+INDEX('Calculator Cost per Bucata'!$AC:$AC,ROW()+4)),""),$F246))</f>
        <v/>
      </c>
      <c r="I246" s="46" t="str">
        <f t="shared" si="9"/>
        <v/>
      </c>
      <c r="J246" s="47" t="str">
        <f t="shared" si="10"/>
        <v/>
      </c>
      <c r="K246" s="48" t="str">
        <f t="shared" si="11"/>
        <v/>
      </c>
    </row>
    <row r="247" spans="1:11" x14ac:dyDescent="0.3">
      <c r="A247" s="28" t="str">
        <f>IF(INDEX('Calculator Cost per Bucata'!$A:$A,ROW()+4)="","",INDEX('Calculator Cost per Bucata'!$A:$A,ROW()+4))</f>
        <v/>
      </c>
      <c r="B247" s="28" t="str">
        <f>IF($A247="","",INDEX('Calculator Cost per Bucata'!$C:$C,ROW()+4))</f>
        <v/>
      </c>
      <c r="C247" s="28" t="str">
        <f>IF($A247="","",INDEX('Calculator Cost per Bucata'!$D:$D,ROW()+4))</f>
        <v/>
      </c>
      <c r="D247" s="33" t="str">
        <f>IF(INDEX('Calculator Cost per Bucata'!$Y:$Y,ROW()+4)=1,INDEX('Calculator Cost per Bucata'!$P:$P,ROW()+4),"")</f>
        <v/>
      </c>
      <c r="E247" s="33" t="str">
        <f>IF(INDEX('Calculator Cost per Bucata'!$Y:$Y,ROW()+4)=1,INDEX('Calculator Cost per Bucata'!$S:$S,ROW()+4),"")</f>
        <v/>
      </c>
      <c r="F247" s="33" t="str">
        <f>IF($A247="","",IF(N(INDEX('PI Furnizor'!$L:$L,ROW()+1))&gt;0,INDEX('PI Furnizor'!$L:$L,ROW()+1),""))</f>
        <v/>
      </c>
      <c r="G247" s="33" t="str">
        <f>IF($A247="","",IF(Comenzi!$D$6="Da",$D247,$E247))</f>
        <v/>
      </c>
      <c r="H247" s="33" t="str">
        <f>IF(OR($A247="",$F247=""),"",IF(Comenzi!$D$6="Da",IFERROR($F247/(1+INDEX('Calculator Cost per Bucata'!$AC:$AC,ROW()+4)),""),$F247))</f>
        <v/>
      </c>
      <c r="I247" s="46" t="str">
        <f t="shared" si="9"/>
        <v/>
      </c>
      <c r="J247" s="47" t="str">
        <f t="shared" si="10"/>
        <v/>
      </c>
      <c r="K247" s="48" t="str">
        <f t="shared" si="11"/>
        <v/>
      </c>
    </row>
    <row r="248" spans="1:11" x14ac:dyDescent="0.3">
      <c r="A248" s="28" t="str">
        <f>IF(INDEX('Calculator Cost per Bucata'!$A:$A,ROW()+4)="","",INDEX('Calculator Cost per Bucata'!$A:$A,ROW()+4))</f>
        <v/>
      </c>
      <c r="B248" s="28" t="str">
        <f>IF($A248="","",INDEX('Calculator Cost per Bucata'!$C:$C,ROW()+4))</f>
        <v/>
      </c>
      <c r="C248" s="28" t="str">
        <f>IF($A248="","",INDEX('Calculator Cost per Bucata'!$D:$D,ROW()+4))</f>
        <v/>
      </c>
      <c r="D248" s="33" t="str">
        <f>IF(INDEX('Calculator Cost per Bucata'!$Y:$Y,ROW()+4)=1,INDEX('Calculator Cost per Bucata'!$P:$P,ROW()+4),"")</f>
        <v/>
      </c>
      <c r="E248" s="33" t="str">
        <f>IF(INDEX('Calculator Cost per Bucata'!$Y:$Y,ROW()+4)=1,INDEX('Calculator Cost per Bucata'!$S:$S,ROW()+4),"")</f>
        <v/>
      </c>
      <c r="F248" s="33" t="str">
        <f>IF($A248="","",IF(N(INDEX('PI Furnizor'!$L:$L,ROW()+1))&gt;0,INDEX('PI Furnizor'!$L:$L,ROW()+1),""))</f>
        <v/>
      </c>
      <c r="G248" s="33" t="str">
        <f>IF($A248="","",IF(Comenzi!$D$6="Da",$D248,$E248))</f>
        <v/>
      </c>
      <c r="H248" s="33" t="str">
        <f>IF(OR($A248="",$F248=""),"",IF(Comenzi!$D$6="Da",IFERROR($F248/(1+INDEX('Calculator Cost per Bucata'!$AC:$AC,ROW()+4)),""),$F248))</f>
        <v/>
      </c>
      <c r="I248" s="46" t="str">
        <f t="shared" si="9"/>
        <v/>
      </c>
      <c r="J248" s="47" t="str">
        <f t="shared" si="10"/>
        <v/>
      </c>
      <c r="K248" s="48" t="str">
        <f t="shared" si="11"/>
        <v/>
      </c>
    </row>
    <row r="249" spans="1:11" x14ac:dyDescent="0.3">
      <c r="A249" s="28" t="str">
        <f>IF(INDEX('Calculator Cost per Bucata'!$A:$A,ROW()+4)="","",INDEX('Calculator Cost per Bucata'!$A:$A,ROW()+4))</f>
        <v/>
      </c>
      <c r="B249" s="28" t="str">
        <f>IF($A249="","",INDEX('Calculator Cost per Bucata'!$C:$C,ROW()+4))</f>
        <v/>
      </c>
      <c r="C249" s="28" t="str">
        <f>IF($A249="","",INDEX('Calculator Cost per Bucata'!$D:$D,ROW()+4))</f>
        <v/>
      </c>
      <c r="D249" s="33" t="str">
        <f>IF(INDEX('Calculator Cost per Bucata'!$Y:$Y,ROW()+4)=1,INDEX('Calculator Cost per Bucata'!$P:$P,ROW()+4),"")</f>
        <v/>
      </c>
      <c r="E249" s="33" t="str">
        <f>IF(INDEX('Calculator Cost per Bucata'!$Y:$Y,ROW()+4)=1,INDEX('Calculator Cost per Bucata'!$S:$S,ROW()+4),"")</f>
        <v/>
      </c>
      <c r="F249" s="33" t="str">
        <f>IF($A249="","",IF(N(INDEX('PI Furnizor'!$L:$L,ROW()+1))&gt;0,INDEX('PI Furnizor'!$L:$L,ROW()+1),""))</f>
        <v/>
      </c>
      <c r="G249" s="33" t="str">
        <f>IF($A249="","",IF(Comenzi!$D$6="Da",$D249,$E249))</f>
        <v/>
      </c>
      <c r="H249" s="33" t="str">
        <f>IF(OR($A249="",$F249=""),"",IF(Comenzi!$D$6="Da",IFERROR($F249/(1+INDEX('Calculator Cost per Bucata'!$AC:$AC,ROW()+4)),""),$F249))</f>
        <v/>
      </c>
      <c r="I249" s="46" t="str">
        <f t="shared" si="9"/>
        <v/>
      </c>
      <c r="J249" s="47" t="str">
        <f t="shared" si="10"/>
        <v/>
      </c>
      <c r="K249" s="48" t="str">
        <f t="shared" si="11"/>
        <v/>
      </c>
    </row>
    <row r="250" spans="1:11" x14ac:dyDescent="0.3">
      <c r="A250" s="28" t="str">
        <f>IF(INDEX('Calculator Cost per Bucata'!$A:$A,ROW()+4)="","",INDEX('Calculator Cost per Bucata'!$A:$A,ROW()+4))</f>
        <v/>
      </c>
      <c r="B250" s="28" t="str">
        <f>IF($A250="","",INDEX('Calculator Cost per Bucata'!$C:$C,ROW()+4))</f>
        <v/>
      </c>
      <c r="C250" s="28" t="str">
        <f>IF($A250="","",INDEX('Calculator Cost per Bucata'!$D:$D,ROW()+4))</f>
        <v/>
      </c>
      <c r="D250" s="33" t="str">
        <f>IF(INDEX('Calculator Cost per Bucata'!$Y:$Y,ROW()+4)=1,INDEX('Calculator Cost per Bucata'!$P:$P,ROW()+4),"")</f>
        <v/>
      </c>
      <c r="E250" s="33" t="str">
        <f>IF(INDEX('Calculator Cost per Bucata'!$Y:$Y,ROW()+4)=1,INDEX('Calculator Cost per Bucata'!$S:$S,ROW()+4),"")</f>
        <v/>
      </c>
      <c r="F250" s="33" t="str">
        <f>IF($A250="","",IF(N(INDEX('PI Furnizor'!$L:$L,ROW()+1))&gt;0,INDEX('PI Furnizor'!$L:$L,ROW()+1),""))</f>
        <v/>
      </c>
      <c r="G250" s="33" t="str">
        <f>IF($A250="","",IF(Comenzi!$D$6="Da",$D250,$E250))</f>
        <v/>
      </c>
      <c r="H250" s="33" t="str">
        <f>IF(OR($A250="",$F250=""),"",IF(Comenzi!$D$6="Da",IFERROR($F250/(1+INDEX('Calculator Cost per Bucata'!$AC:$AC,ROW()+4)),""),$F250))</f>
        <v/>
      </c>
      <c r="I250" s="46" t="str">
        <f t="shared" si="9"/>
        <v/>
      </c>
      <c r="J250" s="47" t="str">
        <f t="shared" si="10"/>
        <v/>
      </c>
      <c r="K250" s="48" t="str">
        <f t="shared" si="11"/>
        <v/>
      </c>
    </row>
    <row r="251" spans="1:11" x14ac:dyDescent="0.3">
      <c r="A251" s="28" t="str">
        <f>IF(INDEX('Calculator Cost per Bucata'!$A:$A,ROW()+4)="","",INDEX('Calculator Cost per Bucata'!$A:$A,ROW()+4))</f>
        <v/>
      </c>
      <c r="B251" s="28" t="str">
        <f>IF($A251="","",INDEX('Calculator Cost per Bucata'!$C:$C,ROW()+4))</f>
        <v/>
      </c>
      <c r="C251" s="28" t="str">
        <f>IF($A251="","",INDEX('Calculator Cost per Bucata'!$D:$D,ROW()+4))</f>
        <v/>
      </c>
      <c r="D251" s="33" t="str">
        <f>IF(INDEX('Calculator Cost per Bucata'!$Y:$Y,ROW()+4)=1,INDEX('Calculator Cost per Bucata'!$P:$P,ROW()+4),"")</f>
        <v/>
      </c>
      <c r="E251" s="33" t="str">
        <f>IF(INDEX('Calculator Cost per Bucata'!$Y:$Y,ROW()+4)=1,INDEX('Calculator Cost per Bucata'!$S:$S,ROW()+4),"")</f>
        <v/>
      </c>
      <c r="F251" s="33" t="str">
        <f>IF($A251="","",IF(N(INDEX('PI Furnizor'!$L:$L,ROW()+1))&gt;0,INDEX('PI Furnizor'!$L:$L,ROW()+1),""))</f>
        <v/>
      </c>
      <c r="G251" s="33" t="str">
        <f>IF($A251="","",IF(Comenzi!$D$6="Da",$D251,$E251))</f>
        <v/>
      </c>
      <c r="H251" s="33" t="str">
        <f>IF(OR($A251="",$F251=""),"",IF(Comenzi!$D$6="Da",IFERROR($F251/(1+INDEX('Calculator Cost per Bucata'!$AC:$AC,ROW()+4)),""),$F251))</f>
        <v/>
      </c>
      <c r="I251" s="46" t="str">
        <f t="shared" si="9"/>
        <v/>
      </c>
      <c r="J251" s="47" t="str">
        <f t="shared" si="10"/>
        <v/>
      </c>
      <c r="K251" s="48" t="str">
        <f t="shared" si="11"/>
        <v/>
      </c>
    </row>
    <row r="252" spans="1:11" x14ac:dyDescent="0.3">
      <c r="A252" s="28" t="str">
        <f>IF(INDEX('Calculator Cost per Bucata'!$A:$A,ROW()+4)="","",INDEX('Calculator Cost per Bucata'!$A:$A,ROW()+4))</f>
        <v/>
      </c>
      <c r="B252" s="28" t="str">
        <f>IF($A252="","",INDEX('Calculator Cost per Bucata'!$C:$C,ROW()+4))</f>
        <v/>
      </c>
      <c r="C252" s="28" t="str">
        <f>IF($A252="","",INDEX('Calculator Cost per Bucata'!$D:$D,ROW()+4))</f>
        <v/>
      </c>
      <c r="D252" s="33" t="str">
        <f>IF(INDEX('Calculator Cost per Bucata'!$Y:$Y,ROW()+4)=1,INDEX('Calculator Cost per Bucata'!$P:$P,ROW()+4),"")</f>
        <v/>
      </c>
      <c r="E252" s="33" t="str">
        <f>IF(INDEX('Calculator Cost per Bucata'!$Y:$Y,ROW()+4)=1,INDEX('Calculator Cost per Bucata'!$S:$S,ROW()+4),"")</f>
        <v/>
      </c>
      <c r="F252" s="33" t="str">
        <f>IF($A252="","",IF(N(INDEX('PI Furnizor'!$L:$L,ROW()+1))&gt;0,INDEX('PI Furnizor'!$L:$L,ROW()+1),""))</f>
        <v/>
      </c>
      <c r="G252" s="33" t="str">
        <f>IF($A252="","",IF(Comenzi!$D$6="Da",$D252,$E252))</f>
        <v/>
      </c>
      <c r="H252" s="33" t="str">
        <f>IF(OR($A252="",$F252=""),"",IF(Comenzi!$D$6="Da",IFERROR($F252/(1+INDEX('Calculator Cost per Bucata'!$AC:$AC,ROW()+4)),""),$F252))</f>
        <v/>
      </c>
      <c r="I252" s="46" t="str">
        <f t="shared" si="9"/>
        <v/>
      </c>
      <c r="J252" s="47" t="str">
        <f t="shared" si="10"/>
        <v/>
      </c>
      <c r="K252" s="48" t="str">
        <f t="shared" si="11"/>
        <v/>
      </c>
    </row>
    <row r="253" spans="1:11" x14ac:dyDescent="0.3">
      <c r="A253" s="28" t="str">
        <f>IF(INDEX('Calculator Cost per Bucata'!$A:$A,ROW()+4)="","",INDEX('Calculator Cost per Bucata'!$A:$A,ROW()+4))</f>
        <v/>
      </c>
      <c r="B253" s="28" t="str">
        <f>IF($A253="","",INDEX('Calculator Cost per Bucata'!$C:$C,ROW()+4))</f>
        <v/>
      </c>
      <c r="C253" s="28" t="str">
        <f>IF($A253="","",INDEX('Calculator Cost per Bucata'!$D:$D,ROW()+4))</f>
        <v/>
      </c>
      <c r="D253" s="33" t="str">
        <f>IF(INDEX('Calculator Cost per Bucata'!$Y:$Y,ROW()+4)=1,INDEX('Calculator Cost per Bucata'!$P:$P,ROW()+4),"")</f>
        <v/>
      </c>
      <c r="E253" s="33" t="str">
        <f>IF(INDEX('Calculator Cost per Bucata'!$Y:$Y,ROW()+4)=1,INDEX('Calculator Cost per Bucata'!$S:$S,ROW()+4),"")</f>
        <v/>
      </c>
      <c r="F253" s="33" t="str">
        <f>IF($A253="","",IF(N(INDEX('PI Furnizor'!$L:$L,ROW()+1))&gt;0,INDEX('PI Furnizor'!$L:$L,ROW()+1),""))</f>
        <v/>
      </c>
      <c r="G253" s="33" t="str">
        <f>IF($A253="","",IF(Comenzi!$D$6="Da",$D253,$E253))</f>
        <v/>
      </c>
      <c r="H253" s="33" t="str">
        <f>IF(OR($A253="",$F253=""),"",IF(Comenzi!$D$6="Da",IFERROR($F253/(1+INDEX('Calculator Cost per Bucata'!$AC:$AC,ROW()+4)),""),$F253))</f>
        <v/>
      </c>
      <c r="I253" s="46" t="str">
        <f t="shared" si="9"/>
        <v/>
      </c>
      <c r="J253" s="47" t="str">
        <f t="shared" si="10"/>
        <v/>
      </c>
      <c r="K253" s="48" t="str">
        <f t="shared" si="11"/>
        <v/>
      </c>
    </row>
    <row r="254" spans="1:11" x14ac:dyDescent="0.3">
      <c r="A254" s="28" t="str">
        <f>IF(INDEX('Calculator Cost per Bucata'!$A:$A,ROW()+4)="","",INDEX('Calculator Cost per Bucata'!$A:$A,ROW()+4))</f>
        <v/>
      </c>
      <c r="B254" s="28" t="str">
        <f>IF($A254="","",INDEX('Calculator Cost per Bucata'!$C:$C,ROW()+4))</f>
        <v/>
      </c>
      <c r="C254" s="28" t="str">
        <f>IF($A254="","",INDEX('Calculator Cost per Bucata'!$D:$D,ROW()+4))</f>
        <v/>
      </c>
      <c r="D254" s="33" t="str">
        <f>IF(INDEX('Calculator Cost per Bucata'!$Y:$Y,ROW()+4)=1,INDEX('Calculator Cost per Bucata'!$P:$P,ROW()+4),"")</f>
        <v/>
      </c>
      <c r="E254" s="33" t="str">
        <f>IF(INDEX('Calculator Cost per Bucata'!$Y:$Y,ROW()+4)=1,INDEX('Calculator Cost per Bucata'!$S:$S,ROW()+4),"")</f>
        <v/>
      </c>
      <c r="F254" s="33" t="str">
        <f>IF($A254="","",IF(N(INDEX('PI Furnizor'!$L:$L,ROW()+1))&gt;0,INDEX('PI Furnizor'!$L:$L,ROW()+1),""))</f>
        <v/>
      </c>
      <c r="G254" s="33" t="str">
        <f>IF($A254="","",IF(Comenzi!$D$6="Da",$D254,$E254))</f>
        <v/>
      </c>
      <c r="H254" s="33" t="str">
        <f>IF(OR($A254="",$F254=""),"",IF(Comenzi!$D$6="Da",IFERROR($F254/(1+INDEX('Calculator Cost per Bucata'!$AC:$AC,ROW()+4)),""),$F254))</f>
        <v/>
      </c>
      <c r="I254" s="46" t="str">
        <f t="shared" si="9"/>
        <v/>
      </c>
      <c r="J254" s="47" t="str">
        <f t="shared" si="10"/>
        <v/>
      </c>
      <c r="K254" s="48" t="str">
        <f t="shared" si="11"/>
        <v/>
      </c>
    </row>
    <row r="255" spans="1:11" x14ac:dyDescent="0.3">
      <c r="A255" s="28" t="str">
        <f>IF(INDEX('Calculator Cost per Bucata'!$A:$A,ROW()+4)="","",INDEX('Calculator Cost per Bucata'!$A:$A,ROW()+4))</f>
        <v/>
      </c>
      <c r="B255" s="28" t="str">
        <f>IF($A255="","",INDEX('Calculator Cost per Bucata'!$C:$C,ROW()+4))</f>
        <v/>
      </c>
      <c r="C255" s="28" t="str">
        <f>IF($A255="","",INDEX('Calculator Cost per Bucata'!$D:$D,ROW()+4))</f>
        <v/>
      </c>
      <c r="D255" s="33" t="str">
        <f>IF(INDEX('Calculator Cost per Bucata'!$Y:$Y,ROW()+4)=1,INDEX('Calculator Cost per Bucata'!$P:$P,ROW()+4),"")</f>
        <v/>
      </c>
      <c r="E255" s="33" t="str">
        <f>IF(INDEX('Calculator Cost per Bucata'!$Y:$Y,ROW()+4)=1,INDEX('Calculator Cost per Bucata'!$S:$S,ROW()+4),"")</f>
        <v/>
      </c>
      <c r="F255" s="33" t="str">
        <f>IF($A255="","",IF(N(INDEX('PI Furnizor'!$L:$L,ROW()+1))&gt;0,INDEX('PI Furnizor'!$L:$L,ROW()+1),""))</f>
        <v/>
      </c>
      <c r="G255" s="33" t="str">
        <f>IF($A255="","",IF(Comenzi!$D$6="Da",$D255,$E255))</f>
        <v/>
      </c>
      <c r="H255" s="33" t="str">
        <f>IF(OR($A255="",$F255=""),"",IF(Comenzi!$D$6="Da",IFERROR($F255/(1+INDEX('Calculator Cost per Bucata'!$AC:$AC,ROW()+4)),""),$F255))</f>
        <v/>
      </c>
      <c r="I255" s="46" t="str">
        <f t="shared" si="9"/>
        <v/>
      </c>
      <c r="J255" s="47" t="str">
        <f t="shared" si="10"/>
        <v/>
      </c>
      <c r="K255" s="48" t="str">
        <f t="shared" si="11"/>
        <v/>
      </c>
    </row>
    <row r="256" spans="1:11" x14ac:dyDescent="0.3">
      <c r="A256" s="28" t="str">
        <f>IF(INDEX('Calculator Cost per Bucata'!$A:$A,ROW()+4)="","",INDEX('Calculator Cost per Bucata'!$A:$A,ROW()+4))</f>
        <v/>
      </c>
      <c r="B256" s="28" t="str">
        <f>IF($A256="","",INDEX('Calculator Cost per Bucata'!$C:$C,ROW()+4))</f>
        <v/>
      </c>
      <c r="C256" s="28" t="str">
        <f>IF($A256="","",INDEX('Calculator Cost per Bucata'!$D:$D,ROW()+4))</f>
        <v/>
      </c>
      <c r="D256" s="33" t="str">
        <f>IF(INDEX('Calculator Cost per Bucata'!$Y:$Y,ROW()+4)=1,INDEX('Calculator Cost per Bucata'!$P:$P,ROW()+4),"")</f>
        <v/>
      </c>
      <c r="E256" s="33" t="str">
        <f>IF(INDEX('Calculator Cost per Bucata'!$Y:$Y,ROW()+4)=1,INDEX('Calculator Cost per Bucata'!$S:$S,ROW()+4),"")</f>
        <v/>
      </c>
      <c r="F256" s="33" t="str">
        <f>IF($A256="","",IF(N(INDEX('PI Furnizor'!$L:$L,ROW()+1))&gt;0,INDEX('PI Furnizor'!$L:$L,ROW()+1),""))</f>
        <v/>
      </c>
      <c r="G256" s="33" t="str">
        <f>IF($A256="","",IF(Comenzi!$D$6="Da",$D256,$E256))</f>
        <v/>
      </c>
      <c r="H256" s="33" t="str">
        <f>IF(OR($A256="",$F256=""),"",IF(Comenzi!$D$6="Da",IFERROR($F256/(1+INDEX('Calculator Cost per Bucata'!$AC:$AC,ROW()+4)),""),$F256))</f>
        <v/>
      </c>
      <c r="I256" s="46" t="str">
        <f t="shared" si="9"/>
        <v/>
      </c>
      <c r="J256" s="47" t="str">
        <f t="shared" si="10"/>
        <v/>
      </c>
      <c r="K256" s="48" t="str">
        <f t="shared" si="11"/>
        <v/>
      </c>
    </row>
    <row r="257" spans="1:11" x14ac:dyDescent="0.3">
      <c r="A257" s="28" t="str">
        <f>IF(INDEX('Calculator Cost per Bucata'!$A:$A,ROW()+4)="","",INDEX('Calculator Cost per Bucata'!$A:$A,ROW()+4))</f>
        <v/>
      </c>
      <c r="B257" s="28" t="str">
        <f>IF($A257="","",INDEX('Calculator Cost per Bucata'!$C:$C,ROW()+4))</f>
        <v/>
      </c>
      <c r="C257" s="28" t="str">
        <f>IF($A257="","",INDEX('Calculator Cost per Bucata'!$D:$D,ROW()+4))</f>
        <v/>
      </c>
      <c r="D257" s="33" t="str">
        <f>IF(INDEX('Calculator Cost per Bucata'!$Y:$Y,ROW()+4)=1,INDEX('Calculator Cost per Bucata'!$P:$P,ROW()+4),"")</f>
        <v/>
      </c>
      <c r="E257" s="33" t="str">
        <f>IF(INDEX('Calculator Cost per Bucata'!$Y:$Y,ROW()+4)=1,INDEX('Calculator Cost per Bucata'!$S:$S,ROW()+4),"")</f>
        <v/>
      </c>
      <c r="F257" s="33" t="str">
        <f>IF($A257="","",IF(N(INDEX('PI Furnizor'!$L:$L,ROW()+1))&gt;0,INDEX('PI Furnizor'!$L:$L,ROW()+1),""))</f>
        <v/>
      </c>
      <c r="G257" s="33" t="str">
        <f>IF($A257="","",IF(Comenzi!$D$6="Da",$D257,$E257))</f>
        <v/>
      </c>
      <c r="H257" s="33" t="str">
        <f>IF(OR($A257="",$F257=""),"",IF(Comenzi!$D$6="Da",IFERROR($F257/(1+INDEX('Calculator Cost per Bucata'!$AC:$AC,ROW()+4)),""),$F257))</f>
        <v/>
      </c>
      <c r="I257" s="46" t="str">
        <f t="shared" si="9"/>
        <v/>
      </c>
      <c r="J257" s="47" t="str">
        <f t="shared" si="10"/>
        <v/>
      </c>
      <c r="K257" s="48" t="str">
        <f t="shared" si="11"/>
        <v/>
      </c>
    </row>
    <row r="258" spans="1:11" x14ac:dyDescent="0.3">
      <c r="A258" s="28" t="str">
        <f>IF(INDEX('Calculator Cost per Bucata'!$A:$A,ROW()+4)="","",INDEX('Calculator Cost per Bucata'!$A:$A,ROW()+4))</f>
        <v/>
      </c>
      <c r="B258" s="28" t="str">
        <f>IF($A258="","",INDEX('Calculator Cost per Bucata'!$C:$C,ROW()+4))</f>
        <v/>
      </c>
      <c r="C258" s="28" t="str">
        <f>IF($A258="","",INDEX('Calculator Cost per Bucata'!$D:$D,ROW()+4))</f>
        <v/>
      </c>
      <c r="D258" s="33" t="str">
        <f>IF(INDEX('Calculator Cost per Bucata'!$Y:$Y,ROW()+4)=1,INDEX('Calculator Cost per Bucata'!$P:$P,ROW()+4),"")</f>
        <v/>
      </c>
      <c r="E258" s="33" t="str">
        <f>IF(INDEX('Calculator Cost per Bucata'!$Y:$Y,ROW()+4)=1,INDEX('Calculator Cost per Bucata'!$S:$S,ROW()+4),"")</f>
        <v/>
      </c>
      <c r="F258" s="33" t="str">
        <f>IF($A258="","",IF(N(INDEX('PI Furnizor'!$L:$L,ROW()+1))&gt;0,INDEX('PI Furnizor'!$L:$L,ROW()+1),""))</f>
        <v/>
      </c>
      <c r="G258" s="33" t="str">
        <f>IF($A258="","",IF(Comenzi!$D$6="Da",$D258,$E258))</f>
        <v/>
      </c>
      <c r="H258" s="33" t="str">
        <f>IF(OR($A258="",$F258=""),"",IF(Comenzi!$D$6="Da",IFERROR($F258/(1+INDEX('Calculator Cost per Bucata'!$AC:$AC,ROW()+4)),""),$F258))</f>
        <v/>
      </c>
      <c r="I258" s="46" t="str">
        <f t="shared" si="9"/>
        <v/>
      </c>
      <c r="J258" s="47" t="str">
        <f t="shared" si="10"/>
        <v/>
      </c>
      <c r="K258" s="48" t="str">
        <f t="shared" si="11"/>
        <v/>
      </c>
    </row>
    <row r="259" spans="1:11" x14ac:dyDescent="0.3">
      <c r="A259" s="28" t="str">
        <f>IF(INDEX('Calculator Cost per Bucata'!$A:$A,ROW()+4)="","",INDEX('Calculator Cost per Bucata'!$A:$A,ROW()+4))</f>
        <v/>
      </c>
      <c r="B259" s="28" t="str">
        <f>IF($A259="","",INDEX('Calculator Cost per Bucata'!$C:$C,ROW()+4))</f>
        <v/>
      </c>
      <c r="C259" s="28" t="str">
        <f>IF($A259="","",INDEX('Calculator Cost per Bucata'!$D:$D,ROW()+4))</f>
        <v/>
      </c>
      <c r="D259" s="33" t="str">
        <f>IF(INDEX('Calculator Cost per Bucata'!$Y:$Y,ROW()+4)=1,INDEX('Calculator Cost per Bucata'!$P:$P,ROW()+4),"")</f>
        <v/>
      </c>
      <c r="E259" s="33" t="str">
        <f>IF(INDEX('Calculator Cost per Bucata'!$Y:$Y,ROW()+4)=1,INDEX('Calculator Cost per Bucata'!$S:$S,ROW()+4),"")</f>
        <v/>
      </c>
      <c r="F259" s="33" t="str">
        <f>IF($A259="","",IF(N(INDEX('PI Furnizor'!$L:$L,ROW()+1))&gt;0,INDEX('PI Furnizor'!$L:$L,ROW()+1),""))</f>
        <v/>
      </c>
      <c r="G259" s="33" t="str">
        <f>IF($A259="","",IF(Comenzi!$D$6="Da",$D259,$E259))</f>
        <v/>
      </c>
      <c r="H259" s="33" t="str">
        <f>IF(OR($A259="",$F259=""),"",IF(Comenzi!$D$6="Da",IFERROR($F259/(1+INDEX('Calculator Cost per Bucata'!$AC:$AC,ROW()+4)),""),$F259))</f>
        <v/>
      </c>
      <c r="I259" s="46" t="str">
        <f t="shared" si="9"/>
        <v/>
      </c>
      <c r="J259" s="47" t="str">
        <f t="shared" si="10"/>
        <v/>
      </c>
      <c r="K259" s="48" t="str">
        <f t="shared" si="11"/>
        <v/>
      </c>
    </row>
    <row r="260" spans="1:11" x14ac:dyDescent="0.3">
      <c r="A260" s="28" t="str">
        <f>IF(INDEX('Calculator Cost per Bucata'!$A:$A,ROW()+4)="","",INDEX('Calculator Cost per Bucata'!$A:$A,ROW()+4))</f>
        <v/>
      </c>
      <c r="B260" s="28" t="str">
        <f>IF($A260="","",INDEX('Calculator Cost per Bucata'!$C:$C,ROW()+4))</f>
        <v/>
      </c>
      <c r="C260" s="28" t="str">
        <f>IF($A260="","",INDEX('Calculator Cost per Bucata'!$D:$D,ROW()+4))</f>
        <v/>
      </c>
      <c r="D260" s="33" t="str">
        <f>IF(INDEX('Calculator Cost per Bucata'!$Y:$Y,ROW()+4)=1,INDEX('Calculator Cost per Bucata'!$P:$P,ROW()+4),"")</f>
        <v/>
      </c>
      <c r="E260" s="33" t="str">
        <f>IF(INDEX('Calculator Cost per Bucata'!$Y:$Y,ROW()+4)=1,INDEX('Calculator Cost per Bucata'!$S:$S,ROW()+4),"")</f>
        <v/>
      </c>
      <c r="F260" s="33" t="str">
        <f>IF($A260="","",IF(N(INDEX('PI Furnizor'!$L:$L,ROW()+1))&gt;0,INDEX('PI Furnizor'!$L:$L,ROW()+1),""))</f>
        <v/>
      </c>
      <c r="G260" s="33" t="str">
        <f>IF($A260="","",IF(Comenzi!$D$6="Da",$D260,$E260))</f>
        <v/>
      </c>
      <c r="H260" s="33" t="str">
        <f>IF(OR($A260="",$F260=""),"",IF(Comenzi!$D$6="Da",IFERROR($F260/(1+INDEX('Calculator Cost per Bucata'!$AC:$AC,ROW()+4)),""),$F260))</f>
        <v/>
      </c>
      <c r="I260" s="46" t="str">
        <f t="shared" si="9"/>
        <v/>
      </c>
      <c r="J260" s="47" t="str">
        <f t="shared" si="10"/>
        <v/>
      </c>
      <c r="K260" s="48" t="str">
        <f t="shared" si="11"/>
        <v/>
      </c>
    </row>
    <row r="261" spans="1:11" x14ac:dyDescent="0.3">
      <c r="A261" s="28" t="str">
        <f>IF(INDEX('Calculator Cost per Bucata'!$A:$A,ROW()+4)="","",INDEX('Calculator Cost per Bucata'!$A:$A,ROW()+4))</f>
        <v/>
      </c>
      <c r="B261" s="28" t="str">
        <f>IF($A261="","",INDEX('Calculator Cost per Bucata'!$C:$C,ROW()+4))</f>
        <v/>
      </c>
      <c r="C261" s="28" t="str">
        <f>IF($A261="","",INDEX('Calculator Cost per Bucata'!$D:$D,ROW()+4))</f>
        <v/>
      </c>
      <c r="D261" s="33" t="str">
        <f>IF(INDEX('Calculator Cost per Bucata'!$Y:$Y,ROW()+4)=1,INDEX('Calculator Cost per Bucata'!$P:$P,ROW()+4),"")</f>
        <v/>
      </c>
      <c r="E261" s="33" t="str">
        <f>IF(INDEX('Calculator Cost per Bucata'!$Y:$Y,ROW()+4)=1,INDEX('Calculator Cost per Bucata'!$S:$S,ROW()+4),"")</f>
        <v/>
      </c>
      <c r="F261" s="33" t="str">
        <f>IF($A261="","",IF(N(INDEX('PI Furnizor'!$L:$L,ROW()+1))&gt;0,INDEX('PI Furnizor'!$L:$L,ROW()+1),""))</f>
        <v/>
      </c>
      <c r="G261" s="33" t="str">
        <f>IF($A261="","",IF(Comenzi!$D$6="Da",$D261,$E261))</f>
        <v/>
      </c>
      <c r="H261" s="33" t="str">
        <f>IF(OR($A261="",$F261=""),"",IF(Comenzi!$D$6="Da",IFERROR($F261/(1+INDEX('Calculator Cost per Bucata'!$AC:$AC,ROW()+4)),""),$F261))</f>
        <v/>
      </c>
      <c r="I261" s="46" t="str">
        <f t="shared" si="9"/>
        <v/>
      </c>
      <c r="J261" s="47" t="str">
        <f t="shared" si="10"/>
        <v/>
      </c>
      <c r="K261" s="48" t="str">
        <f t="shared" si="11"/>
        <v/>
      </c>
    </row>
    <row r="262" spans="1:11" x14ac:dyDescent="0.3">
      <c r="A262" s="28" t="str">
        <f>IF(INDEX('Calculator Cost per Bucata'!$A:$A,ROW()+4)="","",INDEX('Calculator Cost per Bucata'!$A:$A,ROW()+4))</f>
        <v/>
      </c>
      <c r="B262" s="28" t="str">
        <f>IF($A262="","",INDEX('Calculator Cost per Bucata'!$C:$C,ROW()+4))</f>
        <v/>
      </c>
      <c r="C262" s="28" t="str">
        <f>IF($A262="","",INDEX('Calculator Cost per Bucata'!$D:$D,ROW()+4))</f>
        <v/>
      </c>
      <c r="D262" s="33" t="str">
        <f>IF(INDEX('Calculator Cost per Bucata'!$Y:$Y,ROW()+4)=1,INDEX('Calculator Cost per Bucata'!$P:$P,ROW()+4),"")</f>
        <v/>
      </c>
      <c r="E262" s="33" t="str">
        <f>IF(INDEX('Calculator Cost per Bucata'!$Y:$Y,ROW()+4)=1,INDEX('Calculator Cost per Bucata'!$S:$S,ROW()+4),"")</f>
        <v/>
      </c>
      <c r="F262" s="33" t="str">
        <f>IF($A262="","",IF(N(INDEX('PI Furnizor'!$L:$L,ROW()+1))&gt;0,INDEX('PI Furnizor'!$L:$L,ROW()+1),""))</f>
        <v/>
      </c>
      <c r="G262" s="33" t="str">
        <f>IF($A262="","",IF(Comenzi!$D$6="Da",$D262,$E262))</f>
        <v/>
      </c>
      <c r="H262" s="33" t="str">
        <f>IF(OR($A262="",$F262=""),"",IF(Comenzi!$D$6="Da",IFERROR($F262/(1+INDEX('Calculator Cost per Bucata'!$AC:$AC,ROW()+4)),""),$F262))</f>
        <v/>
      </c>
      <c r="I262" s="46" t="str">
        <f t="shared" ref="I262:I325" si="12">IF(OR($G262="",$H262=""),"",$H262-$G262)</f>
        <v/>
      </c>
      <c r="J262" s="47" t="str">
        <f t="shared" ref="J262:J325" si="13">IF(OR($G262="",$H262=""),"",($H262-$G262)/$H262)</f>
        <v/>
      </c>
      <c r="K262" s="48" t="str">
        <f t="shared" ref="K262:K325" si="14">IF($A262="","",IF($G262="","Date incomplete - vezi Calculator",IF($H262="","Introdu pretul RO (PI Furnizor, col. L)",IF($H262&gt;$G262*1.15,"Import avantajos - marja buna",IF($H262&gt;$G262,"Import usor avantajos - marja mica","Piata RO mai ieftina - verifica")))))</f>
        <v/>
      </c>
    </row>
    <row r="263" spans="1:11" x14ac:dyDescent="0.3">
      <c r="A263" s="28" t="str">
        <f>IF(INDEX('Calculator Cost per Bucata'!$A:$A,ROW()+4)="","",INDEX('Calculator Cost per Bucata'!$A:$A,ROW()+4))</f>
        <v/>
      </c>
      <c r="B263" s="28" t="str">
        <f>IF($A263="","",INDEX('Calculator Cost per Bucata'!$C:$C,ROW()+4))</f>
        <v/>
      </c>
      <c r="C263" s="28" t="str">
        <f>IF($A263="","",INDEX('Calculator Cost per Bucata'!$D:$D,ROW()+4))</f>
        <v/>
      </c>
      <c r="D263" s="33" t="str">
        <f>IF(INDEX('Calculator Cost per Bucata'!$Y:$Y,ROW()+4)=1,INDEX('Calculator Cost per Bucata'!$P:$P,ROW()+4),"")</f>
        <v/>
      </c>
      <c r="E263" s="33" t="str">
        <f>IF(INDEX('Calculator Cost per Bucata'!$Y:$Y,ROW()+4)=1,INDEX('Calculator Cost per Bucata'!$S:$S,ROW()+4),"")</f>
        <v/>
      </c>
      <c r="F263" s="33" t="str">
        <f>IF($A263="","",IF(N(INDEX('PI Furnizor'!$L:$L,ROW()+1))&gt;0,INDEX('PI Furnizor'!$L:$L,ROW()+1),""))</f>
        <v/>
      </c>
      <c r="G263" s="33" t="str">
        <f>IF($A263="","",IF(Comenzi!$D$6="Da",$D263,$E263))</f>
        <v/>
      </c>
      <c r="H263" s="33" t="str">
        <f>IF(OR($A263="",$F263=""),"",IF(Comenzi!$D$6="Da",IFERROR($F263/(1+INDEX('Calculator Cost per Bucata'!$AC:$AC,ROW()+4)),""),$F263))</f>
        <v/>
      </c>
      <c r="I263" s="46" t="str">
        <f t="shared" si="12"/>
        <v/>
      </c>
      <c r="J263" s="47" t="str">
        <f t="shared" si="13"/>
        <v/>
      </c>
      <c r="K263" s="48" t="str">
        <f t="shared" si="14"/>
        <v/>
      </c>
    </row>
    <row r="264" spans="1:11" x14ac:dyDescent="0.3">
      <c r="A264" s="28" t="str">
        <f>IF(INDEX('Calculator Cost per Bucata'!$A:$A,ROW()+4)="","",INDEX('Calculator Cost per Bucata'!$A:$A,ROW()+4))</f>
        <v/>
      </c>
      <c r="B264" s="28" t="str">
        <f>IF($A264="","",INDEX('Calculator Cost per Bucata'!$C:$C,ROW()+4))</f>
        <v/>
      </c>
      <c r="C264" s="28" t="str">
        <f>IF($A264="","",INDEX('Calculator Cost per Bucata'!$D:$D,ROW()+4))</f>
        <v/>
      </c>
      <c r="D264" s="33" t="str">
        <f>IF(INDEX('Calculator Cost per Bucata'!$Y:$Y,ROW()+4)=1,INDEX('Calculator Cost per Bucata'!$P:$P,ROW()+4),"")</f>
        <v/>
      </c>
      <c r="E264" s="33" t="str">
        <f>IF(INDEX('Calculator Cost per Bucata'!$Y:$Y,ROW()+4)=1,INDEX('Calculator Cost per Bucata'!$S:$S,ROW()+4),"")</f>
        <v/>
      </c>
      <c r="F264" s="33" t="str">
        <f>IF($A264="","",IF(N(INDEX('PI Furnizor'!$L:$L,ROW()+1))&gt;0,INDEX('PI Furnizor'!$L:$L,ROW()+1),""))</f>
        <v/>
      </c>
      <c r="G264" s="33" t="str">
        <f>IF($A264="","",IF(Comenzi!$D$6="Da",$D264,$E264))</f>
        <v/>
      </c>
      <c r="H264" s="33" t="str">
        <f>IF(OR($A264="",$F264=""),"",IF(Comenzi!$D$6="Da",IFERROR($F264/(1+INDEX('Calculator Cost per Bucata'!$AC:$AC,ROW()+4)),""),$F264))</f>
        <v/>
      </c>
      <c r="I264" s="46" t="str">
        <f t="shared" si="12"/>
        <v/>
      </c>
      <c r="J264" s="47" t="str">
        <f t="shared" si="13"/>
        <v/>
      </c>
      <c r="K264" s="48" t="str">
        <f t="shared" si="14"/>
        <v/>
      </c>
    </row>
    <row r="265" spans="1:11" x14ac:dyDescent="0.3">
      <c r="A265" s="28" t="str">
        <f>IF(INDEX('Calculator Cost per Bucata'!$A:$A,ROW()+4)="","",INDEX('Calculator Cost per Bucata'!$A:$A,ROW()+4))</f>
        <v/>
      </c>
      <c r="B265" s="28" t="str">
        <f>IF($A265="","",INDEX('Calculator Cost per Bucata'!$C:$C,ROW()+4))</f>
        <v/>
      </c>
      <c r="C265" s="28" t="str">
        <f>IF($A265="","",INDEX('Calculator Cost per Bucata'!$D:$D,ROW()+4))</f>
        <v/>
      </c>
      <c r="D265" s="33" t="str">
        <f>IF(INDEX('Calculator Cost per Bucata'!$Y:$Y,ROW()+4)=1,INDEX('Calculator Cost per Bucata'!$P:$P,ROW()+4),"")</f>
        <v/>
      </c>
      <c r="E265" s="33" t="str">
        <f>IF(INDEX('Calculator Cost per Bucata'!$Y:$Y,ROW()+4)=1,INDEX('Calculator Cost per Bucata'!$S:$S,ROW()+4),"")</f>
        <v/>
      </c>
      <c r="F265" s="33" t="str">
        <f>IF($A265="","",IF(N(INDEX('PI Furnizor'!$L:$L,ROW()+1))&gt;0,INDEX('PI Furnizor'!$L:$L,ROW()+1),""))</f>
        <v/>
      </c>
      <c r="G265" s="33" t="str">
        <f>IF($A265="","",IF(Comenzi!$D$6="Da",$D265,$E265))</f>
        <v/>
      </c>
      <c r="H265" s="33" t="str">
        <f>IF(OR($A265="",$F265=""),"",IF(Comenzi!$D$6="Da",IFERROR($F265/(1+INDEX('Calculator Cost per Bucata'!$AC:$AC,ROW()+4)),""),$F265))</f>
        <v/>
      </c>
      <c r="I265" s="46" t="str">
        <f t="shared" si="12"/>
        <v/>
      </c>
      <c r="J265" s="47" t="str">
        <f t="shared" si="13"/>
        <v/>
      </c>
      <c r="K265" s="48" t="str">
        <f t="shared" si="14"/>
        <v/>
      </c>
    </row>
    <row r="266" spans="1:11" x14ac:dyDescent="0.3">
      <c r="A266" s="28" t="str">
        <f>IF(INDEX('Calculator Cost per Bucata'!$A:$A,ROW()+4)="","",INDEX('Calculator Cost per Bucata'!$A:$A,ROW()+4))</f>
        <v/>
      </c>
      <c r="B266" s="28" t="str">
        <f>IF($A266="","",INDEX('Calculator Cost per Bucata'!$C:$C,ROW()+4))</f>
        <v/>
      </c>
      <c r="C266" s="28" t="str">
        <f>IF($A266="","",INDEX('Calculator Cost per Bucata'!$D:$D,ROW()+4))</f>
        <v/>
      </c>
      <c r="D266" s="33" t="str">
        <f>IF(INDEX('Calculator Cost per Bucata'!$Y:$Y,ROW()+4)=1,INDEX('Calculator Cost per Bucata'!$P:$P,ROW()+4),"")</f>
        <v/>
      </c>
      <c r="E266" s="33" t="str">
        <f>IF(INDEX('Calculator Cost per Bucata'!$Y:$Y,ROW()+4)=1,INDEX('Calculator Cost per Bucata'!$S:$S,ROW()+4),"")</f>
        <v/>
      </c>
      <c r="F266" s="33" t="str">
        <f>IF($A266="","",IF(N(INDEX('PI Furnizor'!$L:$L,ROW()+1))&gt;0,INDEX('PI Furnizor'!$L:$L,ROW()+1),""))</f>
        <v/>
      </c>
      <c r="G266" s="33" t="str">
        <f>IF($A266="","",IF(Comenzi!$D$6="Da",$D266,$E266))</f>
        <v/>
      </c>
      <c r="H266" s="33" t="str">
        <f>IF(OR($A266="",$F266=""),"",IF(Comenzi!$D$6="Da",IFERROR($F266/(1+INDEX('Calculator Cost per Bucata'!$AC:$AC,ROW()+4)),""),$F266))</f>
        <v/>
      </c>
      <c r="I266" s="46" t="str">
        <f t="shared" si="12"/>
        <v/>
      </c>
      <c r="J266" s="47" t="str">
        <f t="shared" si="13"/>
        <v/>
      </c>
      <c r="K266" s="48" t="str">
        <f t="shared" si="14"/>
        <v/>
      </c>
    </row>
    <row r="267" spans="1:11" x14ac:dyDescent="0.3">
      <c r="A267" s="28" t="str">
        <f>IF(INDEX('Calculator Cost per Bucata'!$A:$A,ROW()+4)="","",INDEX('Calculator Cost per Bucata'!$A:$A,ROW()+4))</f>
        <v/>
      </c>
      <c r="B267" s="28" t="str">
        <f>IF($A267="","",INDEX('Calculator Cost per Bucata'!$C:$C,ROW()+4))</f>
        <v/>
      </c>
      <c r="C267" s="28" t="str">
        <f>IF($A267="","",INDEX('Calculator Cost per Bucata'!$D:$D,ROW()+4))</f>
        <v/>
      </c>
      <c r="D267" s="33" t="str">
        <f>IF(INDEX('Calculator Cost per Bucata'!$Y:$Y,ROW()+4)=1,INDEX('Calculator Cost per Bucata'!$P:$P,ROW()+4),"")</f>
        <v/>
      </c>
      <c r="E267" s="33" t="str">
        <f>IF(INDEX('Calculator Cost per Bucata'!$Y:$Y,ROW()+4)=1,INDEX('Calculator Cost per Bucata'!$S:$S,ROW()+4),"")</f>
        <v/>
      </c>
      <c r="F267" s="33" t="str">
        <f>IF($A267="","",IF(N(INDEX('PI Furnizor'!$L:$L,ROW()+1))&gt;0,INDEX('PI Furnizor'!$L:$L,ROW()+1),""))</f>
        <v/>
      </c>
      <c r="G267" s="33" t="str">
        <f>IF($A267="","",IF(Comenzi!$D$6="Da",$D267,$E267))</f>
        <v/>
      </c>
      <c r="H267" s="33" t="str">
        <f>IF(OR($A267="",$F267=""),"",IF(Comenzi!$D$6="Da",IFERROR($F267/(1+INDEX('Calculator Cost per Bucata'!$AC:$AC,ROW()+4)),""),$F267))</f>
        <v/>
      </c>
      <c r="I267" s="46" t="str">
        <f t="shared" si="12"/>
        <v/>
      </c>
      <c r="J267" s="47" t="str">
        <f t="shared" si="13"/>
        <v/>
      </c>
      <c r="K267" s="48" t="str">
        <f t="shared" si="14"/>
        <v/>
      </c>
    </row>
    <row r="268" spans="1:11" x14ac:dyDescent="0.3">
      <c r="A268" s="28" t="str">
        <f>IF(INDEX('Calculator Cost per Bucata'!$A:$A,ROW()+4)="","",INDEX('Calculator Cost per Bucata'!$A:$A,ROW()+4))</f>
        <v/>
      </c>
      <c r="B268" s="28" t="str">
        <f>IF($A268="","",INDEX('Calculator Cost per Bucata'!$C:$C,ROW()+4))</f>
        <v/>
      </c>
      <c r="C268" s="28" t="str">
        <f>IF($A268="","",INDEX('Calculator Cost per Bucata'!$D:$D,ROW()+4))</f>
        <v/>
      </c>
      <c r="D268" s="33" t="str">
        <f>IF(INDEX('Calculator Cost per Bucata'!$Y:$Y,ROW()+4)=1,INDEX('Calculator Cost per Bucata'!$P:$P,ROW()+4),"")</f>
        <v/>
      </c>
      <c r="E268" s="33" t="str">
        <f>IF(INDEX('Calculator Cost per Bucata'!$Y:$Y,ROW()+4)=1,INDEX('Calculator Cost per Bucata'!$S:$S,ROW()+4),"")</f>
        <v/>
      </c>
      <c r="F268" s="33" t="str">
        <f>IF($A268="","",IF(N(INDEX('PI Furnizor'!$L:$L,ROW()+1))&gt;0,INDEX('PI Furnizor'!$L:$L,ROW()+1),""))</f>
        <v/>
      </c>
      <c r="G268" s="33" t="str">
        <f>IF($A268="","",IF(Comenzi!$D$6="Da",$D268,$E268))</f>
        <v/>
      </c>
      <c r="H268" s="33" t="str">
        <f>IF(OR($A268="",$F268=""),"",IF(Comenzi!$D$6="Da",IFERROR($F268/(1+INDEX('Calculator Cost per Bucata'!$AC:$AC,ROW()+4)),""),$F268))</f>
        <v/>
      </c>
      <c r="I268" s="46" t="str">
        <f t="shared" si="12"/>
        <v/>
      </c>
      <c r="J268" s="47" t="str">
        <f t="shared" si="13"/>
        <v/>
      </c>
      <c r="K268" s="48" t="str">
        <f t="shared" si="14"/>
        <v/>
      </c>
    </row>
    <row r="269" spans="1:11" x14ac:dyDescent="0.3">
      <c r="A269" s="28" t="str">
        <f>IF(INDEX('Calculator Cost per Bucata'!$A:$A,ROW()+4)="","",INDEX('Calculator Cost per Bucata'!$A:$A,ROW()+4))</f>
        <v/>
      </c>
      <c r="B269" s="28" t="str">
        <f>IF($A269="","",INDEX('Calculator Cost per Bucata'!$C:$C,ROW()+4))</f>
        <v/>
      </c>
      <c r="C269" s="28" t="str">
        <f>IF($A269="","",INDEX('Calculator Cost per Bucata'!$D:$D,ROW()+4))</f>
        <v/>
      </c>
      <c r="D269" s="33" t="str">
        <f>IF(INDEX('Calculator Cost per Bucata'!$Y:$Y,ROW()+4)=1,INDEX('Calculator Cost per Bucata'!$P:$P,ROW()+4),"")</f>
        <v/>
      </c>
      <c r="E269" s="33" t="str">
        <f>IF(INDEX('Calculator Cost per Bucata'!$Y:$Y,ROW()+4)=1,INDEX('Calculator Cost per Bucata'!$S:$S,ROW()+4),"")</f>
        <v/>
      </c>
      <c r="F269" s="33" t="str">
        <f>IF($A269="","",IF(N(INDEX('PI Furnizor'!$L:$L,ROW()+1))&gt;0,INDEX('PI Furnizor'!$L:$L,ROW()+1),""))</f>
        <v/>
      </c>
      <c r="G269" s="33" t="str">
        <f>IF($A269="","",IF(Comenzi!$D$6="Da",$D269,$E269))</f>
        <v/>
      </c>
      <c r="H269" s="33" t="str">
        <f>IF(OR($A269="",$F269=""),"",IF(Comenzi!$D$6="Da",IFERROR($F269/(1+INDEX('Calculator Cost per Bucata'!$AC:$AC,ROW()+4)),""),$F269))</f>
        <v/>
      </c>
      <c r="I269" s="46" t="str">
        <f t="shared" si="12"/>
        <v/>
      </c>
      <c r="J269" s="47" t="str">
        <f t="shared" si="13"/>
        <v/>
      </c>
      <c r="K269" s="48" t="str">
        <f t="shared" si="14"/>
        <v/>
      </c>
    </row>
    <row r="270" spans="1:11" x14ac:dyDescent="0.3">
      <c r="A270" s="28" t="str">
        <f>IF(INDEX('Calculator Cost per Bucata'!$A:$A,ROW()+4)="","",INDEX('Calculator Cost per Bucata'!$A:$A,ROW()+4))</f>
        <v/>
      </c>
      <c r="B270" s="28" t="str">
        <f>IF($A270="","",INDEX('Calculator Cost per Bucata'!$C:$C,ROW()+4))</f>
        <v/>
      </c>
      <c r="C270" s="28" t="str">
        <f>IF($A270="","",INDEX('Calculator Cost per Bucata'!$D:$D,ROW()+4))</f>
        <v/>
      </c>
      <c r="D270" s="33" t="str">
        <f>IF(INDEX('Calculator Cost per Bucata'!$Y:$Y,ROW()+4)=1,INDEX('Calculator Cost per Bucata'!$P:$P,ROW()+4),"")</f>
        <v/>
      </c>
      <c r="E270" s="33" t="str">
        <f>IF(INDEX('Calculator Cost per Bucata'!$Y:$Y,ROW()+4)=1,INDEX('Calculator Cost per Bucata'!$S:$S,ROW()+4),"")</f>
        <v/>
      </c>
      <c r="F270" s="33" t="str">
        <f>IF($A270="","",IF(N(INDEX('PI Furnizor'!$L:$L,ROW()+1))&gt;0,INDEX('PI Furnizor'!$L:$L,ROW()+1),""))</f>
        <v/>
      </c>
      <c r="G270" s="33" t="str">
        <f>IF($A270="","",IF(Comenzi!$D$6="Da",$D270,$E270))</f>
        <v/>
      </c>
      <c r="H270" s="33" t="str">
        <f>IF(OR($A270="",$F270=""),"",IF(Comenzi!$D$6="Da",IFERROR($F270/(1+INDEX('Calculator Cost per Bucata'!$AC:$AC,ROW()+4)),""),$F270))</f>
        <v/>
      </c>
      <c r="I270" s="46" t="str">
        <f t="shared" si="12"/>
        <v/>
      </c>
      <c r="J270" s="47" t="str">
        <f t="shared" si="13"/>
        <v/>
      </c>
      <c r="K270" s="48" t="str">
        <f t="shared" si="14"/>
        <v/>
      </c>
    </row>
    <row r="271" spans="1:11" x14ac:dyDescent="0.3">
      <c r="A271" s="28" t="str">
        <f>IF(INDEX('Calculator Cost per Bucata'!$A:$A,ROW()+4)="","",INDEX('Calculator Cost per Bucata'!$A:$A,ROW()+4))</f>
        <v/>
      </c>
      <c r="B271" s="28" t="str">
        <f>IF($A271="","",INDEX('Calculator Cost per Bucata'!$C:$C,ROW()+4))</f>
        <v/>
      </c>
      <c r="C271" s="28" t="str">
        <f>IF($A271="","",INDEX('Calculator Cost per Bucata'!$D:$D,ROW()+4))</f>
        <v/>
      </c>
      <c r="D271" s="33" t="str">
        <f>IF(INDEX('Calculator Cost per Bucata'!$Y:$Y,ROW()+4)=1,INDEX('Calculator Cost per Bucata'!$P:$P,ROW()+4),"")</f>
        <v/>
      </c>
      <c r="E271" s="33" t="str">
        <f>IF(INDEX('Calculator Cost per Bucata'!$Y:$Y,ROW()+4)=1,INDEX('Calculator Cost per Bucata'!$S:$S,ROW()+4),"")</f>
        <v/>
      </c>
      <c r="F271" s="33" t="str">
        <f>IF($A271="","",IF(N(INDEX('PI Furnizor'!$L:$L,ROW()+1))&gt;0,INDEX('PI Furnizor'!$L:$L,ROW()+1),""))</f>
        <v/>
      </c>
      <c r="G271" s="33" t="str">
        <f>IF($A271="","",IF(Comenzi!$D$6="Da",$D271,$E271))</f>
        <v/>
      </c>
      <c r="H271" s="33" t="str">
        <f>IF(OR($A271="",$F271=""),"",IF(Comenzi!$D$6="Da",IFERROR($F271/(1+INDEX('Calculator Cost per Bucata'!$AC:$AC,ROW()+4)),""),$F271))</f>
        <v/>
      </c>
      <c r="I271" s="46" t="str">
        <f t="shared" si="12"/>
        <v/>
      </c>
      <c r="J271" s="47" t="str">
        <f t="shared" si="13"/>
        <v/>
      </c>
      <c r="K271" s="48" t="str">
        <f t="shared" si="14"/>
        <v/>
      </c>
    </row>
    <row r="272" spans="1:11" x14ac:dyDescent="0.3">
      <c r="A272" s="28" t="str">
        <f>IF(INDEX('Calculator Cost per Bucata'!$A:$A,ROW()+4)="","",INDEX('Calculator Cost per Bucata'!$A:$A,ROW()+4))</f>
        <v/>
      </c>
      <c r="B272" s="28" t="str">
        <f>IF($A272="","",INDEX('Calculator Cost per Bucata'!$C:$C,ROW()+4))</f>
        <v/>
      </c>
      <c r="C272" s="28" t="str">
        <f>IF($A272="","",INDEX('Calculator Cost per Bucata'!$D:$D,ROW()+4))</f>
        <v/>
      </c>
      <c r="D272" s="33" t="str">
        <f>IF(INDEX('Calculator Cost per Bucata'!$Y:$Y,ROW()+4)=1,INDEX('Calculator Cost per Bucata'!$P:$P,ROW()+4),"")</f>
        <v/>
      </c>
      <c r="E272" s="33" t="str">
        <f>IF(INDEX('Calculator Cost per Bucata'!$Y:$Y,ROW()+4)=1,INDEX('Calculator Cost per Bucata'!$S:$S,ROW()+4),"")</f>
        <v/>
      </c>
      <c r="F272" s="33" t="str">
        <f>IF($A272="","",IF(N(INDEX('PI Furnizor'!$L:$L,ROW()+1))&gt;0,INDEX('PI Furnizor'!$L:$L,ROW()+1),""))</f>
        <v/>
      </c>
      <c r="G272" s="33" t="str">
        <f>IF($A272="","",IF(Comenzi!$D$6="Da",$D272,$E272))</f>
        <v/>
      </c>
      <c r="H272" s="33" t="str">
        <f>IF(OR($A272="",$F272=""),"",IF(Comenzi!$D$6="Da",IFERROR($F272/(1+INDEX('Calculator Cost per Bucata'!$AC:$AC,ROW()+4)),""),$F272))</f>
        <v/>
      </c>
      <c r="I272" s="46" t="str">
        <f t="shared" si="12"/>
        <v/>
      </c>
      <c r="J272" s="47" t="str">
        <f t="shared" si="13"/>
        <v/>
      </c>
      <c r="K272" s="48" t="str">
        <f t="shared" si="14"/>
        <v/>
      </c>
    </row>
    <row r="273" spans="1:11" x14ac:dyDescent="0.3">
      <c r="A273" s="28" t="str">
        <f>IF(INDEX('Calculator Cost per Bucata'!$A:$A,ROW()+4)="","",INDEX('Calculator Cost per Bucata'!$A:$A,ROW()+4))</f>
        <v/>
      </c>
      <c r="B273" s="28" t="str">
        <f>IF($A273="","",INDEX('Calculator Cost per Bucata'!$C:$C,ROW()+4))</f>
        <v/>
      </c>
      <c r="C273" s="28" t="str">
        <f>IF($A273="","",INDEX('Calculator Cost per Bucata'!$D:$D,ROW()+4))</f>
        <v/>
      </c>
      <c r="D273" s="33" t="str">
        <f>IF(INDEX('Calculator Cost per Bucata'!$Y:$Y,ROW()+4)=1,INDEX('Calculator Cost per Bucata'!$P:$P,ROW()+4),"")</f>
        <v/>
      </c>
      <c r="E273" s="33" t="str">
        <f>IF(INDEX('Calculator Cost per Bucata'!$Y:$Y,ROW()+4)=1,INDEX('Calculator Cost per Bucata'!$S:$S,ROW()+4),"")</f>
        <v/>
      </c>
      <c r="F273" s="33" t="str">
        <f>IF($A273="","",IF(N(INDEX('PI Furnizor'!$L:$L,ROW()+1))&gt;0,INDEX('PI Furnizor'!$L:$L,ROW()+1),""))</f>
        <v/>
      </c>
      <c r="G273" s="33" t="str">
        <f>IF($A273="","",IF(Comenzi!$D$6="Da",$D273,$E273))</f>
        <v/>
      </c>
      <c r="H273" s="33" t="str">
        <f>IF(OR($A273="",$F273=""),"",IF(Comenzi!$D$6="Da",IFERROR($F273/(1+INDEX('Calculator Cost per Bucata'!$AC:$AC,ROW()+4)),""),$F273))</f>
        <v/>
      </c>
      <c r="I273" s="46" t="str">
        <f t="shared" si="12"/>
        <v/>
      </c>
      <c r="J273" s="47" t="str">
        <f t="shared" si="13"/>
        <v/>
      </c>
      <c r="K273" s="48" t="str">
        <f t="shared" si="14"/>
        <v/>
      </c>
    </row>
    <row r="274" spans="1:11" x14ac:dyDescent="0.3">
      <c r="A274" s="28" t="str">
        <f>IF(INDEX('Calculator Cost per Bucata'!$A:$A,ROW()+4)="","",INDEX('Calculator Cost per Bucata'!$A:$A,ROW()+4))</f>
        <v/>
      </c>
      <c r="B274" s="28" t="str">
        <f>IF($A274="","",INDEX('Calculator Cost per Bucata'!$C:$C,ROW()+4))</f>
        <v/>
      </c>
      <c r="C274" s="28" t="str">
        <f>IF($A274="","",INDEX('Calculator Cost per Bucata'!$D:$D,ROW()+4))</f>
        <v/>
      </c>
      <c r="D274" s="33" t="str">
        <f>IF(INDEX('Calculator Cost per Bucata'!$Y:$Y,ROW()+4)=1,INDEX('Calculator Cost per Bucata'!$P:$P,ROW()+4),"")</f>
        <v/>
      </c>
      <c r="E274" s="33" t="str">
        <f>IF(INDEX('Calculator Cost per Bucata'!$Y:$Y,ROW()+4)=1,INDEX('Calculator Cost per Bucata'!$S:$S,ROW()+4),"")</f>
        <v/>
      </c>
      <c r="F274" s="33" t="str">
        <f>IF($A274="","",IF(N(INDEX('PI Furnizor'!$L:$L,ROW()+1))&gt;0,INDEX('PI Furnizor'!$L:$L,ROW()+1),""))</f>
        <v/>
      </c>
      <c r="G274" s="33" t="str">
        <f>IF($A274="","",IF(Comenzi!$D$6="Da",$D274,$E274))</f>
        <v/>
      </c>
      <c r="H274" s="33" t="str">
        <f>IF(OR($A274="",$F274=""),"",IF(Comenzi!$D$6="Da",IFERROR($F274/(1+INDEX('Calculator Cost per Bucata'!$AC:$AC,ROW()+4)),""),$F274))</f>
        <v/>
      </c>
      <c r="I274" s="46" t="str">
        <f t="shared" si="12"/>
        <v/>
      </c>
      <c r="J274" s="47" t="str">
        <f t="shared" si="13"/>
        <v/>
      </c>
      <c r="K274" s="48" t="str">
        <f t="shared" si="14"/>
        <v/>
      </c>
    </row>
    <row r="275" spans="1:11" x14ac:dyDescent="0.3">
      <c r="A275" s="28" t="str">
        <f>IF(INDEX('Calculator Cost per Bucata'!$A:$A,ROW()+4)="","",INDEX('Calculator Cost per Bucata'!$A:$A,ROW()+4))</f>
        <v/>
      </c>
      <c r="B275" s="28" t="str">
        <f>IF($A275="","",INDEX('Calculator Cost per Bucata'!$C:$C,ROW()+4))</f>
        <v/>
      </c>
      <c r="C275" s="28" t="str">
        <f>IF($A275="","",INDEX('Calculator Cost per Bucata'!$D:$D,ROW()+4))</f>
        <v/>
      </c>
      <c r="D275" s="33" t="str">
        <f>IF(INDEX('Calculator Cost per Bucata'!$Y:$Y,ROW()+4)=1,INDEX('Calculator Cost per Bucata'!$P:$P,ROW()+4),"")</f>
        <v/>
      </c>
      <c r="E275" s="33" t="str">
        <f>IF(INDEX('Calculator Cost per Bucata'!$Y:$Y,ROW()+4)=1,INDEX('Calculator Cost per Bucata'!$S:$S,ROW()+4),"")</f>
        <v/>
      </c>
      <c r="F275" s="33" t="str">
        <f>IF($A275="","",IF(N(INDEX('PI Furnizor'!$L:$L,ROW()+1))&gt;0,INDEX('PI Furnizor'!$L:$L,ROW()+1),""))</f>
        <v/>
      </c>
      <c r="G275" s="33" t="str">
        <f>IF($A275="","",IF(Comenzi!$D$6="Da",$D275,$E275))</f>
        <v/>
      </c>
      <c r="H275" s="33" t="str">
        <f>IF(OR($A275="",$F275=""),"",IF(Comenzi!$D$6="Da",IFERROR($F275/(1+INDEX('Calculator Cost per Bucata'!$AC:$AC,ROW()+4)),""),$F275))</f>
        <v/>
      </c>
      <c r="I275" s="46" t="str">
        <f t="shared" si="12"/>
        <v/>
      </c>
      <c r="J275" s="47" t="str">
        <f t="shared" si="13"/>
        <v/>
      </c>
      <c r="K275" s="48" t="str">
        <f t="shared" si="14"/>
        <v/>
      </c>
    </row>
    <row r="276" spans="1:11" x14ac:dyDescent="0.3">
      <c r="A276" s="28" t="str">
        <f>IF(INDEX('Calculator Cost per Bucata'!$A:$A,ROW()+4)="","",INDEX('Calculator Cost per Bucata'!$A:$A,ROW()+4))</f>
        <v/>
      </c>
      <c r="B276" s="28" t="str">
        <f>IF($A276="","",INDEX('Calculator Cost per Bucata'!$C:$C,ROW()+4))</f>
        <v/>
      </c>
      <c r="C276" s="28" t="str">
        <f>IF($A276="","",INDEX('Calculator Cost per Bucata'!$D:$D,ROW()+4))</f>
        <v/>
      </c>
      <c r="D276" s="33" t="str">
        <f>IF(INDEX('Calculator Cost per Bucata'!$Y:$Y,ROW()+4)=1,INDEX('Calculator Cost per Bucata'!$P:$P,ROW()+4),"")</f>
        <v/>
      </c>
      <c r="E276" s="33" t="str">
        <f>IF(INDEX('Calculator Cost per Bucata'!$Y:$Y,ROW()+4)=1,INDEX('Calculator Cost per Bucata'!$S:$S,ROW()+4),"")</f>
        <v/>
      </c>
      <c r="F276" s="33" t="str">
        <f>IF($A276="","",IF(N(INDEX('PI Furnizor'!$L:$L,ROW()+1))&gt;0,INDEX('PI Furnizor'!$L:$L,ROW()+1),""))</f>
        <v/>
      </c>
      <c r="G276" s="33" t="str">
        <f>IF($A276="","",IF(Comenzi!$D$6="Da",$D276,$E276))</f>
        <v/>
      </c>
      <c r="H276" s="33" t="str">
        <f>IF(OR($A276="",$F276=""),"",IF(Comenzi!$D$6="Da",IFERROR($F276/(1+INDEX('Calculator Cost per Bucata'!$AC:$AC,ROW()+4)),""),$F276))</f>
        <v/>
      </c>
      <c r="I276" s="46" t="str">
        <f t="shared" si="12"/>
        <v/>
      </c>
      <c r="J276" s="47" t="str">
        <f t="shared" si="13"/>
        <v/>
      </c>
      <c r="K276" s="48" t="str">
        <f t="shared" si="14"/>
        <v/>
      </c>
    </row>
    <row r="277" spans="1:11" x14ac:dyDescent="0.3">
      <c r="A277" s="28" t="str">
        <f>IF(INDEX('Calculator Cost per Bucata'!$A:$A,ROW()+4)="","",INDEX('Calculator Cost per Bucata'!$A:$A,ROW()+4))</f>
        <v/>
      </c>
      <c r="B277" s="28" t="str">
        <f>IF($A277="","",INDEX('Calculator Cost per Bucata'!$C:$C,ROW()+4))</f>
        <v/>
      </c>
      <c r="C277" s="28" t="str">
        <f>IF($A277="","",INDEX('Calculator Cost per Bucata'!$D:$D,ROW()+4))</f>
        <v/>
      </c>
      <c r="D277" s="33" t="str">
        <f>IF(INDEX('Calculator Cost per Bucata'!$Y:$Y,ROW()+4)=1,INDEX('Calculator Cost per Bucata'!$P:$P,ROW()+4),"")</f>
        <v/>
      </c>
      <c r="E277" s="33" t="str">
        <f>IF(INDEX('Calculator Cost per Bucata'!$Y:$Y,ROW()+4)=1,INDEX('Calculator Cost per Bucata'!$S:$S,ROW()+4),"")</f>
        <v/>
      </c>
      <c r="F277" s="33" t="str">
        <f>IF($A277="","",IF(N(INDEX('PI Furnizor'!$L:$L,ROW()+1))&gt;0,INDEX('PI Furnizor'!$L:$L,ROW()+1),""))</f>
        <v/>
      </c>
      <c r="G277" s="33" t="str">
        <f>IF($A277="","",IF(Comenzi!$D$6="Da",$D277,$E277))</f>
        <v/>
      </c>
      <c r="H277" s="33" t="str">
        <f>IF(OR($A277="",$F277=""),"",IF(Comenzi!$D$6="Da",IFERROR($F277/(1+INDEX('Calculator Cost per Bucata'!$AC:$AC,ROW()+4)),""),$F277))</f>
        <v/>
      </c>
      <c r="I277" s="46" t="str">
        <f t="shared" si="12"/>
        <v/>
      </c>
      <c r="J277" s="47" t="str">
        <f t="shared" si="13"/>
        <v/>
      </c>
      <c r="K277" s="48" t="str">
        <f t="shared" si="14"/>
        <v/>
      </c>
    </row>
    <row r="278" spans="1:11" x14ac:dyDescent="0.3">
      <c r="A278" s="28" t="str">
        <f>IF(INDEX('Calculator Cost per Bucata'!$A:$A,ROW()+4)="","",INDEX('Calculator Cost per Bucata'!$A:$A,ROW()+4))</f>
        <v/>
      </c>
      <c r="B278" s="28" t="str">
        <f>IF($A278="","",INDEX('Calculator Cost per Bucata'!$C:$C,ROW()+4))</f>
        <v/>
      </c>
      <c r="C278" s="28" t="str">
        <f>IF($A278="","",INDEX('Calculator Cost per Bucata'!$D:$D,ROW()+4))</f>
        <v/>
      </c>
      <c r="D278" s="33" t="str">
        <f>IF(INDEX('Calculator Cost per Bucata'!$Y:$Y,ROW()+4)=1,INDEX('Calculator Cost per Bucata'!$P:$P,ROW()+4),"")</f>
        <v/>
      </c>
      <c r="E278" s="33" t="str">
        <f>IF(INDEX('Calculator Cost per Bucata'!$Y:$Y,ROW()+4)=1,INDEX('Calculator Cost per Bucata'!$S:$S,ROW()+4),"")</f>
        <v/>
      </c>
      <c r="F278" s="33" t="str">
        <f>IF($A278="","",IF(N(INDEX('PI Furnizor'!$L:$L,ROW()+1))&gt;0,INDEX('PI Furnizor'!$L:$L,ROW()+1),""))</f>
        <v/>
      </c>
      <c r="G278" s="33" t="str">
        <f>IF($A278="","",IF(Comenzi!$D$6="Da",$D278,$E278))</f>
        <v/>
      </c>
      <c r="H278" s="33" t="str">
        <f>IF(OR($A278="",$F278=""),"",IF(Comenzi!$D$6="Da",IFERROR($F278/(1+INDEX('Calculator Cost per Bucata'!$AC:$AC,ROW()+4)),""),$F278))</f>
        <v/>
      </c>
      <c r="I278" s="46" t="str">
        <f t="shared" si="12"/>
        <v/>
      </c>
      <c r="J278" s="47" t="str">
        <f t="shared" si="13"/>
        <v/>
      </c>
      <c r="K278" s="48" t="str">
        <f t="shared" si="14"/>
        <v/>
      </c>
    </row>
    <row r="279" spans="1:11" x14ac:dyDescent="0.3">
      <c r="A279" s="28" t="str">
        <f>IF(INDEX('Calculator Cost per Bucata'!$A:$A,ROW()+4)="","",INDEX('Calculator Cost per Bucata'!$A:$A,ROW()+4))</f>
        <v/>
      </c>
      <c r="B279" s="28" t="str">
        <f>IF($A279="","",INDEX('Calculator Cost per Bucata'!$C:$C,ROW()+4))</f>
        <v/>
      </c>
      <c r="C279" s="28" t="str">
        <f>IF($A279="","",INDEX('Calculator Cost per Bucata'!$D:$D,ROW()+4))</f>
        <v/>
      </c>
      <c r="D279" s="33" t="str">
        <f>IF(INDEX('Calculator Cost per Bucata'!$Y:$Y,ROW()+4)=1,INDEX('Calculator Cost per Bucata'!$P:$P,ROW()+4),"")</f>
        <v/>
      </c>
      <c r="E279" s="33" t="str">
        <f>IF(INDEX('Calculator Cost per Bucata'!$Y:$Y,ROW()+4)=1,INDEX('Calculator Cost per Bucata'!$S:$S,ROW()+4),"")</f>
        <v/>
      </c>
      <c r="F279" s="33" t="str">
        <f>IF($A279="","",IF(N(INDEX('PI Furnizor'!$L:$L,ROW()+1))&gt;0,INDEX('PI Furnizor'!$L:$L,ROW()+1),""))</f>
        <v/>
      </c>
      <c r="G279" s="33" t="str">
        <f>IF($A279="","",IF(Comenzi!$D$6="Da",$D279,$E279))</f>
        <v/>
      </c>
      <c r="H279" s="33" t="str">
        <f>IF(OR($A279="",$F279=""),"",IF(Comenzi!$D$6="Da",IFERROR($F279/(1+INDEX('Calculator Cost per Bucata'!$AC:$AC,ROW()+4)),""),$F279))</f>
        <v/>
      </c>
      <c r="I279" s="46" t="str">
        <f t="shared" si="12"/>
        <v/>
      </c>
      <c r="J279" s="47" t="str">
        <f t="shared" si="13"/>
        <v/>
      </c>
      <c r="K279" s="48" t="str">
        <f t="shared" si="14"/>
        <v/>
      </c>
    </row>
    <row r="280" spans="1:11" x14ac:dyDescent="0.3">
      <c r="A280" s="28" t="str">
        <f>IF(INDEX('Calculator Cost per Bucata'!$A:$A,ROW()+4)="","",INDEX('Calculator Cost per Bucata'!$A:$A,ROW()+4))</f>
        <v/>
      </c>
      <c r="B280" s="28" t="str">
        <f>IF($A280="","",INDEX('Calculator Cost per Bucata'!$C:$C,ROW()+4))</f>
        <v/>
      </c>
      <c r="C280" s="28" t="str">
        <f>IF($A280="","",INDEX('Calculator Cost per Bucata'!$D:$D,ROW()+4))</f>
        <v/>
      </c>
      <c r="D280" s="33" t="str">
        <f>IF(INDEX('Calculator Cost per Bucata'!$Y:$Y,ROW()+4)=1,INDEX('Calculator Cost per Bucata'!$P:$P,ROW()+4),"")</f>
        <v/>
      </c>
      <c r="E280" s="33" t="str">
        <f>IF(INDEX('Calculator Cost per Bucata'!$Y:$Y,ROW()+4)=1,INDEX('Calculator Cost per Bucata'!$S:$S,ROW()+4),"")</f>
        <v/>
      </c>
      <c r="F280" s="33" t="str">
        <f>IF($A280="","",IF(N(INDEX('PI Furnizor'!$L:$L,ROW()+1))&gt;0,INDEX('PI Furnizor'!$L:$L,ROW()+1),""))</f>
        <v/>
      </c>
      <c r="G280" s="33" t="str">
        <f>IF($A280="","",IF(Comenzi!$D$6="Da",$D280,$E280))</f>
        <v/>
      </c>
      <c r="H280" s="33" t="str">
        <f>IF(OR($A280="",$F280=""),"",IF(Comenzi!$D$6="Da",IFERROR($F280/(1+INDEX('Calculator Cost per Bucata'!$AC:$AC,ROW()+4)),""),$F280))</f>
        <v/>
      </c>
      <c r="I280" s="46" t="str">
        <f t="shared" si="12"/>
        <v/>
      </c>
      <c r="J280" s="47" t="str">
        <f t="shared" si="13"/>
        <v/>
      </c>
      <c r="K280" s="48" t="str">
        <f t="shared" si="14"/>
        <v/>
      </c>
    </row>
    <row r="281" spans="1:11" x14ac:dyDescent="0.3">
      <c r="A281" s="28" t="str">
        <f>IF(INDEX('Calculator Cost per Bucata'!$A:$A,ROW()+4)="","",INDEX('Calculator Cost per Bucata'!$A:$A,ROW()+4))</f>
        <v/>
      </c>
      <c r="B281" s="28" t="str">
        <f>IF($A281="","",INDEX('Calculator Cost per Bucata'!$C:$C,ROW()+4))</f>
        <v/>
      </c>
      <c r="C281" s="28" t="str">
        <f>IF($A281="","",INDEX('Calculator Cost per Bucata'!$D:$D,ROW()+4))</f>
        <v/>
      </c>
      <c r="D281" s="33" t="str">
        <f>IF(INDEX('Calculator Cost per Bucata'!$Y:$Y,ROW()+4)=1,INDEX('Calculator Cost per Bucata'!$P:$P,ROW()+4),"")</f>
        <v/>
      </c>
      <c r="E281" s="33" t="str">
        <f>IF(INDEX('Calculator Cost per Bucata'!$Y:$Y,ROW()+4)=1,INDEX('Calculator Cost per Bucata'!$S:$S,ROW()+4),"")</f>
        <v/>
      </c>
      <c r="F281" s="33" t="str">
        <f>IF($A281="","",IF(N(INDEX('PI Furnizor'!$L:$L,ROW()+1))&gt;0,INDEX('PI Furnizor'!$L:$L,ROW()+1),""))</f>
        <v/>
      </c>
      <c r="G281" s="33" t="str">
        <f>IF($A281="","",IF(Comenzi!$D$6="Da",$D281,$E281))</f>
        <v/>
      </c>
      <c r="H281" s="33" t="str">
        <f>IF(OR($A281="",$F281=""),"",IF(Comenzi!$D$6="Da",IFERROR($F281/(1+INDEX('Calculator Cost per Bucata'!$AC:$AC,ROW()+4)),""),$F281))</f>
        <v/>
      </c>
      <c r="I281" s="46" t="str">
        <f t="shared" si="12"/>
        <v/>
      </c>
      <c r="J281" s="47" t="str">
        <f t="shared" si="13"/>
        <v/>
      </c>
      <c r="K281" s="48" t="str">
        <f t="shared" si="14"/>
        <v/>
      </c>
    </row>
    <row r="282" spans="1:11" x14ac:dyDescent="0.3">
      <c r="A282" s="28" t="str">
        <f>IF(INDEX('Calculator Cost per Bucata'!$A:$A,ROW()+4)="","",INDEX('Calculator Cost per Bucata'!$A:$A,ROW()+4))</f>
        <v/>
      </c>
      <c r="B282" s="28" t="str">
        <f>IF($A282="","",INDEX('Calculator Cost per Bucata'!$C:$C,ROW()+4))</f>
        <v/>
      </c>
      <c r="C282" s="28" t="str">
        <f>IF($A282="","",INDEX('Calculator Cost per Bucata'!$D:$D,ROW()+4))</f>
        <v/>
      </c>
      <c r="D282" s="33" t="str">
        <f>IF(INDEX('Calculator Cost per Bucata'!$Y:$Y,ROW()+4)=1,INDEX('Calculator Cost per Bucata'!$P:$P,ROW()+4),"")</f>
        <v/>
      </c>
      <c r="E282" s="33" t="str">
        <f>IF(INDEX('Calculator Cost per Bucata'!$Y:$Y,ROW()+4)=1,INDEX('Calculator Cost per Bucata'!$S:$S,ROW()+4),"")</f>
        <v/>
      </c>
      <c r="F282" s="33" t="str">
        <f>IF($A282="","",IF(N(INDEX('PI Furnizor'!$L:$L,ROW()+1))&gt;0,INDEX('PI Furnizor'!$L:$L,ROW()+1),""))</f>
        <v/>
      </c>
      <c r="G282" s="33" t="str">
        <f>IF($A282="","",IF(Comenzi!$D$6="Da",$D282,$E282))</f>
        <v/>
      </c>
      <c r="H282" s="33" t="str">
        <f>IF(OR($A282="",$F282=""),"",IF(Comenzi!$D$6="Da",IFERROR($F282/(1+INDEX('Calculator Cost per Bucata'!$AC:$AC,ROW()+4)),""),$F282))</f>
        <v/>
      </c>
      <c r="I282" s="46" t="str">
        <f t="shared" si="12"/>
        <v/>
      </c>
      <c r="J282" s="47" t="str">
        <f t="shared" si="13"/>
        <v/>
      </c>
      <c r="K282" s="48" t="str">
        <f t="shared" si="14"/>
        <v/>
      </c>
    </row>
    <row r="283" spans="1:11" x14ac:dyDescent="0.3">
      <c r="A283" s="28" t="str">
        <f>IF(INDEX('Calculator Cost per Bucata'!$A:$A,ROW()+4)="","",INDEX('Calculator Cost per Bucata'!$A:$A,ROW()+4))</f>
        <v/>
      </c>
      <c r="B283" s="28" t="str">
        <f>IF($A283="","",INDEX('Calculator Cost per Bucata'!$C:$C,ROW()+4))</f>
        <v/>
      </c>
      <c r="C283" s="28" t="str">
        <f>IF($A283="","",INDEX('Calculator Cost per Bucata'!$D:$D,ROW()+4))</f>
        <v/>
      </c>
      <c r="D283" s="33" t="str">
        <f>IF(INDEX('Calculator Cost per Bucata'!$Y:$Y,ROW()+4)=1,INDEX('Calculator Cost per Bucata'!$P:$P,ROW()+4),"")</f>
        <v/>
      </c>
      <c r="E283" s="33" t="str">
        <f>IF(INDEX('Calculator Cost per Bucata'!$Y:$Y,ROW()+4)=1,INDEX('Calculator Cost per Bucata'!$S:$S,ROW()+4),"")</f>
        <v/>
      </c>
      <c r="F283" s="33" t="str">
        <f>IF($A283="","",IF(N(INDEX('PI Furnizor'!$L:$L,ROW()+1))&gt;0,INDEX('PI Furnizor'!$L:$L,ROW()+1),""))</f>
        <v/>
      </c>
      <c r="G283" s="33" t="str">
        <f>IF($A283="","",IF(Comenzi!$D$6="Da",$D283,$E283))</f>
        <v/>
      </c>
      <c r="H283" s="33" t="str">
        <f>IF(OR($A283="",$F283=""),"",IF(Comenzi!$D$6="Da",IFERROR($F283/(1+INDEX('Calculator Cost per Bucata'!$AC:$AC,ROW()+4)),""),$F283))</f>
        <v/>
      </c>
      <c r="I283" s="46" t="str">
        <f t="shared" si="12"/>
        <v/>
      </c>
      <c r="J283" s="47" t="str">
        <f t="shared" si="13"/>
        <v/>
      </c>
      <c r="K283" s="48" t="str">
        <f t="shared" si="14"/>
        <v/>
      </c>
    </row>
    <row r="284" spans="1:11" x14ac:dyDescent="0.3">
      <c r="A284" s="28" t="str">
        <f>IF(INDEX('Calculator Cost per Bucata'!$A:$A,ROW()+4)="","",INDEX('Calculator Cost per Bucata'!$A:$A,ROW()+4))</f>
        <v/>
      </c>
      <c r="B284" s="28" t="str">
        <f>IF($A284="","",INDEX('Calculator Cost per Bucata'!$C:$C,ROW()+4))</f>
        <v/>
      </c>
      <c r="C284" s="28" t="str">
        <f>IF($A284="","",INDEX('Calculator Cost per Bucata'!$D:$D,ROW()+4))</f>
        <v/>
      </c>
      <c r="D284" s="33" t="str">
        <f>IF(INDEX('Calculator Cost per Bucata'!$Y:$Y,ROW()+4)=1,INDEX('Calculator Cost per Bucata'!$P:$P,ROW()+4),"")</f>
        <v/>
      </c>
      <c r="E284" s="33" t="str">
        <f>IF(INDEX('Calculator Cost per Bucata'!$Y:$Y,ROW()+4)=1,INDEX('Calculator Cost per Bucata'!$S:$S,ROW()+4),"")</f>
        <v/>
      </c>
      <c r="F284" s="33" t="str">
        <f>IF($A284="","",IF(N(INDEX('PI Furnizor'!$L:$L,ROW()+1))&gt;0,INDEX('PI Furnizor'!$L:$L,ROW()+1),""))</f>
        <v/>
      </c>
      <c r="G284" s="33" t="str">
        <f>IF($A284="","",IF(Comenzi!$D$6="Da",$D284,$E284))</f>
        <v/>
      </c>
      <c r="H284" s="33" t="str">
        <f>IF(OR($A284="",$F284=""),"",IF(Comenzi!$D$6="Da",IFERROR($F284/(1+INDEX('Calculator Cost per Bucata'!$AC:$AC,ROW()+4)),""),$F284))</f>
        <v/>
      </c>
      <c r="I284" s="46" t="str">
        <f t="shared" si="12"/>
        <v/>
      </c>
      <c r="J284" s="47" t="str">
        <f t="shared" si="13"/>
        <v/>
      </c>
      <c r="K284" s="48" t="str">
        <f t="shared" si="14"/>
        <v/>
      </c>
    </row>
    <row r="285" spans="1:11" x14ac:dyDescent="0.3">
      <c r="A285" s="28" t="str">
        <f>IF(INDEX('Calculator Cost per Bucata'!$A:$A,ROW()+4)="","",INDEX('Calculator Cost per Bucata'!$A:$A,ROW()+4))</f>
        <v/>
      </c>
      <c r="B285" s="28" t="str">
        <f>IF($A285="","",INDEX('Calculator Cost per Bucata'!$C:$C,ROW()+4))</f>
        <v/>
      </c>
      <c r="C285" s="28" t="str">
        <f>IF($A285="","",INDEX('Calculator Cost per Bucata'!$D:$D,ROW()+4))</f>
        <v/>
      </c>
      <c r="D285" s="33" t="str">
        <f>IF(INDEX('Calculator Cost per Bucata'!$Y:$Y,ROW()+4)=1,INDEX('Calculator Cost per Bucata'!$P:$P,ROW()+4),"")</f>
        <v/>
      </c>
      <c r="E285" s="33" t="str">
        <f>IF(INDEX('Calculator Cost per Bucata'!$Y:$Y,ROW()+4)=1,INDEX('Calculator Cost per Bucata'!$S:$S,ROW()+4),"")</f>
        <v/>
      </c>
      <c r="F285" s="33" t="str">
        <f>IF($A285="","",IF(N(INDEX('PI Furnizor'!$L:$L,ROW()+1))&gt;0,INDEX('PI Furnizor'!$L:$L,ROW()+1),""))</f>
        <v/>
      </c>
      <c r="G285" s="33" t="str">
        <f>IF($A285="","",IF(Comenzi!$D$6="Da",$D285,$E285))</f>
        <v/>
      </c>
      <c r="H285" s="33" t="str">
        <f>IF(OR($A285="",$F285=""),"",IF(Comenzi!$D$6="Da",IFERROR($F285/(1+INDEX('Calculator Cost per Bucata'!$AC:$AC,ROW()+4)),""),$F285))</f>
        <v/>
      </c>
      <c r="I285" s="46" t="str">
        <f t="shared" si="12"/>
        <v/>
      </c>
      <c r="J285" s="47" t="str">
        <f t="shared" si="13"/>
        <v/>
      </c>
      <c r="K285" s="48" t="str">
        <f t="shared" si="14"/>
        <v/>
      </c>
    </row>
    <row r="286" spans="1:11" x14ac:dyDescent="0.3">
      <c r="A286" s="28" t="str">
        <f>IF(INDEX('Calculator Cost per Bucata'!$A:$A,ROW()+4)="","",INDEX('Calculator Cost per Bucata'!$A:$A,ROW()+4))</f>
        <v/>
      </c>
      <c r="B286" s="28" t="str">
        <f>IF($A286="","",INDEX('Calculator Cost per Bucata'!$C:$C,ROW()+4))</f>
        <v/>
      </c>
      <c r="C286" s="28" t="str">
        <f>IF($A286="","",INDEX('Calculator Cost per Bucata'!$D:$D,ROW()+4))</f>
        <v/>
      </c>
      <c r="D286" s="33" t="str">
        <f>IF(INDEX('Calculator Cost per Bucata'!$Y:$Y,ROW()+4)=1,INDEX('Calculator Cost per Bucata'!$P:$P,ROW()+4),"")</f>
        <v/>
      </c>
      <c r="E286" s="33" t="str">
        <f>IF(INDEX('Calculator Cost per Bucata'!$Y:$Y,ROW()+4)=1,INDEX('Calculator Cost per Bucata'!$S:$S,ROW()+4),"")</f>
        <v/>
      </c>
      <c r="F286" s="33" t="str">
        <f>IF($A286="","",IF(N(INDEX('PI Furnizor'!$L:$L,ROW()+1))&gt;0,INDEX('PI Furnizor'!$L:$L,ROW()+1),""))</f>
        <v/>
      </c>
      <c r="G286" s="33" t="str">
        <f>IF($A286="","",IF(Comenzi!$D$6="Da",$D286,$E286))</f>
        <v/>
      </c>
      <c r="H286" s="33" t="str">
        <f>IF(OR($A286="",$F286=""),"",IF(Comenzi!$D$6="Da",IFERROR($F286/(1+INDEX('Calculator Cost per Bucata'!$AC:$AC,ROW()+4)),""),$F286))</f>
        <v/>
      </c>
      <c r="I286" s="46" t="str">
        <f t="shared" si="12"/>
        <v/>
      </c>
      <c r="J286" s="47" t="str">
        <f t="shared" si="13"/>
        <v/>
      </c>
      <c r="K286" s="48" t="str">
        <f t="shared" si="14"/>
        <v/>
      </c>
    </row>
    <row r="287" spans="1:11" x14ac:dyDescent="0.3">
      <c r="A287" s="28" t="str">
        <f>IF(INDEX('Calculator Cost per Bucata'!$A:$A,ROW()+4)="","",INDEX('Calculator Cost per Bucata'!$A:$A,ROW()+4))</f>
        <v/>
      </c>
      <c r="B287" s="28" t="str">
        <f>IF($A287="","",INDEX('Calculator Cost per Bucata'!$C:$C,ROW()+4))</f>
        <v/>
      </c>
      <c r="C287" s="28" t="str">
        <f>IF($A287="","",INDEX('Calculator Cost per Bucata'!$D:$D,ROW()+4))</f>
        <v/>
      </c>
      <c r="D287" s="33" t="str">
        <f>IF(INDEX('Calculator Cost per Bucata'!$Y:$Y,ROW()+4)=1,INDEX('Calculator Cost per Bucata'!$P:$P,ROW()+4),"")</f>
        <v/>
      </c>
      <c r="E287" s="33" t="str">
        <f>IF(INDEX('Calculator Cost per Bucata'!$Y:$Y,ROW()+4)=1,INDEX('Calculator Cost per Bucata'!$S:$S,ROW()+4),"")</f>
        <v/>
      </c>
      <c r="F287" s="33" t="str">
        <f>IF($A287="","",IF(N(INDEX('PI Furnizor'!$L:$L,ROW()+1))&gt;0,INDEX('PI Furnizor'!$L:$L,ROW()+1),""))</f>
        <v/>
      </c>
      <c r="G287" s="33" t="str">
        <f>IF($A287="","",IF(Comenzi!$D$6="Da",$D287,$E287))</f>
        <v/>
      </c>
      <c r="H287" s="33" t="str">
        <f>IF(OR($A287="",$F287=""),"",IF(Comenzi!$D$6="Da",IFERROR($F287/(1+INDEX('Calculator Cost per Bucata'!$AC:$AC,ROW()+4)),""),$F287))</f>
        <v/>
      </c>
      <c r="I287" s="46" t="str">
        <f t="shared" si="12"/>
        <v/>
      </c>
      <c r="J287" s="47" t="str">
        <f t="shared" si="13"/>
        <v/>
      </c>
      <c r="K287" s="48" t="str">
        <f t="shared" si="14"/>
        <v/>
      </c>
    </row>
    <row r="288" spans="1:11" x14ac:dyDescent="0.3">
      <c r="A288" s="28" t="str">
        <f>IF(INDEX('Calculator Cost per Bucata'!$A:$A,ROW()+4)="","",INDEX('Calculator Cost per Bucata'!$A:$A,ROW()+4))</f>
        <v/>
      </c>
      <c r="B288" s="28" t="str">
        <f>IF($A288="","",INDEX('Calculator Cost per Bucata'!$C:$C,ROW()+4))</f>
        <v/>
      </c>
      <c r="C288" s="28" t="str">
        <f>IF($A288="","",INDEX('Calculator Cost per Bucata'!$D:$D,ROW()+4))</f>
        <v/>
      </c>
      <c r="D288" s="33" t="str">
        <f>IF(INDEX('Calculator Cost per Bucata'!$Y:$Y,ROW()+4)=1,INDEX('Calculator Cost per Bucata'!$P:$P,ROW()+4),"")</f>
        <v/>
      </c>
      <c r="E288" s="33" t="str">
        <f>IF(INDEX('Calculator Cost per Bucata'!$Y:$Y,ROW()+4)=1,INDEX('Calculator Cost per Bucata'!$S:$S,ROW()+4),"")</f>
        <v/>
      </c>
      <c r="F288" s="33" t="str">
        <f>IF($A288="","",IF(N(INDEX('PI Furnizor'!$L:$L,ROW()+1))&gt;0,INDEX('PI Furnizor'!$L:$L,ROW()+1),""))</f>
        <v/>
      </c>
      <c r="G288" s="33" t="str">
        <f>IF($A288="","",IF(Comenzi!$D$6="Da",$D288,$E288))</f>
        <v/>
      </c>
      <c r="H288" s="33" t="str">
        <f>IF(OR($A288="",$F288=""),"",IF(Comenzi!$D$6="Da",IFERROR($F288/(1+INDEX('Calculator Cost per Bucata'!$AC:$AC,ROW()+4)),""),$F288))</f>
        <v/>
      </c>
      <c r="I288" s="46" t="str">
        <f t="shared" si="12"/>
        <v/>
      </c>
      <c r="J288" s="47" t="str">
        <f t="shared" si="13"/>
        <v/>
      </c>
      <c r="K288" s="48" t="str">
        <f t="shared" si="14"/>
        <v/>
      </c>
    </row>
    <row r="289" spans="1:11" x14ac:dyDescent="0.3">
      <c r="A289" s="28" t="str">
        <f>IF(INDEX('Calculator Cost per Bucata'!$A:$A,ROW()+4)="","",INDEX('Calculator Cost per Bucata'!$A:$A,ROW()+4))</f>
        <v/>
      </c>
      <c r="B289" s="28" t="str">
        <f>IF($A289="","",INDEX('Calculator Cost per Bucata'!$C:$C,ROW()+4))</f>
        <v/>
      </c>
      <c r="C289" s="28" t="str">
        <f>IF($A289="","",INDEX('Calculator Cost per Bucata'!$D:$D,ROW()+4))</f>
        <v/>
      </c>
      <c r="D289" s="33" t="str">
        <f>IF(INDEX('Calculator Cost per Bucata'!$Y:$Y,ROW()+4)=1,INDEX('Calculator Cost per Bucata'!$P:$P,ROW()+4),"")</f>
        <v/>
      </c>
      <c r="E289" s="33" t="str">
        <f>IF(INDEX('Calculator Cost per Bucata'!$Y:$Y,ROW()+4)=1,INDEX('Calculator Cost per Bucata'!$S:$S,ROW()+4),"")</f>
        <v/>
      </c>
      <c r="F289" s="33" t="str">
        <f>IF($A289="","",IF(N(INDEX('PI Furnizor'!$L:$L,ROW()+1))&gt;0,INDEX('PI Furnizor'!$L:$L,ROW()+1),""))</f>
        <v/>
      </c>
      <c r="G289" s="33" t="str">
        <f>IF($A289="","",IF(Comenzi!$D$6="Da",$D289,$E289))</f>
        <v/>
      </c>
      <c r="H289" s="33" t="str">
        <f>IF(OR($A289="",$F289=""),"",IF(Comenzi!$D$6="Da",IFERROR($F289/(1+INDEX('Calculator Cost per Bucata'!$AC:$AC,ROW()+4)),""),$F289))</f>
        <v/>
      </c>
      <c r="I289" s="46" t="str">
        <f t="shared" si="12"/>
        <v/>
      </c>
      <c r="J289" s="47" t="str">
        <f t="shared" si="13"/>
        <v/>
      </c>
      <c r="K289" s="48" t="str">
        <f t="shared" si="14"/>
        <v/>
      </c>
    </row>
    <row r="290" spans="1:11" x14ac:dyDescent="0.3">
      <c r="A290" s="28" t="str">
        <f>IF(INDEX('Calculator Cost per Bucata'!$A:$A,ROW()+4)="","",INDEX('Calculator Cost per Bucata'!$A:$A,ROW()+4))</f>
        <v/>
      </c>
      <c r="B290" s="28" t="str">
        <f>IF($A290="","",INDEX('Calculator Cost per Bucata'!$C:$C,ROW()+4))</f>
        <v/>
      </c>
      <c r="C290" s="28" t="str">
        <f>IF($A290="","",INDEX('Calculator Cost per Bucata'!$D:$D,ROW()+4))</f>
        <v/>
      </c>
      <c r="D290" s="33" t="str">
        <f>IF(INDEX('Calculator Cost per Bucata'!$Y:$Y,ROW()+4)=1,INDEX('Calculator Cost per Bucata'!$P:$P,ROW()+4),"")</f>
        <v/>
      </c>
      <c r="E290" s="33" t="str">
        <f>IF(INDEX('Calculator Cost per Bucata'!$Y:$Y,ROW()+4)=1,INDEX('Calculator Cost per Bucata'!$S:$S,ROW()+4),"")</f>
        <v/>
      </c>
      <c r="F290" s="33" t="str">
        <f>IF($A290="","",IF(N(INDEX('PI Furnizor'!$L:$L,ROW()+1))&gt;0,INDEX('PI Furnizor'!$L:$L,ROW()+1),""))</f>
        <v/>
      </c>
      <c r="G290" s="33" t="str">
        <f>IF($A290="","",IF(Comenzi!$D$6="Da",$D290,$E290))</f>
        <v/>
      </c>
      <c r="H290" s="33" t="str">
        <f>IF(OR($A290="",$F290=""),"",IF(Comenzi!$D$6="Da",IFERROR($F290/(1+INDEX('Calculator Cost per Bucata'!$AC:$AC,ROW()+4)),""),$F290))</f>
        <v/>
      </c>
      <c r="I290" s="46" t="str">
        <f t="shared" si="12"/>
        <v/>
      </c>
      <c r="J290" s="47" t="str">
        <f t="shared" si="13"/>
        <v/>
      </c>
      <c r="K290" s="48" t="str">
        <f t="shared" si="14"/>
        <v/>
      </c>
    </row>
    <row r="291" spans="1:11" x14ac:dyDescent="0.3">
      <c r="A291" s="28" t="str">
        <f>IF(INDEX('Calculator Cost per Bucata'!$A:$A,ROW()+4)="","",INDEX('Calculator Cost per Bucata'!$A:$A,ROW()+4))</f>
        <v/>
      </c>
      <c r="B291" s="28" t="str">
        <f>IF($A291="","",INDEX('Calculator Cost per Bucata'!$C:$C,ROW()+4))</f>
        <v/>
      </c>
      <c r="C291" s="28" t="str">
        <f>IF($A291="","",INDEX('Calculator Cost per Bucata'!$D:$D,ROW()+4))</f>
        <v/>
      </c>
      <c r="D291" s="33" t="str">
        <f>IF(INDEX('Calculator Cost per Bucata'!$Y:$Y,ROW()+4)=1,INDEX('Calculator Cost per Bucata'!$P:$P,ROW()+4),"")</f>
        <v/>
      </c>
      <c r="E291" s="33" t="str">
        <f>IF(INDEX('Calculator Cost per Bucata'!$Y:$Y,ROW()+4)=1,INDEX('Calculator Cost per Bucata'!$S:$S,ROW()+4),"")</f>
        <v/>
      </c>
      <c r="F291" s="33" t="str">
        <f>IF($A291="","",IF(N(INDEX('PI Furnizor'!$L:$L,ROW()+1))&gt;0,INDEX('PI Furnizor'!$L:$L,ROW()+1),""))</f>
        <v/>
      </c>
      <c r="G291" s="33" t="str">
        <f>IF($A291="","",IF(Comenzi!$D$6="Da",$D291,$E291))</f>
        <v/>
      </c>
      <c r="H291" s="33" t="str">
        <f>IF(OR($A291="",$F291=""),"",IF(Comenzi!$D$6="Da",IFERROR($F291/(1+INDEX('Calculator Cost per Bucata'!$AC:$AC,ROW()+4)),""),$F291))</f>
        <v/>
      </c>
      <c r="I291" s="46" t="str">
        <f t="shared" si="12"/>
        <v/>
      </c>
      <c r="J291" s="47" t="str">
        <f t="shared" si="13"/>
        <v/>
      </c>
      <c r="K291" s="48" t="str">
        <f t="shared" si="14"/>
        <v/>
      </c>
    </row>
    <row r="292" spans="1:11" x14ac:dyDescent="0.3">
      <c r="A292" s="28" t="str">
        <f>IF(INDEX('Calculator Cost per Bucata'!$A:$A,ROW()+4)="","",INDEX('Calculator Cost per Bucata'!$A:$A,ROW()+4))</f>
        <v/>
      </c>
      <c r="B292" s="28" t="str">
        <f>IF($A292="","",INDEX('Calculator Cost per Bucata'!$C:$C,ROW()+4))</f>
        <v/>
      </c>
      <c r="C292" s="28" t="str">
        <f>IF($A292="","",INDEX('Calculator Cost per Bucata'!$D:$D,ROW()+4))</f>
        <v/>
      </c>
      <c r="D292" s="33" t="str">
        <f>IF(INDEX('Calculator Cost per Bucata'!$Y:$Y,ROW()+4)=1,INDEX('Calculator Cost per Bucata'!$P:$P,ROW()+4),"")</f>
        <v/>
      </c>
      <c r="E292" s="33" t="str">
        <f>IF(INDEX('Calculator Cost per Bucata'!$Y:$Y,ROW()+4)=1,INDEX('Calculator Cost per Bucata'!$S:$S,ROW()+4),"")</f>
        <v/>
      </c>
      <c r="F292" s="33" t="str">
        <f>IF($A292="","",IF(N(INDEX('PI Furnizor'!$L:$L,ROW()+1))&gt;0,INDEX('PI Furnizor'!$L:$L,ROW()+1),""))</f>
        <v/>
      </c>
      <c r="G292" s="33" t="str">
        <f>IF($A292="","",IF(Comenzi!$D$6="Da",$D292,$E292))</f>
        <v/>
      </c>
      <c r="H292" s="33" t="str">
        <f>IF(OR($A292="",$F292=""),"",IF(Comenzi!$D$6="Da",IFERROR($F292/(1+INDEX('Calculator Cost per Bucata'!$AC:$AC,ROW()+4)),""),$F292))</f>
        <v/>
      </c>
      <c r="I292" s="46" t="str">
        <f t="shared" si="12"/>
        <v/>
      </c>
      <c r="J292" s="47" t="str">
        <f t="shared" si="13"/>
        <v/>
      </c>
      <c r="K292" s="48" t="str">
        <f t="shared" si="14"/>
        <v/>
      </c>
    </row>
    <row r="293" spans="1:11" x14ac:dyDescent="0.3">
      <c r="A293" s="28" t="str">
        <f>IF(INDEX('Calculator Cost per Bucata'!$A:$A,ROW()+4)="","",INDEX('Calculator Cost per Bucata'!$A:$A,ROW()+4))</f>
        <v/>
      </c>
      <c r="B293" s="28" t="str">
        <f>IF($A293="","",INDEX('Calculator Cost per Bucata'!$C:$C,ROW()+4))</f>
        <v/>
      </c>
      <c r="C293" s="28" t="str">
        <f>IF($A293="","",INDEX('Calculator Cost per Bucata'!$D:$D,ROW()+4))</f>
        <v/>
      </c>
      <c r="D293" s="33" t="str">
        <f>IF(INDEX('Calculator Cost per Bucata'!$Y:$Y,ROW()+4)=1,INDEX('Calculator Cost per Bucata'!$P:$P,ROW()+4),"")</f>
        <v/>
      </c>
      <c r="E293" s="33" t="str">
        <f>IF(INDEX('Calculator Cost per Bucata'!$Y:$Y,ROW()+4)=1,INDEX('Calculator Cost per Bucata'!$S:$S,ROW()+4),"")</f>
        <v/>
      </c>
      <c r="F293" s="33" t="str">
        <f>IF($A293="","",IF(N(INDEX('PI Furnizor'!$L:$L,ROW()+1))&gt;0,INDEX('PI Furnizor'!$L:$L,ROW()+1),""))</f>
        <v/>
      </c>
      <c r="G293" s="33" t="str">
        <f>IF($A293="","",IF(Comenzi!$D$6="Da",$D293,$E293))</f>
        <v/>
      </c>
      <c r="H293" s="33" t="str">
        <f>IF(OR($A293="",$F293=""),"",IF(Comenzi!$D$6="Da",IFERROR($F293/(1+INDEX('Calculator Cost per Bucata'!$AC:$AC,ROW()+4)),""),$F293))</f>
        <v/>
      </c>
      <c r="I293" s="46" t="str">
        <f t="shared" si="12"/>
        <v/>
      </c>
      <c r="J293" s="47" t="str">
        <f t="shared" si="13"/>
        <v/>
      </c>
      <c r="K293" s="48" t="str">
        <f t="shared" si="14"/>
        <v/>
      </c>
    </row>
    <row r="294" spans="1:11" x14ac:dyDescent="0.3">
      <c r="A294" s="28" t="str">
        <f>IF(INDEX('Calculator Cost per Bucata'!$A:$A,ROW()+4)="","",INDEX('Calculator Cost per Bucata'!$A:$A,ROW()+4))</f>
        <v/>
      </c>
      <c r="B294" s="28" t="str">
        <f>IF($A294="","",INDEX('Calculator Cost per Bucata'!$C:$C,ROW()+4))</f>
        <v/>
      </c>
      <c r="C294" s="28" t="str">
        <f>IF($A294="","",INDEX('Calculator Cost per Bucata'!$D:$D,ROW()+4))</f>
        <v/>
      </c>
      <c r="D294" s="33" t="str">
        <f>IF(INDEX('Calculator Cost per Bucata'!$Y:$Y,ROW()+4)=1,INDEX('Calculator Cost per Bucata'!$P:$P,ROW()+4),"")</f>
        <v/>
      </c>
      <c r="E294" s="33" t="str">
        <f>IF(INDEX('Calculator Cost per Bucata'!$Y:$Y,ROW()+4)=1,INDEX('Calculator Cost per Bucata'!$S:$S,ROW()+4),"")</f>
        <v/>
      </c>
      <c r="F294" s="33" t="str">
        <f>IF($A294="","",IF(N(INDEX('PI Furnizor'!$L:$L,ROW()+1))&gt;0,INDEX('PI Furnizor'!$L:$L,ROW()+1),""))</f>
        <v/>
      </c>
      <c r="G294" s="33" t="str">
        <f>IF($A294="","",IF(Comenzi!$D$6="Da",$D294,$E294))</f>
        <v/>
      </c>
      <c r="H294" s="33" t="str">
        <f>IF(OR($A294="",$F294=""),"",IF(Comenzi!$D$6="Da",IFERROR($F294/(1+INDEX('Calculator Cost per Bucata'!$AC:$AC,ROW()+4)),""),$F294))</f>
        <v/>
      </c>
      <c r="I294" s="46" t="str">
        <f t="shared" si="12"/>
        <v/>
      </c>
      <c r="J294" s="47" t="str">
        <f t="shared" si="13"/>
        <v/>
      </c>
      <c r="K294" s="48" t="str">
        <f t="shared" si="14"/>
        <v/>
      </c>
    </row>
    <row r="295" spans="1:11" x14ac:dyDescent="0.3">
      <c r="A295" s="28" t="str">
        <f>IF(INDEX('Calculator Cost per Bucata'!$A:$A,ROW()+4)="","",INDEX('Calculator Cost per Bucata'!$A:$A,ROW()+4))</f>
        <v/>
      </c>
      <c r="B295" s="28" t="str">
        <f>IF($A295="","",INDEX('Calculator Cost per Bucata'!$C:$C,ROW()+4))</f>
        <v/>
      </c>
      <c r="C295" s="28" t="str">
        <f>IF($A295="","",INDEX('Calculator Cost per Bucata'!$D:$D,ROW()+4))</f>
        <v/>
      </c>
      <c r="D295" s="33" t="str">
        <f>IF(INDEX('Calculator Cost per Bucata'!$Y:$Y,ROW()+4)=1,INDEX('Calculator Cost per Bucata'!$P:$P,ROW()+4),"")</f>
        <v/>
      </c>
      <c r="E295" s="33" t="str">
        <f>IF(INDEX('Calculator Cost per Bucata'!$Y:$Y,ROW()+4)=1,INDEX('Calculator Cost per Bucata'!$S:$S,ROW()+4),"")</f>
        <v/>
      </c>
      <c r="F295" s="33" t="str">
        <f>IF($A295="","",IF(N(INDEX('PI Furnizor'!$L:$L,ROW()+1))&gt;0,INDEX('PI Furnizor'!$L:$L,ROW()+1),""))</f>
        <v/>
      </c>
      <c r="G295" s="33" t="str">
        <f>IF($A295="","",IF(Comenzi!$D$6="Da",$D295,$E295))</f>
        <v/>
      </c>
      <c r="H295" s="33" t="str">
        <f>IF(OR($A295="",$F295=""),"",IF(Comenzi!$D$6="Da",IFERROR($F295/(1+INDEX('Calculator Cost per Bucata'!$AC:$AC,ROW()+4)),""),$F295))</f>
        <v/>
      </c>
      <c r="I295" s="46" t="str">
        <f t="shared" si="12"/>
        <v/>
      </c>
      <c r="J295" s="47" t="str">
        <f t="shared" si="13"/>
        <v/>
      </c>
      <c r="K295" s="48" t="str">
        <f t="shared" si="14"/>
        <v/>
      </c>
    </row>
    <row r="296" spans="1:11" x14ac:dyDescent="0.3">
      <c r="A296" s="28" t="str">
        <f>IF(INDEX('Calculator Cost per Bucata'!$A:$A,ROW()+4)="","",INDEX('Calculator Cost per Bucata'!$A:$A,ROW()+4))</f>
        <v/>
      </c>
      <c r="B296" s="28" t="str">
        <f>IF($A296="","",INDEX('Calculator Cost per Bucata'!$C:$C,ROW()+4))</f>
        <v/>
      </c>
      <c r="C296" s="28" t="str">
        <f>IF($A296="","",INDEX('Calculator Cost per Bucata'!$D:$D,ROW()+4))</f>
        <v/>
      </c>
      <c r="D296" s="33" t="str">
        <f>IF(INDEX('Calculator Cost per Bucata'!$Y:$Y,ROW()+4)=1,INDEX('Calculator Cost per Bucata'!$P:$P,ROW()+4),"")</f>
        <v/>
      </c>
      <c r="E296" s="33" t="str">
        <f>IF(INDEX('Calculator Cost per Bucata'!$Y:$Y,ROW()+4)=1,INDEX('Calculator Cost per Bucata'!$S:$S,ROW()+4),"")</f>
        <v/>
      </c>
      <c r="F296" s="33" t="str">
        <f>IF($A296="","",IF(N(INDEX('PI Furnizor'!$L:$L,ROW()+1))&gt;0,INDEX('PI Furnizor'!$L:$L,ROW()+1),""))</f>
        <v/>
      </c>
      <c r="G296" s="33" t="str">
        <f>IF($A296="","",IF(Comenzi!$D$6="Da",$D296,$E296))</f>
        <v/>
      </c>
      <c r="H296" s="33" t="str">
        <f>IF(OR($A296="",$F296=""),"",IF(Comenzi!$D$6="Da",IFERROR($F296/(1+INDEX('Calculator Cost per Bucata'!$AC:$AC,ROW()+4)),""),$F296))</f>
        <v/>
      </c>
      <c r="I296" s="46" t="str">
        <f t="shared" si="12"/>
        <v/>
      </c>
      <c r="J296" s="47" t="str">
        <f t="shared" si="13"/>
        <v/>
      </c>
      <c r="K296" s="48" t="str">
        <f t="shared" si="14"/>
        <v/>
      </c>
    </row>
    <row r="297" spans="1:11" x14ac:dyDescent="0.3">
      <c r="A297" s="28" t="str">
        <f>IF(INDEX('Calculator Cost per Bucata'!$A:$A,ROW()+4)="","",INDEX('Calculator Cost per Bucata'!$A:$A,ROW()+4))</f>
        <v/>
      </c>
      <c r="B297" s="28" t="str">
        <f>IF($A297="","",INDEX('Calculator Cost per Bucata'!$C:$C,ROW()+4))</f>
        <v/>
      </c>
      <c r="C297" s="28" t="str">
        <f>IF($A297="","",INDEX('Calculator Cost per Bucata'!$D:$D,ROW()+4))</f>
        <v/>
      </c>
      <c r="D297" s="33" t="str">
        <f>IF(INDEX('Calculator Cost per Bucata'!$Y:$Y,ROW()+4)=1,INDEX('Calculator Cost per Bucata'!$P:$P,ROW()+4),"")</f>
        <v/>
      </c>
      <c r="E297" s="33" t="str">
        <f>IF(INDEX('Calculator Cost per Bucata'!$Y:$Y,ROW()+4)=1,INDEX('Calculator Cost per Bucata'!$S:$S,ROW()+4),"")</f>
        <v/>
      </c>
      <c r="F297" s="33" t="str">
        <f>IF($A297="","",IF(N(INDEX('PI Furnizor'!$L:$L,ROW()+1))&gt;0,INDEX('PI Furnizor'!$L:$L,ROW()+1),""))</f>
        <v/>
      </c>
      <c r="G297" s="33" t="str">
        <f>IF($A297="","",IF(Comenzi!$D$6="Da",$D297,$E297))</f>
        <v/>
      </c>
      <c r="H297" s="33" t="str">
        <f>IF(OR($A297="",$F297=""),"",IF(Comenzi!$D$6="Da",IFERROR($F297/(1+INDEX('Calculator Cost per Bucata'!$AC:$AC,ROW()+4)),""),$F297))</f>
        <v/>
      </c>
      <c r="I297" s="46" t="str">
        <f t="shared" si="12"/>
        <v/>
      </c>
      <c r="J297" s="47" t="str">
        <f t="shared" si="13"/>
        <v/>
      </c>
      <c r="K297" s="48" t="str">
        <f t="shared" si="14"/>
        <v/>
      </c>
    </row>
    <row r="298" spans="1:11" x14ac:dyDescent="0.3">
      <c r="A298" s="28" t="str">
        <f>IF(INDEX('Calculator Cost per Bucata'!$A:$A,ROW()+4)="","",INDEX('Calculator Cost per Bucata'!$A:$A,ROW()+4))</f>
        <v/>
      </c>
      <c r="B298" s="28" t="str">
        <f>IF($A298="","",INDEX('Calculator Cost per Bucata'!$C:$C,ROW()+4))</f>
        <v/>
      </c>
      <c r="C298" s="28" t="str">
        <f>IF($A298="","",INDEX('Calculator Cost per Bucata'!$D:$D,ROW()+4))</f>
        <v/>
      </c>
      <c r="D298" s="33" t="str">
        <f>IF(INDEX('Calculator Cost per Bucata'!$Y:$Y,ROW()+4)=1,INDEX('Calculator Cost per Bucata'!$P:$P,ROW()+4),"")</f>
        <v/>
      </c>
      <c r="E298" s="33" t="str">
        <f>IF(INDEX('Calculator Cost per Bucata'!$Y:$Y,ROW()+4)=1,INDEX('Calculator Cost per Bucata'!$S:$S,ROW()+4),"")</f>
        <v/>
      </c>
      <c r="F298" s="33" t="str">
        <f>IF($A298="","",IF(N(INDEX('PI Furnizor'!$L:$L,ROW()+1))&gt;0,INDEX('PI Furnizor'!$L:$L,ROW()+1),""))</f>
        <v/>
      </c>
      <c r="G298" s="33" t="str">
        <f>IF($A298="","",IF(Comenzi!$D$6="Da",$D298,$E298))</f>
        <v/>
      </c>
      <c r="H298" s="33" t="str">
        <f>IF(OR($A298="",$F298=""),"",IF(Comenzi!$D$6="Da",IFERROR($F298/(1+INDEX('Calculator Cost per Bucata'!$AC:$AC,ROW()+4)),""),$F298))</f>
        <v/>
      </c>
      <c r="I298" s="46" t="str">
        <f t="shared" si="12"/>
        <v/>
      </c>
      <c r="J298" s="47" t="str">
        <f t="shared" si="13"/>
        <v/>
      </c>
      <c r="K298" s="48" t="str">
        <f t="shared" si="14"/>
        <v/>
      </c>
    </row>
    <row r="299" spans="1:11" x14ac:dyDescent="0.3">
      <c r="A299" s="28" t="str">
        <f>IF(INDEX('Calculator Cost per Bucata'!$A:$A,ROW()+4)="","",INDEX('Calculator Cost per Bucata'!$A:$A,ROW()+4))</f>
        <v/>
      </c>
      <c r="B299" s="28" t="str">
        <f>IF($A299="","",INDEX('Calculator Cost per Bucata'!$C:$C,ROW()+4))</f>
        <v/>
      </c>
      <c r="C299" s="28" t="str">
        <f>IF($A299="","",INDEX('Calculator Cost per Bucata'!$D:$D,ROW()+4))</f>
        <v/>
      </c>
      <c r="D299" s="33" t="str">
        <f>IF(INDEX('Calculator Cost per Bucata'!$Y:$Y,ROW()+4)=1,INDEX('Calculator Cost per Bucata'!$P:$P,ROW()+4),"")</f>
        <v/>
      </c>
      <c r="E299" s="33" t="str">
        <f>IF(INDEX('Calculator Cost per Bucata'!$Y:$Y,ROW()+4)=1,INDEX('Calculator Cost per Bucata'!$S:$S,ROW()+4),"")</f>
        <v/>
      </c>
      <c r="F299" s="33" t="str">
        <f>IF($A299="","",IF(N(INDEX('PI Furnizor'!$L:$L,ROW()+1))&gt;0,INDEX('PI Furnizor'!$L:$L,ROW()+1),""))</f>
        <v/>
      </c>
      <c r="G299" s="33" t="str">
        <f>IF($A299="","",IF(Comenzi!$D$6="Da",$D299,$E299))</f>
        <v/>
      </c>
      <c r="H299" s="33" t="str">
        <f>IF(OR($A299="",$F299=""),"",IF(Comenzi!$D$6="Da",IFERROR($F299/(1+INDEX('Calculator Cost per Bucata'!$AC:$AC,ROW()+4)),""),$F299))</f>
        <v/>
      </c>
      <c r="I299" s="46" t="str">
        <f t="shared" si="12"/>
        <v/>
      </c>
      <c r="J299" s="47" t="str">
        <f t="shared" si="13"/>
        <v/>
      </c>
      <c r="K299" s="48" t="str">
        <f t="shared" si="14"/>
        <v/>
      </c>
    </row>
    <row r="300" spans="1:11" x14ac:dyDescent="0.3">
      <c r="A300" s="28" t="str">
        <f>IF(INDEX('Calculator Cost per Bucata'!$A:$A,ROW()+4)="","",INDEX('Calculator Cost per Bucata'!$A:$A,ROW()+4))</f>
        <v/>
      </c>
      <c r="B300" s="28" t="str">
        <f>IF($A300="","",INDEX('Calculator Cost per Bucata'!$C:$C,ROW()+4))</f>
        <v/>
      </c>
      <c r="C300" s="28" t="str">
        <f>IF($A300="","",INDEX('Calculator Cost per Bucata'!$D:$D,ROW()+4))</f>
        <v/>
      </c>
      <c r="D300" s="33" t="str">
        <f>IF(INDEX('Calculator Cost per Bucata'!$Y:$Y,ROW()+4)=1,INDEX('Calculator Cost per Bucata'!$P:$P,ROW()+4),"")</f>
        <v/>
      </c>
      <c r="E300" s="33" t="str">
        <f>IF(INDEX('Calculator Cost per Bucata'!$Y:$Y,ROW()+4)=1,INDEX('Calculator Cost per Bucata'!$S:$S,ROW()+4),"")</f>
        <v/>
      </c>
      <c r="F300" s="33" t="str">
        <f>IF($A300="","",IF(N(INDEX('PI Furnizor'!$L:$L,ROW()+1))&gt;0,INDEX('PI Furnizor'!$L:$L,ROW()+1),""))</f>
        <v/>
      </c>
      <c r="G300" s="33" t="str">
        <f>IF($A300="","",IF(Comenzi!$D$6="Da",$D300,$E300))</f>
        <v/>
      </c>
      <c r="H300" s="33" t="str">
        <f>IF(OR($A300="",$F300=""),"",IF(Comenzi!$D$6="Da",IFERROR($F300/(1+INDEX('Calculator Cost per Bucata'!$AC:$AC,ROW()+4)),""),$F300))</f>
        <v/>
      </c>
      <c r="I300" s="46" t="str">
        <f t="shared" si="12"/>
        <v/>
      </c>
      <c r="J300" s="47" t="str">
        <f t="shared" si="13"/>
        <v/>
      </c>
      <c r="K300" s="48" t="str">
        <f t="shared" si="14"/>
        <v/>
      </c>
    </row>
    <row r="301" spans="1:11" x14ac:dyDescent="0.3">
      <c r="A301" s="28" t="str">
        <f>IF(INDEX('Calculator Cost per Bucata'!$A:$A,ROW()+4)="","",INDEX('Calculator Cost per Bucata'!$A:$A,ROW()+4))</f>
        <v/>
      </c>
      <c r="B301" s="28" t="str">
        <f>IF($A301="","",INDEX('Calculator Cost per Bucata'!$C:$C,ROW()+4))</f>
        <v/>
      </c>
      <c r="C301" s="28" t="str">
        <f>IF($A301="","",INDEX('Calculator Cost per Bucata'!$D:$D,ROW()+4))</f>
        <v/>
      </c>
      <c r="D301" s="33" t="str">
        <f>IF(INDEX('Calculator Cost per Bucata'!$Y:$Y,ROW()+4)=1,INDEX('Calculator Cost per Bucata'!$P:$P,ROW()+4),"")</f>
        <v/>
      </c>
      <c r="E301" s="33" t="str">
        <f>IF(INDEX('Calculator Cost per Bucata'!$Y:$Y,ROW()+4)=1,INDEX('Calculator Cost per Bucata'!$S:$S,ROW()+4),"")</f>
        <v/>
      </c>
      <c r="F301" s="33" t="str">
        <f>IF($A301="","",IF(N(INDEX('PI Furnizor'!$L:$L,ROW()+1))&gt;0,INDEX('PI Furnizor'!$L:$L,ROW()+1),""))</f>
        <v/>
      </c>
      <c r="G301" s="33" t="str">
        <f>IF($A301="","",IF(Comenzi!$D$6="Da",$D301,$E301))</f>
        <v/>
      </c>
      <c r="H301" s="33" t="str">
        <f>IF(OR($A301="",$F301=""),"",IF(Comenzi!$D$6="Da",IFERROR($F301/(1+INDEX('Calculator Cost per Bucata'!$AC:$AC,ROW()+4)),""),$F301))</f>
        <v/>
      </c>
      <c r="I301" s="46" t="str">
        <f t="shared" si="12"/>
        <v/>
      </c>
      <c r="J301" s="47" t="str">
        <f t="shared" si="13"/>
        <v/>
      </c>
      <c r="K301" s="48" t="str">
        <f t="shared" si="14"/>
        <v/>
      </c>
    </row>
    <row r="302" spans="1:11" x14ac:dyDescent="0.3">
      <c r="A302" s="28" t="str">
        <f>IF(INDEX('Calculator Cost per Bucata'!$A:$A,ROW()+4)="","",INDEX('Calculator Cost per Bucata'!$A:$A,ROW()+4))</f>
        <v/>
      </c>
      <c r="B302" s="28" t="str">
        <f>IF($A302="","",INDEX('Calculator Cost per Bucata'!$C:$C,ROW()+4))</f>
        <v/>
      </c>
      <c r="C302" s="28" t="str">
        <f>IF($A302="","",INDEX('Calculator Cost per Bucata'!$D:$D,ROW()+4))</f>
        <v/>
      </c>
      <c r="D302" s="33" t="str">
        <f>IF(INDEX('Calculator Cost per Bucata'!$Y:$Y,ROW()+4)=1,INDEX('Calculator Cost per Bucata'!$P:$P,ROW()+4),"")</f>
        <v/>
      </c>
      <c r="E302" s="33" t="str">
        <f>IF(INDEX('Calculator Cost per Bucata'!$Y:$Y,ROW()+4)=1,INDEX('Calculator Cost per Bucata'!$S:$S,ROW()+4),"")</f>
        <v/>
      </c>
      <c r="F302" s="33" t="str">
        <f>IF($A302="","",IF(N(INDEX('PI Furnizor'!$L:$L,ROW()+1))&gt;0,INDEX('PI Furnizor'!$L:$L,ROW()+1),""))</f>
        <v/>
      </c>
      <c r="G302" s="33" t="str">
        <f>IF($A302="","",IF(Comenzi!$D$6="Da",$D302,$E302))</f>
        <v/>
      </c>
      <c r="H302" s="33" t="str">
        <f>IF(OR($A302="",$F302=""),"",IF(Comenzi!$D$6="Da",IFERROR($F302/(1+INDEX('Calculator Cost per Bucata'!$AC:$AC,ROW()+4)),""),$F302))</f>
        <v/>
      </c>
      <c r="I302" s="46" t="str">
        <f t="shared" si="12"/>
        <v/>
      </c>
      <c r="J302" s="47" t="str">
        <f t="shared" si="13"/>
        <v/>
      </c>
      <c r="K302" s="48" t="str">
        <f t="shared" si="14"/>
        <v/>
      </c>
    </row>
    <row r="303" spans="1:11" x14ac:dyDescent="0.3">
      <c r="A303" s="28" t="str">
        <f>IF(INDEX('Calculator Cost per Bucata'!$A:$A,ROW()+4)="","",INDEX('Calculator Cost per Bucata'!$A:$A,ROW()+4))</f>
        <v/>
      </c>
      <c r="B303" s="28" t="str">
        <f>IF($A303="","",INDEX('Calculator Cost per Bucata'!$C:$C,ROW()+4))</f>
        <v/>
      </c>
      <c r="C303" s="28" t="str">
        <f>IF($A303="","",INDEX('Calculator Cost per Bucata'!$D:$D,ROW()+4))</f>
        <v/>
      </c>
      <c r="D303" s="33" t="str">
        <f>IF(INDEX('Calculator Cost per Bucata'!$Y:$Y,ROW()+4)=1,INDEX('Calculator Cost per Bucata'!$P:$P,ROW()+4),"")</f>
        <v/>
      </c>
      <c r="E303" s="33" t="str">
        <f>IF(INDEX('Calculator Cost per Bucata'!$Y:$Y,ROW()+4)=1,INDEX('Calculator Cost per Bucata'!$S:$S,ROW()+4),"")</f>
        <v/>
      </c>
      <c r="F303" s="33" t="str">
        <f>IF($A303="","",IF(N(INDEX('PI Furnizor'!$L:$L,ROW()+1))&gt;0,INDEX('PI Furnizor'!$L:$L,ROW()+1),""))</f>
        <v/>
      </c>
      <c r="G303" s="33" t="str">
        <f>IF($A303="","",IF(Comenzi!$D$6="Da",$D303,$E303))</f>
        <v/>
      </c>
      <c r="H303" s="33" t="str">
        <f>IF(OR($A303="",$F303=""),"",IF(Comenzi!$D$6="Da",IFERROR($F303/(1+INDEX('Calculator Cost per Bucata'!$AC:$AC,ROW()+4)),""),$F303))</f>
        <v/>
      </c>
      <c r="I303" s="46" t="str">
        <f t="shared" si="12"/>
        <v/>
      </c>
      <c r="J303" s="47" t="str">
        <f t="shared" si="13"/>
        <v/>
      </c>
      <c r="K303" s="48" t="str">
        <f t="shared" si="14"/>
        <v/>
      </c>
    </row>
    <row r="304" spans="1:11" x14ac:dyDescent="0.3">
      <c r="A304" s="28" t="str">
        <f>IF(INDEX('Calculator Cost per Bucata'!$A:$A,ROW()+4)="","",INDEX('Calculator Cost per Bucata'!$A:$A,ROW()+4))</f>
        <v/>
      </c>
      <c r="B304" s="28" t="str">
        <f>IF($A304="","",INDEX('Calculator Cost per Bucata'!$C:$C,ROW()+4))</f>
        <v/>
      </c>
      <c r="C304" s="28" t="str">
        <f>IF($A304="","",INDEX('Calculator Cost per Bucata'!$D:$D,ROW()+4))</f>
        <v/>
      </c>
      <c r="D304" s="33" t="str">
        <f>IF(INDEX('Calculator Cost per Bucata'!$Y:$Y,ROW()+4)=1,INDEX('Calculator Cost per Bucata'!$P:$P,ROW()+4),"")</f>
        <v/>
      </c>
      <c r="E304" s="33" t="str">
        <f>IF(INDEX('Calculator Cost per Bucata'!$Y:$Y,ROW()+4)=1,INDEX('Calculator Cost per Bucata'!$S:$S,ROW()+4),"")</f>
        <v/>
      </c>
      <c r="F304" s="33" t="str">
        <f>IF($A304="","",IF(N(INDEX('PI Furnizor'!$L:$L,ROW()+1))&gt;0,INDEX('PI Furnizor'!$L:$L,ROW()+1),""))</f>
        <v/>
      </c>
      <c r="G304" s="33" t="str">
        <f>IF($A304="","",IF(Comenzi!$D$6="Da",$D304,$E304))</f>
        <v/>
      </c>
      <c r="H304" s="33" t="str">
        <f>IF(OR($A304="",$F304=""),"",IF(Comenzi!$D$6="Da",IFERROR($F304/(1+INDEX('Calculator Cost per Bucata'!$AC:$AC,ROW()+4)),""),$F304))</f>
        <v/>
      </c>
      <c r="I304" s="46" t="str">
        <f t="shared" si="12"/>
        <v/>
      </c>
      <c r="J304" s="47" t="str">
        <f t="shared" si="13"/>
        <v/>
      </c>
      <c r="K304" s="48" t="str">
        <f t="shared" si="14"/>
        <v/>
      </c>
    </row>
    <row r="305" spans="1:11" x14ac:dyDescent="0.3">
      <c r="A305" s="28" t="str">
        <f>IF(INDEX('Calculator Cost per Bucata'!$A:$A,ROW()+4)="","",INDEX('Calculator Cost per Bucata'!$A:$A,ROW()+4))</f>
        <v/>
      </c>
      <c r="B305" s="28" t="str">
        <f>IF($A305="","",INDEX('Calculator Cost per Bucata'!$C:$C,ROW()+4))</f>
        <v/>
      </c>
      <c r="C305" s="28" t="str">
        <f>IF($A305="","",INDEX('Calculator Cost per Bucata'!$D:$D,ROW()+4))</f>
        <v/>
      </c>
      <c r="D305" s="33" t="str">
        <f>IF(INDEX('Calculator Cost per Bucata'!$Y:$Y,ROW()+4)=1,INDEX('Calculator Cost per Bucata'!$P:$P,ROW()+4),"")</f>
        <v/>
      </c>
      <c r="E305" s="33" t="str">
        <f>IF(INDEX('Calculator Cost per Bucata'!$Y:$Y,ROW()+4)=1,INDEX('Calculator Cost per Bucata'!$S:$S,ROW()+4),"")</f>
        <v/>
      </c>
      <c r="F305" s="33" t="str">
        <f>IF($A305="","",IF(N(INDEX('PI Furnizor'!$L:$L,ROW()+1))&gt;0,INDEX('PI Furnizor'!$L:$L,ROW()+1),""))</f>
        <v/>
      </c>
      <c r="G305" s="33" t="str">
        <f>IF($A305="","",IF(Comenzi!$D$6="Da",$D305,$E305))</f>
        <v/>
      </c>
      <c r="H305" s="33" t="str">
        <f>IF(OR($A305="",$F305=""),"",IF(Comenzi!$D$6="Da",IFERROR($F305/(1+INDEX('Calculator Cost per Bucata'!$AC:$AC,ROW()+4)),""),$F305))</f>
        <v/>
      </c>
      <c r="I305" s="46" t="str">
        <f t="shared" si="12"/>
        <v/>
      </c>
      <c r="J305" s="47" t="str">
        <f t="shared" si="13"/>
        <v/>
      </c>
      <c r="K305" s="48" t="str">
        <f t="shared" si="14"/>
        <v/>
      </c>
    </row>
    <row r="306" spans="1:11" x14ac:dyDescent="0.3">
      <c r="A306" s="28" t="str">
        <f>IF(INDEX('Calculator Cost per Bucata'!$A:$A,ROW()+4)="","",INDEX('Calculator Cost per Bucata'!$A:$A,ROW()+4))</f>
        <v/>
      </c>
      <c r="B306" s="28" t="str">
        <f>IF($A306="","",INDEX('Calculator Cost per Bucata'!$C:$C,ROW()+4))</f>
        <v/>
      </c>
      <c r="C306" s="28" t="str">
        <f>IF($A306="","",INDEX('Calculator Cost per Bucata'!$D:$D,ROW()+4))</f>
        <v/>
      </c>
      <c r="D306" s="33" t="str">
        <f>IF(INDEX('Calculator Cost per Bucata'!$Y:$Y,ROW()+4)=1,INDEX('Calculator Cost per Bucata'!$P:$P,ROW()+4),"")</f>
        <v/>
      </c>
      <c r="E306" s="33" t="str">
        <f>IF(INDEX('Calculator Cost per Bucata'!$Y:$Y,ROW()+4)=1,INDEX('Calculator Cost per Bucata'!$S:$S,ROW()+4),"")</f>
        <v/>
      </c>
      <c r="F306" s="33" t="str">
        <f>IF($A306="","",IF(N(INDEX('PI Furnizor'!$L:$L,ROW()+1))&gt;0,INDEX('PI Furnizor'!$L:$L,ROW()+1),""))</f>
        <v/>
      </c>
      <c r="G306" s="33" t="str">
        <f>IF($A306="","",IF(Comenzi!$D$6="Da",$D306,$E306))</f>
        <v/>
      </c>
      <c r="H306" s="33" t="str">
        <f>IF(OR($A306="",$F306=""),"",IF(Comenzi!$D$6="Da",IFERROR($F306/(1+INDEX('Calculator Cost per Bucata'!$AC:$AC,ROW()+4)),""),$F306))</f>
        <v/>
      </c>
      <c r="I306" s="46" t="str">
        <f t="shared" si="12"/>
        <v/>
      </c>
      <c r="J306" s="47" t="str">
        <f t="shared" si="13"/>
        <v/>
      </c>
      <c r="K306" s="48" t="str">
        <f t="shared" si="14"/>
        <v/>
      </c>
    </row>
    <row r="307" spans="1:11" x14ac:dyDescent="0.3">
      <c r="A307" s="28" t="str">
        <f>IF(INDEX('Calculator Cost per Bucata'!$A:$A,ROW()+4)="","",INDEX('Calculator Cost per Bucata'!$A:$A,ROW()+4))</f>
        <v/>
      </c>
      <c r="B307" s="28" t="str">
        <f>IF($A307="","",INDEX('Calculator Cost per Bucata'!$C:$C,ROW()+4))</f>
        <v/>
      </c>
      <c r="C307" s="28" t="str">
        <f>IF($A307="","",INDEX('Calculator Cost per Bucata'!$D:$D,ROW()+4))</f>
        <v/>
      </c>
      <c r="D307" s="33" t="str">
        <f>IF(INDEX('Calculator Cost per Bucata'!$Y:$Y,ROW()+4)=1,INDEX('Calculator Cost per Bucata'!$P:$P,ROW()+4),"")</f>
        <v/>
      </c>
      <c r="E307" s="33" t="str">
        <f>IF(INDEX('Calculator Cost per Bucata'!$Y:$Y,ROW()+4)=1,INDEX('Calculator Cost per Bucata'!$S:$S,ROW()+4),"")</f>
        <v/>
      </c>
      <c r="F307" s="33" t="str">
        <f>IF($A307="","",IF(N(INDEX('PI Furnizor'!$L:$L,ROW()+1))&gt;0,INDEX('PI Furnizor'!$L:$L,ROW()+1),""))</f>
        <v/>
      </c>
      <c r="G307" s="33" t="str">
        <f>IF($A307="","",IF(Comenzi!$D$6="Da",$D307,$E307))</f>
        <v/>
      </c>
      <c r="H307" s="33" t="str">
        <f>IF(OR($A307="",$F307=""),"",IF(Comenzi!$D$6="Da",IFERROR($F307/(1+INDEX('Calculator Cost per Bucata'!$AC:$AC,ROW()+4)),""),$F307))</f>
        <v/>
      </c>
      <c r="I307" s="46" t="str">
        <f t="shared" si="12"/>
        <v/>
      </c>
      <c r="J307" s="47" t="str">
        <f t="shared" si="13"/>
        <v/>
      </c>
      <c r="K307" s="48" t="str">
        <f t="shared" si="14"/>
        <v/>
      </c>
    </row>
    <row r="308" spans="1:11" x14ac:dyDescent="0.3">
      <c r="A308" s="28" t="str">
        <f>IF(INDEX('Calculator Cost per Bucata'!$A:$A,ROW()+4)="","",INDEX('Calculator Cost per Bucata'!$A:$A,ROW()+4))</f>
        <v/>
      </c>
      <c r="B308" s="28" t="str">
        <f>IF($A308="","",INDEX('Calculator Cost per Bucata'!$C:$C,ROW()+4))</f>
        <v/>
      </c>
      <c r="C308" s="28" t="str">
        <f>IF($A308="","",INDEX('Calculator Cost per Bucata'!$D:$D,ROW()+4))</f>
        <v/>
      </c>
      <c r="D308" s="33" t="str">
        <f>IF(INDEX('Calculator Cost per Bucata'!$Y:$Y,ROW()+4)=1,INDEX('Calculator Cost per Bucata'!$P:$P,ROW()+4),"")</f>
        <v/>
      </c>
      <c r="E308" s="33" t="str">
        <f>IF(INDEX('Calculator Cost per Bucata'!$Y:$Y,ROW()+4)=1,INDEX('Calculator Cost per Bucata'!$S:$S,ROW()+4),"")</f>
        <v/>
      </c>
      <c r="F308" s="33" t="str">
        <f>IF($A308="","",IF(N(INDEX('PI Furnizor'!$L:$L,ROW()+1))&gt;0,INDEX('PI Furnizor'!$L:$L,ROW()+1),""))</f>
        <v/>
      </c>
      <c r="G308" s="33" t="str">
        <f>IF($A308="","",IF(Comenzi!$D$6="Da",$D308,$E308))</f>
        <v/>
      </c>
      <c r="H308" s="33" t="str">
        <f>IF(OR($A308="",$F308=""),"",IF(Comenzi!$D$6="Da",IFERROR($F308/(1+INDEX('Calculator Cost per Bucata'!$AC:$AC,ROW()+4)),""),$F308))</f>
        <v/>
      </c>
      <c r="I308" s="46" t="str">
        <f t="shared" si="12"/>
        <v/>
      </c>
      <c r="J308" s="47" t="str">
        <f t="shared" si="13"/>
        <v/>
      </c>
      <c r="K308" s="48" t="str">
        <f t="shared" si="14"/>
        <v/>
      </c>
    </row>
    <row r="309" spans="1:11" x14ac:dyDescent="0.3">
      <c r="A309" s="28" t="str">
        <f>IF(INDEX('Calculator Cost per Bucata'!$A:$A,ROW()+4)="","",INDEX('Calculator Cost per Bucata'!$A:$A,ROW()+4))</f>
        <v/>
      </c>
      <c r="B309" s="28" t="str">
        <f>IF($A309="","",INDEX('Calculator Cost per Bucata'!$C:$C,ROW()+4))</f>
        <v/>
      </c>
      <c r="C309" s="28" t="str">
        <f>IF($A309="","",INDEX('Calculator Cost per Bucata'!$D:$D,ROW()+4))</f>
        <v/>
      </c>
      <c r="D309" s="33" t="str">
        <f>IF(INDEX('Calculator Cost per Bucata'!$Y:$Y,ROW()+4)=1,INDEX('Calculator Cost per Bucata'!$P:$P,ROW()+4),"")</f>
        <v/>
      </c>
      <c r="E309" s="33" t="str">
        <f>IF(INDEX('Calculator Cost per Bucata'!$Y:$Y,ROW()+4)=1,INDEX('Calculator Cost per Bucata'!$S:$S,ROW()+4),"")</f>
        <v/>
      </c>
      <c r="F309" s="33" t="str">
        <f>IF($A309="","",IF(N(INDEX('PI Furnizor'!$L:$L,ROW()+1))&gt;0,INDEX('PI Furnizor'!$L:$L,ROW()+1),""))</f>
        <v/>
      </c>
      <c r="G309" s="33" t="str">
        <f>IF($A309="","",IF(Comenzi!$D$6="Da",$D309,$E309))</f>
        <v/>
      </c>
      <c r="H309" s="33" t="str">
        <f>IF(OR($A309="",$F309=""),"",IF(Comenzi!$D$6="Da",IFERROR($F309/(1+INDEX('Calculator Cost per Bucata'!$AC:$AC,ROW()+4)),""),$F309))</f>
        <v/>
      </c>
      <c r="I309" s="46" t="str">
        <f t="shared" si="12"/>
        <v/>
      </c>
      <c r="J309" s="47" t="str">
        <f t="shared" si="13"/>
        <v/>
      </c>
      <c r="K309" s="48" t="str">
        <f t="shared" si="14"/>
        <v/>
      </c>
    </row>
    <row r="310" spans="1:11" x14ac:dyDescent="0.3">
      <c r="A310" s="28" t="str">
        <f>IF(INDEX('Calculator Cost per Bucata'!$A:$A,ROW()+4)="","",INDEX('Calculator Cost per Bucata'!$A:$A,ROW()+4))</f>
        <v/>
      </c>
      <c r="B310" s="28" t="str">
        <f>IF($A310="","",INDEX('Calculator Cost per Bucata'!$C:$C,ROW()+4))</f>
        <v/>
      </c>
      <c r="C310" s="28" t="str">
        <f>IF($A310="","",INDEX('Calculator Cost per Bucata'!$D:$D,ROW()+4))</f>
        <v/>
      </c>
      <c r="D310" s="33" t="str">
        <f>IF(INDEX('Calculator Cost per Bucata'!$Y:$Y,ROW()+4)=1,INDEX('Calculator Cost per Bucata'!$P:$P,ROW()+4),"")</f>
        <v/>
      </c>
      <c r="E310" s="33" t="str">
        <f>IF(INDEX('Calculator Cost per Bucata'!$Y:$Y,ROW()+4)=1,INDEX('Calculator Cost per Bucata'!$S:$S,ROW()+4),"")</f>
        <v/>
      </c>
      <c r="F310" s="33" t="str">
        <f>IF($A310="","",IF(N(INDEX('PI Furnizor'!$L:$L,ROW()+1))&gt;0,INDEX('PI Furnizor'!$L:$L,ROW()+1),""))</f>
        <v/>
      </c>
      <c r="G310" s="33" t="str">
        <f>IF($A310="","",IF(Comenzi!$D$6="Da",$D310,$E310))</f>
        <v/>
      </c>
      <c r="H310" s="33" t="str">
        <f>IF(OR($A310="",$F310=""),"",IF(Comenzi!$D$6="Da",IFERROR($F310/(1+INDEX('Calculator Cost per Bucata'!$AC:$AC,ROW()+4)),""),$F310))</f>
        <v/>
      </c>
      <c r="I310" s="46" t="str">
        <f t="shared" si="12"/>
        <v/>
      </c>
      <c r="J310" s="47" t="str">
        <f t="shared" si="13"/>
        <v/>
      </c>
      <c r="K310" s="48" t="str">
        <f t="shared" si="14"/>
        <v/>
      </c>
    </row>
    <row r="311" spans="1:11" x14ac:dyDescent="0.3">
      <c r="A311" s="28" t="str">
        <f>IF(INDEX('Calculator Cost per Bucata'!$A:$A,ROW()+4)="","",INDEX('Calculator Cost per Bucata'!$A:$A,ROW()+4))</f>
        <v/>
      </c>
      <c r="B311" s="28" t="str">
        <f>IF($A311="","",INDEX('Calculator Cost per Bucata'!$C:$C,ROW()+4))</f>
        <v/>
      </c>
      <c r="C311" s="28" t="str">
        <f>IF($A311="","",INDEX('Calculator Cost per Bucata'!$D:$D,ROW()+4))</f>
        <v/>
      </c>
      <c r="D311" s="33" t="str">
        <f>IF(INDEX('Calculator Cost per Bucata'!$Y:$Y,ROW()+4)=1,INDEX('Calculator Cost per Bucata'!$P:$P,ROW()+4),"")</f>
        <v/>
      </c>
      <c r="E311" s="33" t="str">
        <f>IF(INDEX('Calculator Cost per Bucata'!$Y:$Y,ROW()+4)=1,INDEX('Calculator Cost per Bucata'!$S:$S,ROW()+4),"")</f>
        <v/>
      </c>
      <c r="F311" s="33" t="str">
        <f>IF($A311="","",IF(N(INDEX('PI Furnizor'!$L:$L,ROW()+1))&gt;0,INDEX('PI Furnizor'!$L:$L,ROW()+1),""))</f>
        <v/>
      </c>
      <c r="G311" s="33" t="str">
        <f>IF($A311="","",IF(Comenzi!$D$6="Da",$D311,$E311))</f>
        <v/>
      </c>
      <c r="H311" s="33" t="str">
        <f>IF(OR($A311="",$F311=""),"",IF(Comenzi!$D$6="Da",IFERROR($F311/(1+INDEX('Calculator Cost per Bucata'!$AC:$AC,ROW()+4)),""),$F311))</f>
        <v/>
      </c>
      <c r="I311" s="46" t="str">
        <f t="shared" si="12"/>
        <v/>
      </c>
      <c r="J311" s="47" t="str">
        <f t="shared" si="13"/>
        <v/>
      </c>
      <c r="K311" s="48" t="str">
        <f t="shared" si="14"/>
        <v/>
      </c>
    </row>
    <row r="312" spans="1:11" x14ac:dyDescent="0.3">
      <c r="A312" s="28" t="str">
        <f>IF(INDEX('Calculator Cost per Bucata'!$A:$A,ROW()+4)="","",INDEX('Calculator Cost per Bucata'!$A:$A,ROW()+4))</f>
        <v/>
      </c>
      <c r="B312" s="28" t="str">
        <f>IF($A312="","",INDEX('Calculator Cost per Bucata'!$C:$C,ROW()+4))</f>
        <v/>
      </c>
      <c r="C312" s="28" t="str">
        <f>IF($A312="","",INDEX('Calculator Cost per Bucata'!$D:$D,ROW()+4))</f>
        <v/>
      </c>
      <c r="D312" s="33" t="str">
        <f>IF(INDEX('Calculator Cost per Bucata'!$Y:$Y,ROW()+4)=1,INDEX('Calculator Cost per Bucata'!$P:$P,ROW()+4),"")</f>
        <v/>
      </c>
      <c r="E312" s="33" t="str">
        <f>IF(INDEX('Calculator Cost per Bucata'!$Y:$Y,ROW()+4)=1,INDEX('Calculator Cost per Bucata'!$S:$S,ROW()+4),"")</f>
        <v/>
      </c>
      <c r="F312" s="33" t="str">
        <f>IF($A312="","",IF(N(INDEX('PI Furnizor'!$L:$L,ROW()+1))&gt;0,INDEX('PI Furnizor'!$L:$L,ROW()+1),""))</f>
        <v/>
      </c>
      <c r="G312" s="33" t="str">
        <f>IF($A312="","",IF(Comenzi!$D$6="Da",$D312,$E312))</f>
        <v/>
      </c>
      <c r="H312" s="33" t="str">
        <f>IF(OR($A312="",$F312=""),"",IF(Comenzi!$D$6="Da",IFERROR($F312/(1+INDEX('Calculator Cost per Bucata'!$AC:$AC,ROW()+4)),""),$F312))</f>
        <v/>
      </c>
      <c r="I312" s="46" t="str">
        <f t="shared" si="12"/>
        <v/>
      </c>
      <c r="J312" s="47" t="str">
        <f t="shared" si="13"/>
        <v/>
      </c>
      <c r="K312" s="48" t="str">
        <f t="shared" si="14"/>
        <v/>
      </c>
    </row>
    <row r="313" spans="1:11" x14ac:dyDescent="0.3">
      <c r="A313" s="28" t="str">
        <f>IF(INDEX('Calculator Cost per Bucata'!$A:$A,ROW()+4)="","",INDEX('Calculator Cost per Bucata'!$A:$A,ROW()+4))</f>
        <v/>
      </c>
      <c r="B313" s="28" t="str">
        <f>IF($A313="","",INDEX('Calculator Cost per Bucata'!$C:$C,ROW()+4))</f>
        <v/>
      </c>
      <c r="C313" s="28" t="str">
        <f>IF($A313="","",INDEX('Calculator Cost per Bucata'!$D:$D,ROW()+4))</f>
        <v/>
      </c>
      <c r="D313" s="33" t="str">
        <f>IF(INDEX('Calculator Cost per Bucata'!$Y:$Y,ROW()+4)=1,INDEX('Calculator Cost per Bucata'!$P:$P,ROW()+4),"")</f>
        <v/>
      </c>
      <c r="E313" s="33" t="str">
        <f>IF(INDEX('Calculator Cost per Bucata'!$Y:$Y,ROW()+4)=1,INDEX('Calculator Cost per Bucata'!$S:$S,ROW()+4),"")</f>
        <v/>
      </c>
      <c r="F313" s="33" t="str">
        <f>IF($A313="","",IF(N(INDEX('PI Furnizor'!$L:$L,ROW()+1))&gt;0,INDEX('PI Furnizor'!$L:$L,ROW()+1),""))</f>
        <v/>
      </c>
      <c r="G313" s="33" t="str">
        <f>IF($A313="","",IF(Comenzi!$D$6="Da",$D313,$E313))</f>
        <v/>
      </c>
      <c r="H313" s="33" t="str">
        <f>IF(OR($A313="",$F313=""),"",IF(Comenzi!$D$6="Da",IFERROR($F313/(1+INDEX('Calculator Cost per Bucata'!$AC:$AC,ROW()+4)),""),$F313))</f>
        <v/>
      </c>
      <c r="I313" s="46" t="str">
        <f t="shared" si="12"/>
        <v/>
      </c>
      <c r="J313" s="47" t="str">
        <f t="shared" si="13"/>
        <v/>
      </c>
      <c r="K313" s="48" t="str">
        <f t="shared" si="14"/>
        <v/>
      </c>
    </row>
    <row r="314" spans="1:11" x14ac:dyDescent="0.3">
      <c r="A314" s="28" t="str">
        <f>IF(INDEX('Calculator Cost per Bucata'!$A:$A,ROW()+4)="","",INDEX('Calculator Cost per Bucata'!$A:$A,ROW()+4))</f>
        <v/>
      </c>
      <c r="B314" s="28" t="str">
        <f>IF($A314="","",INDEX('Calculator Cost per Bucata'!$C:$C,ROW()+4))</f>
        <v/>
      </c>
      <c r="C314" s="28" t="str">
        <f>IF($A314="","",INDEX('Calculator Cost per Bucata'!$D:$D,ROW()+4))</f>
        <v/>
      </c>
      <c r="D314" s="33" t="str">
        <f>IF(INDEX('Calculator Cost per Bucata'!$Y:$Y,ROW()+4)=1,INDEX('Calculator Cost per Bucata'!$P:$P,ROW()+4),"")</f>
        <v/>
      </c>
      <c r="E314" s="33" t="str">
        <f>IF(INDEX('Calculator Cost per Bucata'!$Y:$Y,ROW()+4)=1,INDEX('Calculator Cost per Bucata'!$S:$S,ROW()+4),"")</f>
        <v/>
      </c>
      <c r="F314" s="33" t="str">
        <f>IF($A314="","",IF(N(INDEX('PI Furnizor'!$L:$L,ROW()+1))&gt;0,INDEX('PI Furnizor'!$L:$L,ROW()+1),""))</f>
        <v/>
      </c>
      <c r="G314" s="33" t="str">
        <f>IF($A314="","",IF(Comenzi!$D$6="Da",$D314,$E314))</f>
        <v/>
      </c>
      <c r="H314" s="33" t="str">
        <f>IF(OR($A314="",$F314=""),"",IF(Comenzi!$D$6="Da",IFERROR($F314/(1+INDEX('Calculator Cost per Bucata'!$AC:$AC,ROW()+4)),""),$F314))</f>
        <v/>
      </c>
      <c r="I314" s="46" t="str">
        <f t="shared" si="12"/>
        <v/>
      </c>
      <c r="J314" s="47" t="str">
        <f t="shared" si="13"/>
        <v/>
      </c>
      <c r="K314" s="48" t="str">
        <f t="shared" si="14"/>
        <v/>
      </c>
    </row>
    <row r="315" spans="1:11" x14ac:dyDescent="0.3">
      <c r="A315" s="28" t="str">
        <f>IF(INDEX('Calculator Cost per Bucata'!$A:$A,ROW()+4)="","",INDEX('Calculator Cost per Bucata'!$A:$A,ROW()+4))</f>
        <v/>
      </c>
      <c r="B315" s="28" t="str">
        <f>IF($A315="","",INDEX('Calculator Cost per Bucata'!$C:$C,ROW()+4))</f>
        <v/>
      </c>
      <c r="C315" s="28" t="str">
        <f>IF($A315="","",INDEX('Calculator Cost per Bucata'!$D:$D,ROW()+4))</f>
        <v/>
      </c>
      <c r="D315" s="33" t="str">
        <f>IF(INDEX('Calculator Cost per Bucata'!$Y:$Y,ROW()+4)=1,INDEX('Calculator Cost per Bucata'!$P:$P,ROW()+4),"")</f>
        <v/>
      </c>
      <c r="E315" s="33" t="str">
        <f>IF(INDEX('Calculator Cost per Bucata'!$Y:$Y,ROW()+4)=1,INDEX('Calculator Cost per Bucata'!$S:$S,ROW()+4),"")</f>
        <v/>
      </c>
      <c r="F315" s="33" t="str">
        <f>IF($A315="","",IF(N(INDEX('PI Furnizor'!$L:$L,ROW()+1))&gt;0,INDEX('PI Furnizor'!$L:$L,ROW()+1),""))</f>
        <v/>
      </c>
      <c r="G315" s="33" t="str">
        <f>IF($A315="","",IF(Comenzi!$D$6="Da",$D315,$E315))</f>
        <v/>
      </c>
      <c r="H315" s="33" t="str">
        <f>IF(OR($A315="",$F315=""),"",IF(Comenzi!$D$6="Da",IFERROR($F315/(1+INDEX('Calculator Cost per Bucata'!$AC:$AC,ROW()+4)),""),$F315))</f>
        <v/>
      </c>
      <c r="I315" s="46" t="str">
        <f t="shared" si="12"/>
        <v/>
      </c>
      <c r="J315" s="47" t="str">
        <f t="shared" si="13"/>
        <v/>
      </c>
      <c r="K315" s="48" t="str">
        <f t="shared" si="14"/>
        <v/>
      </c>
    </row>
    <row r="316" spans="1:11" x14ac:dyDescent="0.3">
      <c r="A316" s="28" t="str">
        <f>IF(INDEX('Calculator Cost per Bucata'!$A:$A,ROW()+4)="","",INDEX('Calculator Cost per Bucata'!$A:$A,ROW()+4))</f>
        <v/>
      </c>
      <c r="B316" s="28" t="str">
        <f>IF($A316="","",INDEX('Calculator Cost per Bucata'!$C:$C,ROW()+4))</f>
        <v/>
      </c>
      <c r="C316" s="28" t="str">
        <f>IF($A316="","",INDEX('Calculator Cost per Bucata'!$D:$D,ROW()+4))</f>
        <v/>
      </c>
      <c r="D316" s="33" t="str">
        <f>IF(INDEX('Calculator Cost per Bucata'!$Y:$Y,ROW()+4)=1,INDEX('Calculator Cost per Bucata'!$P:$P,ROW()+4),"")</f>
        <v/>
      </c>
      <c r="E316" s="33" t="str">
        <f>IF(INDEX('Calculator Cost per Bucata'!$Y:$Y,ROW()+4)=1,INDEX('Calculator Cost per Bucata'!$S:$S,ROW()+4),"")</f>
        <v/>
      </c>
      <c r="F316" s="33" t="str">
        <f>IF($A316="","",IF(N(INDEX('PI Furnizor'!$L:$L,ROW()+1))&gt;0,INDEX('PI Furnizor'!$L:$L,ROW()+1),""))</f>
        <v/>
      </c>
      <c r="G316" s="33" t="str">
        <f>IF($A316="","",IF(Comenzi!$D$6="Da",$D316,$E316))</f>
        <v/>
      </c>
      <c r="H316" s="33" t="str">
        <f>IF(OR($A316="",$F316=""),"",IF(Comenzi!$D$6="Da",IFERROR($F316/(1+INDEX('Calculator Cost per Bucata'!$AC:$AC,ROW()+4)),""),$F316))</f>
        <v/>
      </c>
      <c r="I316" s="46" t="str">
        <f t="shared" si="12"/>
        <v/>
      </c>
      <c r="J316" s="47" t="str">
        <f t="shared" si="13"/>
        <v/>
      </c>
      <c r="K316" s="48" t="str">
        <f t="shared" si="14"/>
        <v/>
      </c>
    </row>
    <row r="317" spans="1:11" x14ac:dyDescent="0.3">
      <c r="A317" s="28" t="str">
        <f>IF(INDEX('Calculator Cost per Bucata'!$A:$A,ROW()+4)="","",INDEX('Calculator Cost per Bucata'!$A:$A,ROW()+4))</f>
        <v/>
      </c>
      <c r="B317" s="28" t="str">
        <f>IF($A317="","",INDEX('Calculator Cost per Bucata'!$C:$C,ROW()+4))</f>
        <v/>
      </c>
      <c r="C317" s="28" t="str">
        <f>IF($A317="","",INDEX('Calculator Cost per Bucata'!$D:$D,ROW()+4))</f>
        <v/>
      </c>
      <c r="D317" s="33" t="str">
        <f>IF(INDEX('Calculator Cost per Bucata'!$Y:$Y,ROW()+4)=1,INDEX('Calculator Cost per Bucata'!$P:$P,ROW()+4),"")</f>
        <v/>
      </c>
      <c r="E317" s="33" t="str">
        <f>IF(INDEX('Calculator Cost per Bucata'!$Y:$Y,ROW()+4)=1,INDEX('Calculator Cost per Bucata'!$S:$S,ROW()+4),"")</f>
        <v/>
      </c>
      <c r="F317" s="33" t="str">
        <f>IF($A317="","",IF(N(INDEX('PI Furnizor'!$L:$L,ROW()+1))&gt;0,INDEX('PI Furnizor'!$L:$L,ROW()+1),""))</f>
        <v/>
      </c>
      <c r="G317" s="33" t="str">
        <f>IF($A317="","",IF(Comenzi!$D$6="Da",$D317,$E317))</f>
        <v/>
      </c>
      <c r="H317" s="33" t="str">
        <f>IF(OR($A317="",$F317=""),"",IF(Comenzi!$D$6="Da",IFERROR($F317/(1+INDEX('Calculator Cost per Bucata'!$AC:$AC,ROW()+4)),""),$F317))</f>
        <v/>
      </c>
      <c r="I317" s="46" t="str">
        <f t="shared" si="12"/>
        <v/>
      </c>
      <c r="J317" s="47" t="str">
        <f t="shared" si="13"/>
        <v/>
      </c>
      <c r="K317" s="48" t="str">
        <f t="shared" si="14"/>
        <v/>
      </c>
    </row>
    <row r="318" spans="1:11" x14ac:dyDescent="0.3">
      <c r="A318" s="28" t="str">
        <f>IF(INDEX('Calculator Cost per Bucata'!$A:$A,ROW()+4)="","",INDEX('Calculator Cost per Bucata'!$A:$A,ROW()+4))</f>
        <v/>
      </c>
      <c r="B318" s="28" t="str">
        <f>IF($A318="","",INDEX('Calculator Cost per Bucata'!$C:$C,ROW()+4))</f>
        <v/>
      </c>
      <c r="C318" s="28" t="str">
        <f>IF($A318="","",INDEX('Calculator Cost per Bucata'!$D:$D,ROW()+4))</f>
        <v/>
      </c>
      <c r="D318" s="33" t="str">
        <f>IF(INDEX('Calculator Cost per Bucata'!$Y:$Y,ROW()+4)=1,INDEX('Calculator Cost per Bucata'!$P:$P,ROW()+4),"")</f>
        <v/>
      </c>
      <c r="E318" s="33" t="str">
        <f>IF(INDEX('Calculator Cost per Bucata'!$Y:$Y,ROW()+4)=1,INDEX('Calculator Cost per Bucata'!$S:$S,ROW()+4),"")</f>
        <v/>
      </c>
      <c r="F318" s="33" t="str">
        <f>IF($A318="","",IF(N(INDEX('PI Furnizor'!$L:$L,ROW()+1))&gt;0,INDEX('PI Furnizor'!$L:$L,ROW()+1),""))</f>
        <v/>
      </c>
      <c r="G318" s="33" t="str">
        <f>IF($A318="","",IF(Comenzi!$D$6="Da",$D318,$E318))</f>
        <v/>
      </c>
      <c r="H318" s="33" t="str">
        <f>IF(OR($A318="",$F318=""),"",IF(Comenzi!$D$6="Da",IFERROR($F318/(1+INDEX('Calculator Cost per Bucata'!$AC:$AC,ROW()+4)),""),$F318))</f>
        <v/>
      </c>
      <c r="I318" s="46" t="str">
        <f t="shared" si="12"/>
        <v/>
      </c>
      <c r="J318" s="47" t="str">
        <f t="shared" si="13"/>
        <v/>
      </c>
      <c r="K318" s="48" t="str">
        <f t="shared" si="14"/>
        <v/>
      </c>
    </row>
    <row r="319" spans="1:11" x14ac:dyDescent="0.3">
      <c r="A319" s="28" t="str">
        <f>IF(INDEX('Calculator Cost per Bucata'!$A:$A,ROW()+4)="","",INDEX('Calculator Cost per Bucata'!$A:$A,ROW()+4))</f>
        <v/>
      </c>
      <c r="B319" s="28" t="str">
        <f>IF($A319="","",INDEX('Calculator Cost per Bucata'!$C:$C,ROW()+4))</f>
        <v/>
      </c>
      <c r="C319" s="28" t="str">
        <f>IF($A319="","",INDEX('Calculator Cost per Bucata'!$D:$D,ROW()+4))</f>
        <v/>
      </c>
      <c r="D319" s="33" t="str">
        <f>IF(INDEX('Calculator Cost per Bucata'!$Y:$Y,ROW()+4)=1,INDEX('Calculator Cost per Bucata'!$P:$P,ROW()+4),"")</f>
        <v/>
      </c>
      <c r="E319" s="33" t="str">
        <f>IF(INDEX('Calculator Cost per Bucata'!$Y:$Y,ROW()+4)=1,INDEX('Calculator Cost per Bucata'!$S:$S,ROW()+4),"")</f>
        <v/>
      </c>
      <c r="F319" s="33" t="str">
        <f>IF($A319="","",IF(N(INDEX('PI Furnizor'!$L:$L,ROW()+1))&gt;0,INDEX('PI Furnizor'!$L:$L,ROW()+1),""))</f>
        <v/>
      </c>
      <c r="G319" s="33" t="str">
        <f>IF($A319="","",IF(Comenzi!$D$6="Da",$D319,$E319))</f>
        <v/>
      </c>
      <c r="H319" s="33" t="str">
        <f>IF(OR($A319="",$F319=""),"",IF(Comenzi!$D$6="Da",IFERROR($F319/(1+INDEX('Calculator Cost per Bucata'!$AC:$AC,ROW()+4)),""),$F319))</f>
        <v/>
      </c>
      <c r="I319" s="46" t="str">
        <f t="shared" si="12"/>
        <v/>
      </c>
      <c r="J319" s="47" t="str">
        <f t="shared" si="13"/>
        <v/>
      </c>
      <c r="K319" s="48" t="str">
        <f t="shared" si="14"/>
        <v/>
      </c>
    </row>
    <row r="320" spans="1:11" x14ac:dyDescent="0.3">
      <c r="A320" s="28" t="str">
        <f>IF(INDEX('Calculator Cost per Bucata'!$A:$A,ROW()+4)="","",INDEX('Calculator Cost per Bucata'!$A:$A,ROW()+4))</f>
        <v/>
      </c>
      <c r="B320" s="28" t="str">
        <f>IF($A320="","",INDEX('Calculator Cost per Bucata'!$C:$C,ROW()+4))</f>
        <v/>
      </c>
      <c r="C320" s="28" t="str">
        <f>IF($A320="","",INDEX('Calculator Cost per Bucata'!$D:$D,ROW()+4))</f>
        <v/>
      </c>
      <c r="D320" s="33" t="str">
        <f>IF(INDEX('Calculator Cost per Bucata'!$Y:$Y,ROW()+4)=1,INDEX('Calculator Cost per Bucata'!$P:$P,ROW()+4),"")</f>
        <v/>
      </c>
      <c r="E320" s="33" t="str">
        <f>IF(INDEX('Calculator Cost per Bucata'!$Y:$Y,ROW()+4)=1,INDEX('Calculator Cost per Bucata'!$S:$S,ROW()+4),"")</f>
        <v/>
      </c>
      <c r="F320" s="33" t="str">
        <f>IF($A320="","",IF(N(INDEX('PI Furnizor'!$L:$L,ROW()+1))&gt;0,INDEX('PI Furnizor'!$L:$L,ROW()+1),""))</f>
        <v/>
      </c>
      <c r="G320" s="33" t="str">
        <f>IF($A320="","",IF(Comenzi!$D$6="Da",$D320,$E320))</f>
        <v/>
      </c>
      <c r="H320" s="33" t="str">
        <f>IF(OR($A320="",$F320=""),"",IF(Comenzi!$D$6="Da",IFERROR($F320/(1+INDEX('Calculator Cost per Bucata'!$AC:$AC,ROW()+4)),""),$F320))</f>
        <v/>
      </c>
      <c r="I320" s="46" t="str">
        <f t="shared" si="12"/>
        <v/>
      </c>
      <c r="J320" s="47" t="str">
        <f t="shared" si="13"/>
        <v/>
      </c>
      <c r="K320" s="48" t="str">
        <f t="shared" si="14"/>
        <v/>
      </c>
    </row>
    <row r="321" spans="1:11" x14ac:dyDescent="0.3">
      <c r="A321" s="28" t="str">
        <f>IF(INDEX('Calculator Cost per Bucata'!$A:$A,ROW()+4)="","",INDEX('Calculator Cost per Bucata'!$A:$A,ROW()+4))</f>
        <v/>
      </c>
      <c r="B321" s="28" t="str">
        <f>IF($A321="","",INDEX('Calculator Cost per Bucata'!$C:$C,ROW()+4))</f>
        <v/>
      </c>
      <c r="C321" s="28" t="str">
        <f>IF($A321="","",INDEX('Calculator Cost per Bucata'!$D:$D,ROW()+4))</f>
        <v/>
      </c>
      <c r="D321" s="33" t="str">
        <f>IF(INDEX('Calculator Cost per Bucata'!$Y:$Y,ROW()+4)=1,INDEX('Calculator Cost per Bucata'!$P:$P,ROW()+4),"")</f>
        <v/>
      </c>
      <c r="E321" s="33" t="str">
        <f>IF(INDEX('Calculator Cost per Bucata'!$Y:$Y,ROW()+4)=1,INDEX('Calculator Cost per Bucata'!$S:$S,ROW()+4),"")</f>
        <v/>
      </c>
      <c r="F321" s="33" t="str">
        <f>IF($A321="","",IF(N(INDEX('PI Furnizor'!$L:$L,ROW()+1))&gt;0,INDEX('PI Furnizor'!$L:$L,ROW()+1),""))</f>
        <v/>
      </c>
      <c r="G321" s="33" t="str">
        <f>IF($A321="","",IF(Comenzi!$D$6="Da",$D321,$E321))</f>
        <v/>
      </c>
      <c r="H321" s="33" t="str">
        <f>IF(OR($A321="",$F321=""),"",IF(Comenzi!$D$6="Da",IFERROR($F321/(1+INDEX('Calculator Cost per Bucata'!$AC:$AC,ROW()+4)),""),$F321))</f>
        <v/>
      </c>
      <c r="I321" s="46" t="str">
        <f t="shared" si="12"/>
        <v/>
      </c>
      <c r="J321" s="47" t="str">
        <f t="shared" si="13"/>
        <v/>
      </c>
      <c r="K321" s="48" t="str">
        <f t="shared" si="14"/>
        <v/>
      </c>
    </row>
    <row r="322" spans="1:11" x14ac:dyDescent="0.3">
      <c r="A322" s="28" t="str">
        <f>IF(INDEX('Calculator Cost per Bucata'!$A:$A,ROW()+4)="","",INDEX('Calculator Cost per Bucata'!$A:$A,ROW()+4))</f>
        <v/>
      </c>
      <c r="B322" s="28" t="str">
        <f>IF($A322="","",INDEX('Calculator Cost per Bucata'!$C:$C,ROW()+4))</f>
        <v/>
      </c>
      <c r="C322" s="28" t="str">
        <f>IF($A322="","",INDEX('Calculator Cost per Bucata'!$D:$D,ROW()+4))</f>
        <v/>
      </c>
      <c r="D322" s="33" t="str">
        <f>IF(INDEX('Calculator Cost per Bucata'!$Y:$Y,ROW()+4)=1,INDEX('Calculator Cost per Bucata'!$P:$P,ROW()+4),"")</f>
        <v/>
      </c>
      <c r="E322" s="33" t="str">
        <f>IF(INDEX('Calculator Cost per Bucata'!$Y:$Y,ROW()+4)=1,INDEX('Calculator Cost per Bucata'!$S:$S,ROW()+4),"")</f>
        <v/>
      </c>
      <c r="F322" s="33" t="str">
        <f>IF($A322="","",IF(N(INDEX('PI Furnizor'!$L:$L,ROW()+1))&gt;0,INDEX('PI Furnizor'!$L:$L,ROW()+1),""))</f>
        <v/>
      </c>
      <c r="G322" s="33" t="str">
        <f>IF($A322="","",IF(Comenzi!$D$6="Da",$D322,$E322))</f>
        <v/>
      </c>
      <c r="H322" s="33" t="str">
        <f>IF(OR($A322="",$F322=""),"",IF(Comenzi!$D$6="Da",IFERROR($F322/(1+INDEX('Calculator Cost per Bucata'!$AC:$AC,ROW()+4)),""),$F322))</f>
        <v/>
      </c>
      <c r="I322" s="46" t="str">
        <f t="shared" si="12"/>
        <v/>
      </c>
      <c r="J322" s="47" t="str">
        <f t="shared" si="13"/>
        <v/>
      </c>
      <c r="K322" s="48" t="str">
        <f t="shared" si="14"/>
        <v/>
      </c>
    </row>
    <row r="323" spans="1:11" x14ac:dyDescent="0.3">
      <c r="A323" s="28" t="str">
        <f>IF(INDEX('Calculator Cost per Bucata'!$A:$A,ROW()+4)="","",INDEX('Calculator Cost per Bucata'!$A:$A,ROW()+4))</f>
        <v/>
      </c>
      <c r="B323" s="28" t="str">
        <f>IF($A323="","",INDEX('Calculator Cost per Bucata'!$C:$C,ROW()+4))</f>
        <v/>
      </c>
      <c r="C323" s="28" t="str">
        <f>IF($A323="","",INDEX('Calculator Cost per Bucata'!$D:$D,ROW()+4))</f>
        <v/>
      </c>
      <c r="D323" s="33" t="str">
        <f>IF(INDEX('Calculator Cost per Bucata'!$Y:$Y,ROW()+4)=1,INDEX('Calculator Cost per Bucata'!$P:$P,ROW()+4),"")</f>
        <v/>
      </c>
      <c r="E323" s="33" t="str">
        <f>IF(INDEX('Calculator Cost per Bucata'!$Y:$Y,ROW()+4)=1,INDEX('Calculator Cost per Bucata'!$S:$S,ROW()+4),"")</f>
        <v/>
      </c>
      <c r="F323" s="33" t="str">
        <f>IF($A323="","",IF(N(INDEX('PI Furnizor'!$L:$L,ROW()+1))&gt;0,INDEX('PI Furnizor'!$L:$L,ROW()+1),""))</f>
        <v/>
      </c>
      <c r="G323" s="33" t="str">
        <f>IF($A323="","",IF(Comenzi!$D$6="Da",$D323,$E323))</f>
        <v/>
      </c>
      <c r="H323" s="33" t="str">
        <f>IF(OR($A323="",$F323=""),"",IF(Comenzi!$D$6="Da",IFERROR($F323/(1+INDEX('Calculator Cost per Bucata'!$AC:$AC,ROW()+4)),""),$F323))</f>
        <v/>
      </c>
      <c r="I323" s="46" t="str">
        <f t="shared" si="12"/>
        <v/>
      </c>
      <c r="J323" s="47" t="str">
        <f t="shared" si="13"/>
        <v/>
      </c>
      <c r="K323" s="48" t="str">
        <f t="shared" si="14"/>
        <v/>
      </c>
    </row>
    <row r="324" spans="1:11" x14ac:dyDescent="0.3">
      <c r="A324" s="28" t="str">
        <f>IF(INDEX('Calculator Cost per Bucata'!$A:$A,ROW()+4)="","",INDEX('Calculator Cost per Bucata'!$A:$A,ROW()+4))</f>
        <v/>
      </c>
      <c r="B324" s="28" t="str">
        <f>IF($A324="","",INDEX('Calculator Cost per Bucata'!$C:$C,ROW()+4))</f>
        <v/>
      </c>
      <c r="C324" s="28" t="str">
        <f>IF($A324="","",INDEX('Calculator Cost per Bucata'!$D:$D,ROW()+4))</f>
        <v/>
      </c>
      <c r="D324" s="33" t="str">
        <f>IF(INDEX('Calculator Cost per Bucata'!$Y:$Y,ROW()+4)=1,INDEX('Calculator Cost per Bucata'!$P:$P,ROW()+4),"")</f>
        <v/>
      </c>
      <c r="E324" s="33" t="str">
        <f>IF(INDEX('Calculator Cost per Bucata'!$Y:$Y,ROW()+4)=1,INDEX('Calculator Cost per Bucata'!$S:$S,ROW()+4),"")</f>
        <v/>
      </c>
      <c r="F324" s="33" t="str">
        <f>IF($A324="","",IF(N(INDEX('PI Furnizor'!$L:$L,ROW()+1))&gt;0,INDEX('PI Furnizor'!$L:$L,ROW()+1),""))</f>
        <v/>
      </c>
      <c r="G324" s="33" t="str">
        <f>IF($A324="","",IF(Comenzi!$D$6="Da",$D324,$E324))</f>
        <v/>
      </c>
      <c r="H324" s="33" t="str">
        <f>IF(OR($A324="",$F324=""),"",IF(Comenzi!$D$6="Da",IFERROR($F324/(1+INDEX('Calculator Cost per Bucata'!$AC:$AC,ROW()+4)),""),$F324))</f>
        <v/>
      </c>
      <c r="I324" s="46" t="str">
        <f t="shared" si="12"/>
        <v/>
      </c>
      <c r="J324" s="47" t="str">
        <f t="shared" si="13"/>
        <v/>
      </c>
      <c r="K324" s="48" t="str">
        <f t="shared" si="14"/>
        <v/>
      </c>
    </row>
    <row r="325" spans="1:11" x14ac:dyDescent="0.3">
      <c r="A325" s="28" t="str">
        <f>IF(INDEX('Calculator Cost per Bucata'!$A:$A,ROW()+4)="","",INDEX('Calculator Cost per Bucata'!$A:$A,ROW()+4))</f>
        <v/>
      </c>
      <c r="B325" s="28" t="str">
        <f>IF($A325="","",INDEX('Calculator Cost per Bucata'!$C:$C,ROW()+4))</f>
        <v/>
      </c>
      <c r="C325" s="28" t="str">
        <f>IF($A325="","",INDEX('Calculator Cost per Bucata'!$D:$D,ROW()+4))</f>
        <v/>
      </c>
      <c r="D325" s="33" t="str">
        <f>IF(INDEX('Calculator Cost per Bucata'!$Y:$Y,ROW()+4)=1,INDEX('Calculator Cost per Bucata'!$P:$P,ROW()+4),"")</f>
        <v/>
      </c>
      <c r="E325" s="33" t="str">
        <f>IF(INDEX('Calculator Cost per Bucata'!$Y:$Y,ROW()+4)=1,INDEX('Calculator Cost per Bucata'!$S:$S,ROW()+4),"")</f>
        <v/>
      </c>
      <c r="F325" s="33" t="str">
        <f>IF($A325="","",IF(N(INDEX('PI Furnizor'!$L:$L,ROW()+1))&gt;0,INDEX('PI Furnizor'!$L:$L,ROW()+1),""))</f>
        <v/>
      </c>
      <c r="G325" s="33" t="str">
        <f>IF($A325="","",IF(Comenzi!$D$6="Da",$D325,$E325))</f>
        <v/>
      </c>
      <c r="H325" s="33" t="str">
        <f>IF(OR($A325="",$F325=""),"",IF(Comenzi!$D$6="Da",IFERROR($F325/(1+INDEX('Calculator Cost per Bucata'!$AC:$AC,ROW()+4)),""),$F325))</f>
        <v/>
      </c>
      <c r="I325" s="46" t="str">
        <f t="shared" si="12"/>
        <v/>
      </c>
      <c r="J325" s="47" t="str">
        <f t="shared" si="13"/>
        <v/>
      </c>
      <c r="K325" s="48" t="str">
        <f t="shared" si="14"/>
        <v/>
      </c>
    </row>
    <row r="326" spans="1:11" x14ac:dyDescent="0.3">
      <c r="A326" s="28" t="str">
        <f>IF(INDEX('Calculator Cost per Bucata'!$A:$A,ROW()+4)="","",INDEX('Calculator Cost per Bucata'!$A:$A,ROW()+4))</f>
        <v/>
      </c>
      <c r="B326" s="28" t="str">
        <f>IF($A326="","",INDEX('Calculator Cost per Bucata'!$C:$C,ROW()+4))</f>
        <v/>
      </c>
      <c r="C326" s="28" t="str">
        <f>IF($A326="","",INDEX('Calculator Cost per Bucata'!$D:$D,ROW()+4))</f>
        <v/>
      </c>
      <c r="D326" s="33" t="str">
        <f>IF(INDEX('Calculator Cost per Bucata'!$Y:$Y,ROW()+4)=1,INDEX('Calculator Cost per Bucata'!$P:$P,ROW()+4),"")</f>
        <v/>
      </c>
      <c r="E326" s="33" t="str">
        <f>IF(INDEX('Calculator Cost per Bucata'!$Y:$Y,ROW()+4)=1,INDEX('Calculator Cost per Bucata'!$S:$S,ROW()+4),"")</f>
        <v/>
      </c>
      <c r="F326" s="33" t="str">
        <f>IF($A326="","",IF(N(INDEX('PI Furnizor'!$L:$L,ROW()+1))&gt;0,INDEX('PI Furnizor'!$L:$L,ROW()+1),""))</f>
        <v/>
      </c>
      <c r="G326" s="33" t="str">
        <f>IF($A326="","",IF(Comenzi!$D$6="Da",$D326,$E326))</f>
        <v/>
      </c>
      <c r="H326" s="33" t="str">
        <f>IF(OR($A326="",$F326=""),"",IF(Comenzi!$D$6="Da",IFERROR($F326/(1+INDEX('Calculator Cost per Bucata'!$AC:$AC,ROW()+4)),""),$F326))</f>
        <v/>
      </c>
      <c r="I326" s="46" t="str">
        <f t="shared" ref="I326:I389" si="15">IF(OR($G326="",$H326=""),"",$H326-$G326)</f>
        <v/>
      </c>
      <c r="J326" s="47" t="str">
        <f t="shared" ref="J326:J389" si="16">IF(OR($G326="",$H326=""),"",($H326-$G326)/$H326)</f>
        <v/>
      </c>
      <c r="K326" s="48" t="str">
        <f t="shared" ref="K326:K389" si="17">IF($A326="","",IF($G326="","Date incomplete - vezi Calculator",IF($H326="","Introdu pretul RO (PI Furnizor, col. L)",IF($H326&gt;$G326*1.15,"Import avantajos - marja buna",IF($H326&gt;$G326,"Import usor avantajos - marja mica","Piata RO mai ieftina - verifica")))))</f>
        <v/>
      </c>
    </row>
    <row r="327" spans="1:11" x14ac:dyDescent="0.3">
      <c r="A327" s="28" t="str">
        <f>IF(INDEX('Calculator Cost per Bucata'!$A:$A,ROW()+4)="","",INDEX('Calculator Cost per Bucata'!$A:$A,ROW()+4))</f>
        <v/>
      </c>
      <c r="B327" s="28" t="str">
        <f>IF($A327="","",INDEX('Calculator Cost per Bucata'!$C:$C,ROW()+4))</f>
        <v/>
      </c>
      <c r="C327" s="28" t="str">
        <f>IF($A327="","",INDEX('Calculator Cost per Bucata'!$D:$D,ROW()+4))</f>
        <v/>
      </c>
      <c r="D327" s="33" t="str">
        <f>IF(INDEX('Calculator Cost per Bucata'!$Y:$Y,ROW()+4)=1,INDEX('Calculator Cost per Bucata'!$P:$P,ROW()+4),"")</f>
        <v/>
      </c>
      <c r="E327" s="33" t="str">
        <f>IF(INDEX('Calculator Cost per Bucata'!$Y:$Y,ROW()+4)=1,INDEX('Calculator Cost per Bucata'!$S:$S,ROW()+4),"")</f>
        <v/>
      </c>
      <c r="F327" s="33" t="str">
        <f>IF($A327="","",IF(N(INDEX('PI Furnizor'!$L:$L,ROW()+1))&gt;0,INDEX('PI Furnizor'!$L:$L,ROW()+1),""))</f>
        <v/>
      </c>
      <c r="G327" s="33" t="str">
        <f>IF($A327="","",IF(Comenzi!$D$6="Da",$D327,$E327))</f>
        <v/>
      </c>
      <c r="H327" s="33" t="str">
        <f>IF(OR($A327="",$F327=""),"",IF(Comenzi!$D$6="Da",IFERROR($F327/(1+INDEX('Calculator Cost per Bucata'!$AC:$AC,ROW()+4)),""),$F327))</f>
        <v/>
      </c>
      <c r="I327" s="46" t="str">
        <f t="shared" si="15"/>
        <v/>
      </c>
      <c r="J327" s="47" t="str">
        <f t="shared" si="16"/>
        <v/>
      </c>
      <c r="K327" s="48" t="str">
        <f t="shared" si="17"/>
        <v/>
      </c>
    </row>
    <row r="328" spans="1:11" x14ac:dyDescent="0.3">
      <c r="A328" s="28" t="str">
        <f>IF(INDEX('Calculator Cost per Bucata'!$A:$A,ROW()+4)="","",INDEX('Calculator Cost per Bucata'!$A:$A,ROW()+4))</f>
        <v/>
      </c>
      <c r="B328" s="28" t="str">
        <f>IF($A328="","",INDEX('Calculator Cost per Bucata'!$C:$C,ROW()+4))</f>
        <v/>
      </c>
      <c r="C328" s="28" t="str">
        <f>IF($A328="","",INDEX('Calculator Cost per Bucata'!$D:$D,ROW()+4))</f>
        <v/>
      </c>
      <c r="D328" s="33" t="str">
        <f>IF(INDEX('Calculator Cost per Bucata'!$Y:$Y,ROW()+4)=1,INDEX('Calculator Cost per Bucata'!$P:$P,ROW()+4),"")</f>
        <v/>
      </c>
      <c r="E328" s="33" t="str">
        <f>IF(INDEX('Calculator Cost per Bucata'!$Y:$Y,ROW()+4)=1,INDEX('Calculator Cost per Bucata'!$S:$S,ROW()+4),"")</f>
        <v/>
      </c>
      <c r="F328" s="33" t="str">
        <f>IF($A328="","",IF(N(INDEX('PI Furnizor'!$L:$L,ROW()+1))&gt;0,INDEX('PI Furnizor'!$L:$L,ROW()+1),""))</f>
        <v/>
      </c>
      <c r="G328" s="33" t="str">
        <f>IF($A328="","",IF(Comenzi!$D$6="Da",$D328,$E328))</f>
        <v/>
      </c>
      <c r="H328" s="33" t="str">
        <f>IF(OR($A328="",$F328=""),"",IF(Comenzi!$D$6="Da",IFERROR($F328/(1+INDEX('Calculator Cost per Bucata'!$AC:$AC,ROW()+4)),""),$F328))</f>
        <v/>
      </c>
      <c r="I328" s="46" t="str">
        <f t="shared" si="15"/>
        <v/>
      </c>
      <c r="J328" s="47" t="str">
        <f t="shared" si="16"/>
        <v/>
      </c>
      <c r="K328" s="48" t="str">
        <f t="shared" si="17"/>
        <v/>
      </c>
    </row>
    <row r="329" spans="1:11" x14ac:dyDescent="0.3">
      <c r="A329" s="28" t="str">
        <f>IF(INDEX('Calculator Cost per Bucata'!$A:$A,ROW()+4)="","",INDEX('Calculator Cost per Bucata'!$A:$A,ROW()+4))</f>
        <v/>
      </c>
      <c r="B329" s="28" t="str">
        <f>IF($A329="","",INDEX('Calculator Cost per Bucata'!$C:$C,ROW()+4))</f>
        <v/>
      </c>
      <c r="C329" s="28" t="str">
        <f>IF($A329="","",INDEX('Calculator Cost per Bucata'!$D:$D,ROW()+4))</f>
        <v/>
      </c>
      <c r="D329" s="33" t="str">
        <f>IF(INDEX('Calculator Cost per Bucata'!$Y:$Y,ROW()+4)=1,INDEX('Calculator Cost per Bucata'!$P:$P,ROW()+4),"")</f>
        <v/>
      </c>
      <c r="E329" s="33" t="str">
        <f>IF(INDEX('Calculator Cost per Bucata'!$Y:$Y,ROW()+4)=1,INDEX('Calculator Cost per Bucata'!$S:$S,ROW()+4),"")</f>
        <v/>
      </c>
      <c r="F329" s="33" t="str">
        <f>IF($A329="","",IF(N(INDEX('PI Furnizor'!$L:$L,ROW()+1))&gt;0,INDEX('PI Furnizor'!$L:$L,ROW()+1),""))</f>
        <v/>
      </c>
      <c r="G329" s="33" t="str">
        <f>IF($A329="","",IF(Comenzi!$D$6="Da",$D329,$E329))</f>
        <v/>
      </c>
      <c r="H329" s="33" t="str">
        <f>IF(OR($A329="",$F329=""),"",IF(Comenzi!$D$6="Da",IFERROR($F329/(1+INDEX('Calculator Cost per Bucata'!$AC:$AC,ROW()+4)),""),$F329))</f>
        <v/>
      </c>
      <c r="I329" s="46" t="str">
        <f t="shared" si="15"/>
        <v/>
      </c>
      <c r="J329" s="47" t="str">
        <f t="shared" si="16"/>
        <v/>
      </c>
      <c r="K329" s="48" t="str">
        <f t="shared" si="17"/>
        <v/>
      </c>
    </row>
    <row r="330" spans="1:11" x14ac:dyDescent="0.3">
      <c r="A330" s="28" t="str">
        <f>IF(INDEX('Calculator Cost per Bucata'!$A:$A,ROW()+4)="","",INDEX('Calculator Cost per Bucata'!$A:$A,ROW()+4))</f>
        <v/>
      </c>
      <c r="B330" s="28" t="str">
        <f>IF($A330="","",INDEX('Calculator Cost per Bucata'!$C:$C,ROW()+4))</f>
        <v/>
      </c>
      <c r="C330" s="28" t="str">
        <f>IF($A330="","",INDEX('Calculator Cost per Bucata'!$D:$D,ROW()+4))</f>
        <v/>
      </c>
      <c r="D330" s="33" t="str">
        <f>IF(INDEX('Calculator Cost per Bucata'!$Y:$Y,ROW()+4)=1,INDEX('Calculator Cost per Bucata'!$P:$P,ROW()+4),"")</f>
        <v/>
      </c>
      <c r="E330" s="33" t="str">
        <f>IF(INDEX('Calculator Cost per Bucata'!$Y:$Y,ROW()+4)=1,INDEX('Calculator Cost per Bucata'!$S:$S,ROW()+4),"")</f>
        <v/>
      </c>
      <c r="F330" s="33" t="str">
        <f>IF($A330="","",IF(N(INDEX('PI Furnizor'!$L:$L,ROW()+1))&gt;0,INDEX('PI Furnizor'!$L:$L,ROW()+1),""))</f>
        <v/>
      </c>
      <c r="G330" s="33" t="str">
        <f>IF($A330="","",IF(Comenzi!$D$6="Da",$D330,$E330))</f>
        <v/>
      </c>
      <c r="H330" s="33" t="str">
        <f>IF(OR($A330="",$F330=""),"",IF(Comenzi!$D$6="Da",IFERROR($F330/(1+INDEX('Calculator Cost per Bucata'!$AC:$AC,ROW()+4)),""),$F330))</f>
        <v/>
      </c>
      <c r="I330" s="46" t="str">
        <f t="shared" si="15"/>
        <v/>
      </c>
      <c r="J330" s="47" t="str">
        <f t="shared" si="16"/>
        <v/>
      </c>
      <c r="K330" s="48" t="str">
        <f t="shared" si="17"/>
        <v/>
      </c>
    </row>
    <row r="331" spans="1:11" x14ac:dyDescent="0.3">
      <c r="A331" s="28" t="str">
        <f>IF(INDEX('Calculator Cost per Bucata'!$A:$A,ROW()+4)="","",INDEX('Calculator Cost per Bucata'!$A:$A,ROW()+4))</f>
        <v/>
      </c>
      <c r="B331" s="28" t="str">
        <f>IF($A331="","",INDEX('Calculator Cost per Bucata'!$C:$C,ROW()+4))</f>
        <v/>
      </c>
      <c r="C331" s="28" t="str">
        <f>IF($A331="","",INDEX('Calculator Cost per Bucata'!$D:$D,ROW()+4))</f>
        <v/>
      </c>
      <c r="D331" s="33" t="str">
        <f>IF(INDEX('Calculator Cost per Bucata'!$Y:$Y,ROW()+4)=1,INDEX('Calculator Cost per Bucata'!$P:$P,ROW()+4),"")</f>
        <v/>
      </c>
      <c r="E331" s="33" t="str">
        <f>IF(INDEX('Calculator Cost per Bucata'!$Y:$Y,ROW()+4)=1,INDEX('Calculator Cost per Bucata'!$S:$S,ROW()+4),"")</f>
        <v/>
      </c>
      <c r="F331" s="33" t="str">
        <f>IF($A331="","",IF(N(INDEX('PI Furnizor'!$L:$L,ROW()+1))&gt;0,INDEX('PI Furnizor'!$L:$L,ROW()+1),""))</f>
        <v/>
      </c>
      <c r="G331" s="33" t="str">
        <f>IF($A331="","",IF(Comenzi!$D$6="Da",$D331,$E331))</f>
        <v/>
      </c>
      <c r="H331" s="33" t="str">
        <f>IF(OR($A331="",$F331=""),"",IF(Comenzi!$D$6="Da",IFERROR($F331/(1+INDEX('Calculator Cost per Bucata'!$AC:$AC,ROW()+4)),""),$F331))</f>
        <v/>
      </c>
      <c r="I331" s="46" t="str">
        <f t="shared" si="15"/>
        <v/>
      </c>
      <c r="J331" s="47" t="str">
        <f t="shared" si="16"/>
        <v/>
      </c>
      <c r="K331" s="48" t="str">
        <f t="shared" si="17"/>
        <v/>
      </c>
    </row>
    <row r="332" spans="1:11" x14ac:dyDescent="0.3">
      <c r="A332" s="28" t="str">
        <f>IF(INDEX('Calculator Cost per Bucata'!$A:$A,ROW()+4)="","",INDEX('Calculator Cost per Bucata'!$A:$A,ROW()+4))</f>
        <v/>
      </c>
      <c r="B332" s="28" t="str">
        <f>IF($A332="","",INDEX('Calculator Cost per Bucata'!$C:$C,ROW()+4))</f>
        <v/>
      </c>
      <c r="C332" s="28" t="str">
        <f>IF($A332="","",INDEX('Calculator Cost per Bucata'!$D:$D,ROW()+4))</f>
        <v/>
      </c>
      <c r="D332" s="33" t="str">
        <f>IF(INDEX('Calculator Cost per Bucata'!$Y:$Y,ROW()+4)=1,INDEX('Calculator Cost per Bucata'!$P:$P,ROW()+4),"")</f>
        <v/>
      </c>
      <c r="E332" s="33" t="str">
        <f>IF(INDEX('Calculator Cost per Bucata'!$Y:$Y,ROW()+4)=1,INDEX('Calculator Cost per Bucata'!$S:$S,ROW()+4),"")</f>
        <v/>
      </c>
      <c r="F332" s="33" t="str">
        <f>IF($A332="","",IF(N(INDEX('PI Furnizor'!$L:$L,ROW()+1))&gt;0,INDEX('PI Furnizor'!$L:$L,ROW()+1),""))</f>
        <v/>
      </c>
      <c r="G332" s="33" t="str">
        <f>IF($A332="","",IF(Comenzi!$D$6="Da",$D332,$E332))</f>
        <v/>
      </c>
      <c r="H332" s="33" t="str">
        <f>IF(OR($A332="",$F332=""),"",IF(Comenzi!$D$6="Da",IFERROR($F332/(1+INDEX('Calculator Cost per Bucata'!$AC:$AC,ROW()+4)),""),$F332))</f>
        <v/>
      </c>
      <c r="I332" s="46" t="str">
        <f t="shared" si="15"/>
        <v/>
      </c>
      <c r="J332" s="47" t="str">
        <f t="shared" si="16"/>
        <v/>
      </c>
      <c r="K332" s="48" t="str">
        <f t="shared" si="17"/>
        <v/>
      </c>
    </row>
    <row r="333" spans="1:11" x14ac:dyDescent="0.3">
      <c r="A333" s="28" t="str">
        <f>IF(INDEX('Calculator Cost per Bucata'!$A:$A,ROW()+4)="","",INDEX('Calculator Cost per Bucata'!$A:$A,ROW()+4))</f>
        <v/>
      </c>
      <c r="B333" s="28" t="str">
        <f>IF($A333="","",INDEX('Calculator Cost per Bucata'!$C:$C,ROW()+4))</f>
        <v/>
      </c>
      <c r="C333" s="28" t="str">
        <f>IF($A333="","",INDEX('Calculator Cost per Bucata'!$D:$D,ROW()+4))</f>
        <v/>
      </c>
      <c r="D333" s="33" t="str">
        <f>IF(INDEX('Calculator Cost per Bucata'!$Y:$Y,ROW()+4)=1,INDEX('Calculator Cost per Bucata'!$P:$P,ROW()+4),"")</f>
        <v/>
      </c>
      <c r="E333" s="33" t="str">
        <f>IF(INDEX('Calculator Cost per Bucata'!$Y:$Y,ROW()+4)=1,INDEX('Calculator Cost per Bucata'!$S:$S,ROW()+4),"")</f>
        <v/>
      </c>
      <c r="F333" s="33" t="str">
        <f>IF($A333="","",IF(N(INDEX('PI Furnizor'!$L:$L,ROW()+1))&gt;0,INDEX('PI Furnizor'!$L:$L,ROW()+1),""))</f>
        <v/>
      </c>
      <c r="G333" s="33" t="str">
        <f>IF($A333="","",IF(Comenzi!$D$6="Da",$D333,$E333))</f>
        <v/>
      </c>
      <c r="H333" s="33" t="str">
        <f>IF(OR($A333="",$F333=""),"",IF(Comenzi!$D$6="Da",IFERROR($F333/(1+INDEX('Calculator Cost per Bucata'!$AC:$AC,ROW()+4)),""),$F333))</f>
        <v/>
      </c>
      <c r="I333" s="46" t="str">
        <f t="shared" si="15"/>
        <v/>
      </c>
      <c r="J333" s="47" t="str">
        <f t="shared" si="16"/>
        <v/>
      </c>
      <c r="K333" s="48" t="str">
        <f t="shared" si="17"/>
        <v/>
      </c>
    </row>
    <row r="334" spans="1:11" x14ac:dyDescent="0.3">
      <c r="A334" s="28" t="str">
        <f>IF(INDEX('Calculator Cost per Bucata'!$A:$A,ROW()+4)="","",INDEX('Calculator Cost per Bucata'!$A:$A,ROW()+4))</f>
        <v/>
      </c>
      <c r="B334" s="28" t="str">
        <f>IF($A334="","",INDEX('Calculator Cost per Bucata'!$C:$C,ROW()+4))</f>
        <v/>
      </c>
      <c r="C334" s="28" t="str">
        <f>IF($A334="","",INDEX('Calculator Cost per Bucata'!$D:$D,ROW()+4))</f>
        <v/>
      </c>
      <c r="D334" s="33" t="str">
        <f>IF(INDEX('Calculator Cost per Bucata'!$Y:$Y,ROW()+4)=1,INDEX('Calculator Cost per Bucata'!$P:$P,ROW()+4),"")</f>
        <v/>
      </c>
      <c r="E334" s="33" t="str">
        <f>IF(INDEX('Calculator Cost per Bucata'!$Y:$Y,ROW()+4)=1,INDEX('Calculator Cost per Bucata'!$S:$S,ROW()+4),"")</f>
        <v/>
      </c>
      <c r="F334" s="33" t="str">
        <f>IF($A334="","",IF(N(INDEX('PI Furnizor'!$L:$L,ROW()+1))&gt;0,INDEX('PI Furnizor'!$L:$L,ROW()+1),""))</f>
        <v/>
      </c>
      <c r="G334" s="33" t="str">
        <f>IF($A334="","",IF(Comenzi!$D$6="Da",$D334,$E334))</f>
        <v/>
      </c>
      <c r="H334" s="33" t="str">
        <f>IF(OR($A334="",$F334=""),"",IF(Comenzi!$D$6="Da",IFERROR($F334/(1+INDEX('Calculator Cost per Bucata'!$AC:$AC,ROW()+4)),""),$F334))</f>
        <v/>
      </c>
      <c r="I334" s="46" t="str">
        <f t="shared" si="15"/>
        <v/>
      </c>
      <c r="J334" s="47" t="str">
        <f t="shared" si="16"/>
        <v/>
      </c>
      <c r="K334" s="48" t="str">
        <f t="shared" si="17"/>
        <v/>
      </c>
    </row>
    <row r="335" spans="1:11" x14ac:dyDescent="0.3">
      <c r="A335" s="28" t="str">
        <f>IF(INDEX('Calculator Cost per Bucata'!$A:$A,ROW()+4)="","",INDEX('Calculator Cost per Bucata'!$A:$A,ROW()+4))</f>
        <v/>
      </c>
      <c r="B335" s="28" t="str">
        <f>IF($A335="","",INDEX('Calculator Cost per Bucata'!$C:$C,ROW()+4))</f>
        <v/>
      </c>
      <c r="C335" s="28" t="str">
        <f>IF($A335="","",INDEX('Calculator Cost per Bucata'!$D:$D,ROW()+4))</f>
        <v/>
      </c>
      <c r="D335" s="33" t="str">
        <f>IF(INDEX('Calculator Cost per Bucata'!$Y:$Y,ROW()+4)=1,INDEX('Calculator Cost per Bucata'!$P:$P,ROW()+4),"")</f>
        <v/>
      </c>
      <c r="E335" s="33" t="str">
        <f>IF(INDEX('Calculator Cost per Bucata'!$Y:$Y,ROW()+4)=1,INDEX('Calculator Cost per Bucata'!$S:$S,ROW()+4),"")</f>
        <v/>
      </c>
      <c r="F335" s="33" t="str">
        <f>IF($A335="","",IF(N(INDEX('PI Furnizor'!$L:$L,ROW()+1))&gt;0,INDEX('PI Furnizor'!$L:$L,ROW()+1),""))</f>
        <v/>
      </c>
      <c r="G335" s="33" t="str">
        <f>IF($A335="","",IF(Comenzi!$D$6="Da",$D335,$E335))</f>
        <v/>
      </c>
      <c r="H335" s="33" t="str">
        <f>IF(OR($A335="",$F335=""),"",IF(Comenzi!$D$6="Da",IFERROR($F335/(1+INDEX('Calculator Cost per Bucata'!$AC:$AC,ROW()+4)),""),$F335))</f>
        <v/>
      </c>
      <c r="I335" s="46" t="str">
        <f t="shared" si="15"/>
        <v/>
      </c>
      <c r="J335" s="47" t="str">
        <f t="shared" si="16"/>
        <v/>
      </c>
      <c r="K335" s="48" t="str">
        <f t="shared" si="17"/>
        <v/>
      </c>
    </row>
    <row r="336" spans="1:11" x14ac:dyDescent="0.3">
      <c r="A336" s="28" t="str">
        <f>IF(INDEX('Calculator Cost per Bucata'!$A:$A,ROW()+4)="","",INDEX('Calculator Cost per Bucata'!$A:$A,ROW()+4))</f>
        <v/>
      </c>
      <c r="B336" s="28" t="str">
        <f>IF($A336="","",INDEX('Calculator Cost per Bucata'!$C:$C,ROW()+4))</f>
        <v/>
      </c>
      <c r="C336" s="28" t="str">
        <f>IF($A336="","",INDEX('Calculator Cost per Bucata'!$D:$D,ROW()+4))</f>
        <v/>
      </c>
      <c r="D336" s="33" t="str">
        <f>IF(INDEX('Calculator Cost per Bucata'!$Y:$Y,ROW()+4)=1,INDEX('Calculator Cost per Bucata'!$P:$P,ROW()+4),"")</f>
        <v/>
      </c>
      <c r="E336" s="33" t="str">
        <f>IF(INDEX('Calculator Cost per Bucata'!$Y:$Y,ROW()+4)=1,INDEX('Calculator Cost per Bucata'!$S:$S,ROW()+4),"")</f>
        <v/>
      </c>
      <c r="F336" s="33" t="str">
        <f>IF($A336="","",IF(N(INDEX('PI Furnizor'!$L:$L,ROW()+1))&gt;0,INDEX('PI Furnizor'!$L:$L,ROW()+1),""))</f>
        <v/>
      </c>
      <c r="G336" s="33" t="str">
        <f>IF($A336="","",IF(Comenzi!$D$6="Da",$D336,$E336))</f>
        <v/>
      </c>
      <c r="H336" s="33" t="str">
        <f>IF(OR($A336="",$F336=""),"",IF(Comenzi!$D$6="Da",IFERROR($F336/(1+INDEX('Calculator Cost per Bucata'!$AC:$AC,ROW()+4)),""),$F336))</f>
        <v/>
      </c>
      <c r="I336" s="46" t="str">
        <f t="shared" si="15"/>
        <v/>
      </c>
      <c r="J336" s="47" t="str">
        <f t="shared" si="16"/>
        <v/>
      </c>
      <c r="K336" s="48" t="str">
        <f t="shared" si="17"/>
        <v/>
      </c>
    </row>
    <row r="337" spans="1:11" x14ac:dyDescent="0.3">
      <c r="A337" s="28" t="str">
        <f>IF(INDEX('Calculator Cost per Bucata'!$A:$A,ROW()+4)="","",INDEX('Calculator Cost per Bucata'!$A:$A,ROW()+4))</f>
        <v/>
      </c>
      <c r="B337" s="28" t="str">
        <f>IF($A337="","",INDEX('Calculator Cost per Bucata'!$C:$C,ROW()+4))</f>
        <v/>
      </c>
      <c r="C337" s="28" t="str">
        <f>IF($A337="","",INDEX('Calculator Cost per Bucata'!$D:$D,ROW()+4))</f>
        <v/>
      </c>
      <c r="D337" s="33" t="str">
        <f>IF(INDEX('Calculator Cost per Bucata'!$Y:$Y,ROW()+4)=1,INDEX('Calculator Cost per Bucata'!$P:$P,ROW()+4),"")</f>
        <v/>
      </c>
      <c r="E337" s="33" t="str">
        <f>IF(INDEX('Calculator Cost per Bucata'!$Y:$Y,ROW()+4)=1,INDEX('Calculator Cost per Bucata'!$S:$S,ROW()+4),"")</f>
        <v/>
      </c>
      <c r="F337" s="33" t="str">
        <f>IF($A337="","",IF(N(INDEX('PI Furnizor'!$L:$L,ROW()+1))&gt;0,INDEX('PI Furnizor'!$L:$L,ROW()+1),""))</f>
        <v/>
      </c>
      <c r="G337" s="33" t="str">
        <f>IF($A337="","",IF(Comenzi!$D$6="Da",$D337,$E337))</f>
        <v/>
      </c>
      <c r="H337" s="33" t="str">
        <f>IF(OR($A337="",$F337=""),"",IF(Comenzi!$D$6="Da",IFERROR($F337/(1+INDEX('Calculator Cost per Bucata'!$AC:$AC,ROW()+4)),""),$F337))</f>
        <v/>
      </c>
      <c r="I337" s="46" t="str">
        <f t="shared" si="15"/>
        <v/>
      </c>
      <c r="J337" s="47" t="str">
        <f t="shared" si="16"/>
        <v/>
      </c>
      <c r="K337" s="48" t="str">
        <f t="shared" si="17"/>
        <v/>
      </c>
    </row>
    <row r="338" spans="1:11" x14ac:dyDescent="0.3">
      <c r="A338" s="28" t="str">
        <f>IF(INDEX('Calculator Cost per Bucata'!$A:$A,ROW()+4)="","",INDEX('Calculator Cost per Bucata'!$A:$A,ROW()+4))</f>
        <v/>
      </c>
      <c r="B338" s="28" t="str">
        <f>IF($A338="","",INDEX('Calculator Cost per Bucata'!$C:$C,ROW()+4))</f>
        <v/>
      </c>
      <c r="C338" s="28" t="str">
        <f>IF($A338="","",INDEX('Calculator Cost per Bucata'!$D:$D,ROW()+4))</f>
        <v/>
      </c>
      <c r="D338" s="33" t="str">
        <f>IF(INDEX('Calculator Cost per Bucata'!$Y:$Y,ROW()+4)=1,INDEX('Calculator Cost per Bucata'!$P:$P,ROW()+4),"")</f>
        <v/>
      </c>
      <c r="E338" s="33" t="str">
        <f>IF(INDEX('Calculator Cost per Bucata'!$Y:$Y,ROW()+4)=1,INDEX('Calculator Cost per Bucata'!$S:$S,ROW()+4),"")</f>
        <v/>
      </c>
      <c r="F338" s="33" t="str">
        <f>IF($A338="","",IF(N(INDEX('PI Furnizor'!$L:$L,ROW()+1))&gt;0,INDEX('PI Furnizor'!$L:$L,ROW()+1),""))</f>
        <v/>
      </c>
      <c r="G338" s="33" t="str">
        <f>IF($A338="","",IF(Comenzi!$D$6="Da",$D338,$E338))</f>
        <v/>
      </c>
      <c r="H338" s="33" t="str">
        <f>IF(OR($A338="",$F338=""),"",IF(Comenzi!$D$6="Da",IFERROR($F338/(1+INDEX('Calculator Cost per Bucata'!$AC:$AC,ROW()+4)),""),$F338))</f>
        <v/>
      </c>
      <c r="I338" s="46" t="str">
        <f t="shared" si="15"/>
        <v/>
      </c>
      <c r="J338" s="47" t="str">
        <f t="shared" si="16"/>
        <v/>
      </c>
      <c r="K338" s="48" t="str">
        <f t="shared" si="17"/>
        <v/>
      </c>
    </row>
    <row r="339" spans="1:11" x14ac:dyDescent="0.3">
      <c r="A339" s="28" t="str">
        <f>IF(INDEX('Calculator Cost per Bucata'!$A:$A,ROW()+4)="","",INDEX('Calculator Cost per Bucata'!$A:$A,ROW()+4))</f>
        <v/>
      </c>
      <c r="B339" s="28" t="str">
        <f>IF($A339="","",INDEX('Calculator Cost per Bucata'!$C:$C,ROW()+4))</f>
        <v/>
      </c>
      <c r="C339" s="28" t="str">
        <f>IF($A339="","",INDEX('Calculator Cost per Bucata'!$D:$D,ROW()+4))</f>
        <v/>
      </c>
      <c r="D339" s="33" t="str">
        <f>IF(INDEX('Calculator Cost per Bucata'!$Y:$Y,ROW()+4)=1,INDEX('Calculator Cost per Bucata'!$P:$P,ROW()+4),"")</f>
        <v/>
      </c>
      <c r="E339" s="33" t="str">
        <f>IF(INDEX('Calculator Cost per Bucata'!$Y:$Y,ROW()+4)=1,INDEX('Calculator Cost per Bucata'!$S:$S,ROW()+4),"")</f>
        <v/>
      </c>
      <c r="F339" s="33" t="str">
        <f>IF($A339="","",IF(N(INDEX('PI Furnizor'!$L:$L,ROW()+1))&gt;0,INDEX('PI Furnizor'!$L:$L,ROW()+1),""))</f>
        <v/>
      </c>
      <c r="G339" s="33" t="str">
        <f>IF($A339="","",IF(Comenzi!$D$6="Da",$D339,$E339))</f>
        <v/>
      </c>
      <c r="H339" s="33" t="str">
        <f>IF(OR($A339="",$F339=""),"",IF(Comenzi!$D$6="Da",IFERROR($F339/(1+INDEX('Calculator Cost per Bucata'!$AC:$AC,ROW()+4)),""),$F339))</f>
        <v/>
      </c>
      <c r="I339" s="46" t="str">
        <f t="shared" si="15"/>
        <v/>
      </c>
      <c r="J339" s="47" t="str">
        <f t="shared" si="16"/>
        <v/>
      </c>
      <c r="K339" s="48" t="str">
        <f t="shared" si="17"/>
        <v/>
      </c>
    </row>
    <row r="340" spans="1:11" x14ac:dyDescent="0.3">
      <c r="A340" s="28" t="str">
        <f>IF(INDEX('Calculator Cost per Bucata'!$A:$A,ROW()+4)="","",INDEX('Calculator Cost per Bucata'!$A:$A,ROW()+4))</f>
        <v/>
      </c>
      <c r="B340" s="28" t="str">
        <f>IF($A340="","",INDEX('Calculator Cost per Bucata'!$C:$C,ROW()+4))</f>
        <v/>
      </c>
      <c r="C340" s="28" t="str">
        <f>IF($A340="","",INDEX('Calculator Cost per Bucata'!$D:$D,ROW()+4))</f>
        <v/>
      </c>
      <c r="D340" s="33" t="str">
        <f>IF(INDEX('Calculator Cost per Bucata'!$Y:$Y,ROW()+4)=1,INDEX('Calculator Cost per Bucata'!$P:$P,ROW()+4),"")</f>
        <v/>
      </c>
      <c r="E340" s="33" t="str">
        <f>IF(INDEX('Calculator Cost per Bucata'!$Y:$Y,ROW()+4)=1,INDEX('Calculator Cost per Bucata'!$S:$S,ROW()+4),"")</f>
        <v/>
      </c>
      <c r="F340" s="33" t="str">
        <f>IF($A340="","",IF(N(INDEX('PI Furnizor'!$L:$L,ROW()+1))&gt;0,INDEX('PI Furnizor'!$L:$L,ROW()+1),""))</f>
        <v/>
      </c>
      <c r="G340" s="33" t="str">
        <f>IF($A340="","",IF(Comenzi!$D$6="Da",$D340,$E340))</f>
        <v/>
      </c>
      <c r="H340" s="33" t="str">
        <f>IF(OR($A340="",$F340=""),"",IF(Comenzi!$D$6="Da",IFERROR($F340/(1+INDEX('Calculator Cost per Bucata'!$AC:$AC,ROW()+4)),""),$F340))</f>
        <v/>
      </c>
      <c r="I340" s="46" t="str">
        <f t="shared" si="15"/>
        <v/>
      </c>
      <c r="J340" s="47" t="str">
        <f t="shared" si="16"/>
        <v/>
      </c>
      <c r="K340" s="48" t="str">
        <f t="shared" si="17"/>
        <v/>
      </c>
    </row>
    <row r="341" spans="1:11" x14ac:dyDescent="0.3">
      <c r="A341" s="28" t="str">
        <f>IF(INDEX('Calculator Cost per Bucata'!$A:$A,ROW()+4)="","",INDEX('Calculator Cost per Bucata'!$A:$A,ROW()+4))</f>
        <v/>
      </c>
      <c r="B341" s="28" t="str">
        <f>IF($A341="","",INDEX('Calculator Cost per Bucata'!$C:$C,ROW()+4))</f>
        <v/>
      </c>
      <c r="C341" s="28" t="str">
        <f>IF($A341="","",INDEX('Calculator Cost per Bucata'!$D:$D,ROW()+4))</f>
        <v/>
      </c>
      <c r="D341" s="33" t="str">
        <f>IF(INDEX('Calculator Cost per Bucata'!$Y:$Y,ROW()+4)=1,INDEX('Calculator Cost per Bucata'!$P:$P,ROW()+4),"")</f>
        <v/>
      </c>
      <c r="E341" s="33" t="str">
        <f>IF(INDEX('Calculator Cost per Bucata'!$Y:$Y,ROW()+4)=1,INDEX('Calculator Cost per Bucata'!$S:$S,ROW()+4),"")</f>
        <v/>
      </c>
      <c r="F341" s="33" t="str">
        <f>IF($A341="","",IF(N(INDEX('PI Furnizor'!$L:$L,ROW()+1))&gt;0,INDEX('PI Furnizor'!$L:$L,ROW()+1),""))</f>
        <v/>
      </c>
      <c r="G341" s="33" t="str">
        <f>IF($A341="","",IF(Comenzi!$D$6="Da",$D341,$E341))</f>
        <v/>
      </c>
      <c r="H341" s="33" t="str">
        <f>IF(OR($A341="",$F341=""),"",IF(Comenzi!$D$6="Da",IFERROR($F341/(1+INDEX('Calculator Cost per Bucata'!$AC:$AC,ROW()+4)),""),$F341))</f>
        <v/>
      </c>
      <c r="I341" s="46" t="str">
        <f t="shared" si="15"/>
        <v/>
      </c>
      <c r="J341" s="47" t="str">
        <f t="shared" si="16"/>
        <v/>
      </c>
      <c r="K341" s="48" t="str">
        <f t="shared" si="17"/>
        <v/>
      </c>
    </row>
    <row r="342" spans="1:11" x14ac:dyDescent="0.3">
      <c r="A342" s="28" t="str">
        <f>IF(INDEX('Calculator Cost per Bucata'!$A:$A,ROW()+4)="","",INDEX('Calculator Cost per Bucata'!$A:$A,ROW()+4))</f>
        <v/>
      </c>
      <c r="B342" s="28" t="str">
        <f>IF($A342="","",INDEX('Calculator Cost per Bucata'!$C:$C,ROW()+4))</f>
        <v/>
      </c>
      <c r="C342" s="28" t="str">
        <f>IF($A342="","",INDEX('Calculator Cost per Bucata'!$D:$D,ROW()+4))</f>
        <v/>
      </c>
      <c r="D342" s="33" t="str">
        <f>IF(INDEX('Calculator Cost per Bucata'!$Y:$Y,ROW()+4)=1,INDEX('Calculator Cost per Bucata'!$P:$P,ROW()+4),"")</f>
        <v/>
      </c>
      <c r="E342" s="33" t="str">
        <f>IF(INDEX('Calculator Cost per Bucata'!$Y:$Y,ROW()+4)=1,INDEX('Calculator Cost per Bucata'!$S:$S,ROW()+4),"")</f>
        <v/>
      </c>
      <c r="F342" s="33" t="str">
        <f>IF($A342="","",IF(N(INDEX('PI Furnizor'!$L:$L,ROW()+1))&gt;0,INDEX('PI Furnizor'!$L:$L,ROW()+1),""))</f>
        <v/>
      </c>
      <c r="G342" s="33" t="str">
        <f>IF($A342="","",IF(Comenzi!$D$6="Da",$D342,$E342))</f>
        <v/>
      </c>
      <c r="H342" s="33" t="str">
        <f>IF(OR($A342="",$F342=""),"",IF(Comenzi!$D$6="Da",IFERROR($F342/(1+INDEX('Calculator Cost per Bucata'!$AC:$AC,ROW()+4)),""),$F342))</f>
        <v/>
      </c>
      <c r="I342" s="46" t="str">
        <f t="shared" si="15"/>
        <v/>
      </c>
      <c r="J342" s="47" t="str">
        <f t="shared" si="16"/>
        <v/>
      </c>
      <c r="K342" s="48" t="str">
        <f t="shared" si="17"/>
        <v/>
      </c>
    </row>
    <row r="343" spans="1:11" x14ac:dyDescent="0.3">
      <c r="A343" s="28" t="str">
        <f>IF(INDEX('Calculator Cost per Bucata'!$A:$A,ROW()+4)="","",INDEX('Calculator Cost per Bucata'!$A:$A,ROW()+4))</f>
        <v/>
      </c>
      <c r="B343" s="28" t="str">
        <f>IF($A343="","",INDEX('Calculator Cost per Bucata'!$C:$C,ROW()+4))</f>
        <v/>
      </c>
      <c r="C343" s="28" t="str">
        <f>IF($A343="","",INDEX('Calculator Cost per Bucata'!$D:$D,ROW()+4))</f>
        <v/>
      </c>
      <c r="D343" s="33" t="str">
        <f>IF(INDEX('Calculator Cost per Bucata'!$Y:$Y,ROW()+4)=1,INDEX('Calculator Cost per Bucata'!$P:$P,ROW()+4),"")</f>
        <v/>
      </c>
      <c r="E343" s="33" t="str">
        <f>IF(INDEX('Calculator Cost per Bucata'!$Y:$Y,ROW()+4)=1,INDEX('Calculator Cost per Bucata'!$S:$S,ROW()+4),"")</f>
        <v/>
      </c>
      <c r="F343" s="33" t="str">
        <f>IF($A343="","",IF(N(INDEX('PI Furnizor'!$L:$L,ROW()+1))&gt;0,INDEX('PI Furnizor'!$L:$L,ROW()+1),""))</f>
        <v/>
      </c>
      <c r="G343" s="33" t="str">
        <f>IF($A343="","",IF(Comenzi!$D$6="Da",$D343,$E343))</f>
        <v/>
      </c>
      <c r="H343" s="33" t="str">
        <f>IF(OR($A343="",$F343=""),"",IF(Comenzi!$D$6="Da",IFERROR($F343/(1+INDEX('Calculator Cost per Bucata'!$AC:$AC,ROW()+4)),""),$F343))</f>
        <v/>
      </c>
      <c r="I343" s="46" t="str">
        <f t="shared" si="15"/>
        <v/>
      </c>
      <c r="J343" s="47" t="str">
        <f t="shared" si="16"/>
        <v/>
      </c>
      <c r="K343" s="48" t="str">
        <f t="shared" si="17"/>
        <v/>
      </c>
    </row>
    <row r="344" spans="1:11" x14ac:dyDescent="0.3">
      <c r="A344" s="28" t="str">
        <f>IF(INDEX('Calculator Cost per Bucata'!$A:$A,ROW()+4)="","",INDEX('Calculator Cost per Bucata'!$A:$A,ROW()+4))</f>
        <v/>
      </c>
      <c r="B344" s="28" t="str">
        <f>IF($A344="","",INDEX('Calculator Cost per Bucata'!$C:$C,ROW()+4))</f>
        <v/>
      </c>
      <c r="C344" s="28" t="str">
        <f>IF($A344="","",INDEX('Calculator Cost per Bucata'!$D:$D,ROW()+4))</f>
        <v/>
      </c>
      <c r="D344" s="33" t="str">
        <f>IF(INDEX('Calculator Cost per Bucata'!$Y:$Y,ROW()+4)=1,INDEX('Calculator Cost per Bucata'!$P:$P,ROW()+4),"")</f>
        <v/>
      </c>
      <c r="E344" s="33" t="str">
        <f>IF(INDEX('Calculator Cost per Bucata'!$Y:$Y,ROW()+4)=1,INDEX('Calculator Cost per Bucata'!$S:$S,ROW()+4),"")</f>
        <v/>
      </c>
      <c r="F344" s="33" t="str">
        <f>IF($A344="","",IF(N(INDEX('PI Furnizor'!$L:$L,ROW()+1))&gt;0,INDEX('PI Furnizor'!$L:$L,ROW()+1),""))</f>
        <v/>
      </c>
      <c r="G344" s="33" t="str">
        <f>IF($A344="","",IF(Comenzi!$D$6="Da",$D344,$E344))</f>
        <v/>
      </c>
      <c r="H344" s="33" t="str">
        <f>IF(OR($A344="",$F344=""),"",IF(Comenzi!$D$6="Da",IFERROR($F344/(1+INDEX('Calculator Cost per Bucata'!$AC:$AC,ROW()+4)),""),$F344))</f>
        <v/>
      </c>
      <c r="I344" s="46" t="str">
        <f t="shared" si="15"/>
        <v/>
      </c>
      <c r="J344" s="47" t="str">
        <f t="shared" si="16"/>
        <v/>
      </c>
      <c r="K344" s="48" t="str">
        <f t="shared" si="17"/>
        <v/>
      </c>
    </row>
    <row r="345" spans="1:11" x14ac:dyDescent="0.3">
      <c r="A345" s="28" t="str">
        <f>IF(INDEX('Calculator Cost per Bucata'!$A:$A,ROW()+4)="","",INDEX('Calculator Cost per Bucata'!$A:$A,ROW()+4))</f>
        <v/>
      </c>
      <c r="B345" s="28" t="str">
        <f>IF($A345="","",INDEX('Calculator Cost per Bucata'!$C:$C,ROW()+4))</f>
        <v/>
      </c>
      <c r="C345" s="28" t="str">
        <f>IF($A345="","",INDEX('Calculator Cost per Bucata'!$D:$D,ROW()+4))</f>
        <v/>
      </c>
      <c r="D345" s="33" t="str">
        <f>IF(INDEX('Calculator Cost per Bucata'!$Y:$Y,ROW()+4)=1,INDEX('Calculator Cost per Bucata'!$P:$P,ROW()+4),"")</f>
        <v/>
      </c>
      <c r="E345" s="33" t="str">
        <f>IF(INDEX('Calculator Cost per Bucata'!$Y:$Y,ROW()+4)=1,INDEX('Calculator Cost per Bucata'!$S:$S,ROW()+4),"")</f>
        <v/>
      </c>
      <c r="F345" s="33" t="str">
        <f>IF($A345="","",IF(N(INDEX('PI Furnizor'!$L:$L,ROW()+1))&gt;0,INDEX('PI Furnizor'!$L:$L,ROW()+1),""))</f>
        <v/>
      </c>
      <c r="G345" s="33" t="str">
        <f>IF($A345="","",IF(Comenzi!$D$6="Da",$D345,$E345))</f>
        <v/>
      </c>
      <c r="H345" s="33" t="str">
        <f>IF(OR($A345="",$F345=""),"",IF(Comenzi!$D$6="Da",IFERROR($F345/(1+INDEX('Calculator Cost per Bucata'!$AC:$AC,ROW()+4)),""),$F345))</f>
        <v/>
      </c>
      <c r="I345" s="46" t="str">
        <f t="shared" si="15"/>
        <v/>
      </c>
      <c r="J345" s="47" t="str">
        <f t="shared" si="16"/>
        <v/>
      </c>
      <c r="K345" s="48" t="str">
        <f t="shared" si="17"/>
        <v/>
      </c>
    </row>
    <row r="346" spans="1:11" x14ac:dyDescent="0.3">
      <c r="A346" s="28" t="str">
        <f>IF(INDEX('Calculator Cost per Bucata'!$A:$A,ROW()+4)="","",INDEX('Calculator Cost per Bucata'!$A:$A,ROW()+4))</f>
        <v/>
      </c>
      <c r="B346" s="28" t="str">
        <f>IF($A346="","",INDEX('Calculator Cost per Bucata'!$C:$C,ROW()+4))</f>
        <v/>
      </c>
      <c r="C346" s="28" t="str">
        <f>IF($A346="","",INDEX('Calculator Cost per Bucata'!$D:$D,ROW()+4))</f>
        <v/>
      </c>
      <c r="D346" s="33" t="str">
        <f>IF(INDEX('Calculator Cost per Bucata'!$Y:$Y,ROW()+4)=1,INDEX('Calculator Cost per Bucata'!$P:$P,ROW()+4),"")</f>
        <v/>
      </c>
      <c r="E346" s="33" t="str">
        <f>IF(INDEX('Calculator Cost per Bucata'!$Y:$Y,ROW()+4)=1,INDEX('Calculator Cost per Bucata'!$S:$S,ROW()+4),"")</f>
        <v/>
      </c>
      <c r="F346" s="33" t="str">
        <f>IF($A346="","",IF(N(INDEX('PI Furnizor'!$L:$L,ROW()+1))&gt;0,INDEX('PI Furnizor'!$L:$L,ROW()+1),""))</f>
        <v/>
      </c>
      <c r="G346" s="33" t="str">
        <f>IF($A346="","",IF(Comenzi!$D$6="Da",$D346,$E346))</f>
        <v/>
      </c>
      <c r="H346" s="33" t="str">
        <f>IF(OR($A346="",$F346=""),"",IF(Comenzi!$D$6="Da",IFERROR($F346/(1+INDEX('Calculator Cost per Bucata'!$AC:$AC,ROW()+4)),""),$F346))</f>
        <v/>
      </c>
      <c r="I346" s="46" t="str">
        <f t="shared" si="15"/>
        <v/>
      </c>
      <c r="J346" s="47" t="str">
        <f t="shared" si="16"/>
        <v/>
      </c>
      <c r="K346" s="48" t="str">
        <f t="shared" si="17"/>
        <v/>
      </c>
    </row>
    <row r="347" spans="1:11" x14ac:dyDescent="0.3">
      <c r="A347" s="28" t="str">
        <f>IF(INDEX('Calculator Cost per Bucata'!$A:$A,ROW()+4)="","",INDEX('Calculator Cost per Bucata'!$A:$A,ROW()+4))</f>
        <v/>
      </c>
      <c r="B347" s="28" t="str">
        <f>IF($A347="","",INDEX('Calculator Cost per Bucata'!$C:$C,ROW()+4))</f>
        <v/>
      </c>
      <c r="C347" s="28" t="str">
        <f>IF($A347="","",INDEX('Calculator Cost per Bucata'!$D:$D,ROW()+4))</f>
        <v/>
      </c>
      <c r="D347" s="33" t="str">
        <f>IF(INDEX('Calculator Cost per Bucata'!$Y:$Y,ROW()+4)=1,INDEX('Calculator Cost per Bucata'!$P:$P,ROW()+4),"")</f>
        <v/>
      </c>
      <c r="E347" s="33" t="str">
        <f>IF(INDEX('Calculator Cost per Bucata'!$Y:$Y,ROW()+4)=1,INDEX('Calculator Cost per Bucata'!$S:$S,ROW()+4),"")</f>
        <v/>
      </c>
      <c r="F347" s="33" t="str">
        <f>IF($A347="","",IF(N(INDEX('PI Furnizor'!$L:$L,ROW()+1))&gt;0,INDEX('PI Furnizor'!$L:$L,ROW()+1),""))</f>
        <v/>
      </c>
      <c r="G347" s="33" t="str">
        <f>IF($A347="","",IF(Comenzi!$D$6="Da",$D347,$E347))</f>
        <v/>
      </c>
      <c r="H347" s="33" t="str">
        <f>IF(OR($A347="",$F347=""),"",IF(Comenzi!$D$6="Da",IFERROR($F347/(1+INDEX('Calculator Cost per Bucata'!$AC:$AC,ROW()+4)),""),$F347))</f>
        <v/>
      </c>
      <c r="I347" s="46" t="str">
        <f t="shared" si="15"/>
        <v/>
      </c>
      <c r="J347" s="47" t="str">
        <f t="shared" si="16"/>
        <v/>
      </c>
      <c r="K347" s="48" t="str">
        <f t="shared" si="17"/>
        <v/>
      </c>
    </row>
    <row r="348" spans="1:11" x14ac:dyDescent="0.3">
      <c r="A348" s="28" t="str">
        <f>IF(INDEX('Calculator Cost per Bucata'!$A:$A,ROW()+4)="","",INDEX('Calculator Cost per Bucata'!$A:$A,ROW()+4))</f>
        <v/>
      </c>
      <c r="B348" s="28" t="str">
        <f>IF($A348="","",INDEX('Calculator Cost per Bucata'!$C:$C,ROW()+4))</f>
        <v/>
      </c>
      <c r="C348" s="28" t="str">
        <f>IF($A348="","",INDEX('Calculator Cost per Bucata'!$D:$D,ROW()+4))</f>
        <v/>
      </c>
      <c r="D348" s="33" t="str">
        <f>IF(INDEX('Calculator Cost per Bucata'!$Y:$Y,ROW()+4)=1,INDEX('Calculator Cost per Bucata'!$P:$P,ROW()+4),"")</f>
        <v/>
      </c>
      <c r="E348" s="33" t="str">
        <f>IF(INDEX('Calculator Cost per Bucata'!$Y:$Y,ROW()+4)=1,INDEX('Calculator Cost per Bucata'!$S:$S,ROW()+4),"")</f>
        <v/>
      </c>
      <c r="F348" s="33" t="str">
        <f>IF($A348="","",IF(N(INDEX('PI Furnizor'!$L:$L,ROW()+1))&gt;0,INDEX('PI Furnizor'!$L:$L,ROW()+1),""))</f>
        <v/>
      </c>
      <c r="G348" s="33" t="str">
        <f>IF($A348="","",IF(Comenzi!$D$6="Da",$D348,$E348))</f>
        <v/>
      </c>
      <c r="H348" s="33" t="str">
        <f>IF(OR($A348="",$F348=""),"",IF(Comenzi!$D$6="Da",IFERROR($F348/(1+INDEX('Calculator Cost per Bucata'!$AC:$AC,ROW()+4)),""),$F348))</f>
        <v/>
      </c>
      <c r="I348" s="46" t="str">
        <f t="shared" si="15"/>
        <v/>
      </c>
      <c r="J348" s="47" t="str">
        <f t="shared" si="16"/>
        <v/>
      </c>
      <c r="K348" s="48" t="str">
        <f t="shared" si="17"/>
        <v/>
      </c>
    </row>
    <row r="349" spans="1:11" x14ac:dyDescent="0.3">
      <c r="A349" s="28" t="str">
        <f>IF(INDEX('Calculator Cost per Bucata'!$A:$A,ROW()+4)="","",INDEX('Calculator Cost per Bucata'!$A:$A,ROW()+4))</f>
        <v/>
      </c>
      <c r="B349" s="28" t="str">
        <f>IF($A349="","",INDEX('Calculator Cost per Bucata'!$C:$C,ROW()+4))</f>
        <v/>
      </c>
      <c r="C349" s="28" t="str">
        <f>IF($A349="","",INDEX('Calculator Cost per Bucata'!$D:$D,ROW()+4))</f>
        <v/>
      </c>
      <c r="D349" s="33" t="str">
        <f>IF(INDEX('Calculator Cost per Bucata'!$Y:$Y,ROW()+4)=1,INDEX('Calculator Cost per Bucata'!$P:$P,ROW()+4),"")</f>
        <v/>
      </c>
      <c r="E349" s="33" t="str">
        <f>IF(INDEX('Calculator Cost per Bucata'!$Y:$Y,ROW()+4)=1,INDEX('Calculator Cost per Bucata'!$S:$S,ROW()+4),"")</f>
        <v/>
      </c>
      <c r="F349" s="33" t="str">
        <f>IF($A349="","",IF(N(INDEX('PI Furnizor'!$L:$L,ROW()+1))&gt;0,INDEX('PI Furnizor'!$L:$L,ROW()+1),""))</f>
        <v/>
      </c>
      <c r="G349" s="33" t="str">
        <f>IF($A349="","",IF(Comenzi!$D$6="Da",$D349,$E349))</f>
        <v/>
      </c>
      <c r="H349" s="33" t="str">
        <f>IF(OR($A349="",$F349=""),"",IF(Comenzi!$D$6="Da",IFERROR($F349/(1+INDEX('Calculator Cost per Bucata'!$AC:$AC,ROW()+4)),""),$F349))</f>
        <v/>
      </c>
      <c r="I349" s="46" t="str">
        <f t="shared" si="15"/>
        <v/>
      </c>
      <c r="J349" s="47" t="str">
        <f t="shared" si="16"/>
        <v/>
      </c>
      <c r="K349" s="48" t="str">
        <f t="shared" si="17"/>
        <v/>
      </c>
    </row>
    <row r="350" spans="1:11" x14ac:dyDescent="0.3">
      <c r="A350" s="28" t="str">
        <f>IF(INDEX('Calculator Cost per Bucata'!$A:$A,ROW()+4)="","",INDEX('Calculator Cost per Bucata'!$A:$A,ROW()+4))</f>
        <v/>
      </c>
      <c r="B350" s="28" t="str">
        <f>IF($A350="","",INDEX('Calculator Cost per Bucata'!$C:$C,ROW()+4))</f>
        <v/>
      </c>
      <c r="C350" s="28" t="str">
        <f>IF($A350="","",INDEX('Calculator Cost per Bucata'!$D:$D,ROW()+4))</f>
        <v/>
      </c>
      <c r="D350" s="33" t="str">
        <f>IF(INDEX('Calculator Cost per Bucata'!$Y:$Y,ROW()+4)=1,INDEX('Calculator Cost per Bucata'!$P:$P,ROW()+4),"")</f>
        <v/>
      </c>
      <c r="E350" s="33" t="str">
        <f>IF(INDEX('Calculator Cost per Bucata'!$Y:$Y,ROW()+4)=1,INDEX('Calculator Cost per Bucata'!$S:$S,ROW()+4),"")</f>
        <v/>
      </c>
      <c r="F350" s="33" t="str">
        <f>IF($A350="","",IF(N(INDEX('PI Furnizor'!$L:$L,ROW()+1))&gt;0,INDEX('PI Furnizor'!$L:$L,ROW()+1),""))</f>
        <v/>
      </c>
      <c r="G350" s="33" t="str">
        <f>IF($A350="","",IF(Comenzi!$D$6="Da",$D350,$E350))</f>
        <v/>
      </c>
      <c r="H350" s="33" t="str">
        <f>IF(OR($A350="",$F350=""),"",IF(Comenzi!$D$6="Da",IFERROR($F350/(1+INDEX('Calculator Cost per Bucata'!$AC:$AC,ROW()+4)),""),$F350))</f>
        <v/>
      </c>
      <c r="I350" s="46" t="str">
        <f t="shared" si="15"/>
        <v/>
      </c>
      <c r="J350" s="47" t="str">
        <f t="shared" si="16"/>
        <v/>
      </c>
      <c r="K350" s="48" t="str">
        <f t="shared" si="17"/>
        <v/>
      </c>
    </row>
    <row r="351" spans="1:11" x14ac:dyDescent="0.3">
      <c r="A351" s="28" t="str">
        <f>IF(INDEX('Calculator Cost per Bucata'!$A:$A,ROW()+4)="","",INDEX('Calculator Cost per Bucata'!$A:$A,ROW()+4))</f>
        <v/>
      </c>
      <c r="B351" s="28" t="str">
        <f>IF($A351="","",INDEX('Calculator Cost per Bucata'!$C:$C,ROW()+4))</f>
        <v/>
      </c>
      <c r="C351" s="28" t="str">
        <f>IF($A351="","",INDEX('Calculator Cost per Bucata'!$D:$D,ROW()+4))</f>
        <v/>
      </c>
      <c r="D351" s="33" t="str">
        <f>IF(INDEX('Calculator Cost per Bucata'!$Y:$Y,ROW()+4)=1,INDEX('Calculator Cost per Bucata'!$P:$P,ROW()+4),"")</f>
        <v/>
      </c>
      <c r="E351" s="33" t="str">
        <f>IF(INDEX('Calculator Cost per Bucata'!$Y:$Y,ROW()+4)=1,INDEX('Calculator Cost per Bucata'!$S:$S,ROW()+4),"")</f>
        <v/>
      </c>
      <c r="F351" s="33" t="str">
        <f>IF($A351="","",IF(N(INDEX('PI Furnizor'!$L:$L,ROW()+1))&gt;0,INDEX('PI Furnizor'!$L:$L,ROW()+1),""))</f>
        <v/>
      </c>
      <c r="G351" s="33" t="str">
        <f>IF($A351="","",IF(Comenzi!$D$6="Da",$D351,$E351))</f>
        <v/>
      </c>
      <c r="H351" s="33" t="str">
        <f>IF(OR($A351="",$F351=""),"",IF(Comenzi!$D$6="Da",IFERROR($F351/(1+INDEX('Calculator Cost per Bucata'!$AC:$AC,ROW()+4)),""),$F351))</f>
        <v/>
      </c>
      <c r="I351" s="46" t="str">
        <f t="shared" si="15"/>
        <v/>
      </c>
      <c r="J351" s="47" t="str">
        <f t="shared" si="16"/>
        <v/>
      </c>
      <c r="K351" s="48" t="str">
        <f t="shared" si="17"/>
        <v/>
      </c>
    </row>
    <row r="352" spans="1:11" x14ac:dyDescent="0.3">
      <c r="A352" s="28" t="str">
        <f>IF(INDEX('Calculator Cost per Bucata'!$A:$A,ROW()+4)="","",INDEX('Calculator Cost per Bucata'!$A:$A,ROW()+4))</f>
        <v/>
      </c>
      <c r="B352" s="28" t="str">
        <f>IF($A352="","",INDEX('Calculator Cost per Bucata'!$C:$C,ROW()+4))</f>
        <v/>
      </c>
      <c r="C352" s="28" t="str">
        <f>IF($A352="","",INDEX('Calculator Cost per Bucata'!$D:$D,ROW()+4))</f>
        <v/>
      </c>
      <c r="D352" s="33" t="str">
        <f>IF(INDEX('Calculator Cost per Bucata'!$Y:$Y,ROW()+4)=1,INDEX('Calculator Cost per Bucata'!$P:$P,ROW()+4),"")</f>
        <v/>
      </c>
      <c r="E352" s="33" t="str">
        <f>IF(INDEX('Calculator Cost per Bucata'!$Y:$Y,ROW()+4)=1,INDEX('Calculator Cost per Bucata'!$S:$S,ROW()+4),"")</f>
        <v/>
      </c>
      <c r="F352" s="33" t="str">
        <f>IF($A352="","",IF(N(INDEX('PI Furnizor'!$L:$L,ROW()+1))&gt;0,INDEX('PI Furnizor'!$L:$L,ROW()+1),""))</f>
        <v/>
      </c>
      <c r="G352" s="33" t="str">
        <f>IF($A352="","",IF(Comenzi!$D$6="Da",$D352,$E352))</f>
        <v/>
      </c>
      <c r="H352" s="33" t="str">
        <f>IF(OR($A352="",$F352=""),"",IF(Comenzi!$D$6="Da",IFERROR($F352/(1+INDEX('Calculator Cost per Bucata'!$AC:$AC,ROW()+4)),""),$F352))</f>
        <v/>
      </c>
      <c r="I352" s="46" t="str">
        <f t="shared" si="15"/>
        <v/>
      </c>
      <c r="J352" s="47" t="str">
        <f t="shared" si="16"/>
        <v/>
      </c>
      <c r="K352" s="48" t="str">
        <f t="shared" si="17"/>
        <v/>
      </c>
    </row>
    <row r="353" spans="1:11" x14ac:dyDescent="0.3">
      <c r="A353" s="28" t="str">
        <f>IF(INDEX('Calculator Cost per Bucata'!$A:$A,ROW()+4)="","",INDEX('Calculator Cost per Bucata'!$A:$A,ROW()+4))</f>
        <v/>
      </c>
      <c r="B353" s="28" t="str">
        <f>IF($A353="","",INDEX('Calculator Cost per Bucata'!$C:$C,ROW()+4))</f>
        <v/>
      </c>
      <c r="C353" s="28" t="str">
        <f>IF($A353="","",INDEX('Calculator Cost per Bucata'!$D:$D,ROW()+4))</f>
        <v/>
      </c>
      <c r="D353" s="33" t="str">
        <f>IF(INDEX('Calculator Cost per Bucata'!$Y:$Y,ROW()+4)=1,INDEX('Calculator Cost per Bucata'!$P:$P,ROW()+4),"")</f>
        <v/>
      </c>
      <c r="E353" s="33" t="str">
        <f>IF(INDEX('Calculator Cost per Bucata'!$Y:$Y,ROW()+4)=1,INDEX('Calculator Cost per Bucata'!$S:$S,ROW()+4),"")</f>
        <v/>
      </c>
      <c r="F353" s="33" t="str">
        <f>IF($A353="","",IF(N(INDEX('PI Furnizor'!$L:$L,ROW()+1))&gt;0,INDEX('PI Furnizor'!$L:$L,ROW()+1),""))</f>
        <v/>
      </c>
      <c r="G353" s="33" t="str">
        <f>IF($A353="","",IF(Comenzi!$D$6="Da",$D353,$E353))</f>
        <v/>
      </c>
      <c r="H353" s="33" t="str">
        <f>IF(OR($A353="",$F353=""),"",IF(Comenzi!$D$6="Da",IFERROR($F353/(1+INDEX('Calculator Cost per Bucata'!$AC:$AC,ROW()+4)),""),$F353))</f>
        <v/>
      </c>
      <c r="I353" s="46" t="str">
        <f t="shared" si="15"/>
        <v/>
      </c>
      <c r="J353" s="47" t="str">
        <f t="shared" si="16"/>
        <v/>
      </c>
      <c r="K353" s="48" t="str">
        <f t="shared" si="17"/>
        <v/>
      </c>
    </row>
    <row r="354" spans="1:11" x14ac:dyDescent="0.3">
      <c r="A354" s="28" t="str">
        <f>IF(INDEX('Calculator Cost per Bucata'!$A:$A,ROW()+4)="","",INDEX('Calculator Cost per Bucata'!$A:$A,ROW()+4))</f>
        <v/>
      </c>
      <c r="B354" s="28" t="str">
        <f>IF($A354="","",INDEX('Calculator Cost per Bucata'!$C:$C,ROW()+4))</f>
        <v/>
      </c>
      <c r="C354" s="28" t="str">
        <f>IF($A354="","",INDEX('Calculator Cost per Bucata'!$D:$D,ROW()+4))</f>
        <v/>
      </c>
      <c r="D354" s="33" t="str">
        <f>IF(INDEX('Calculator Cost per Bucata'!$Y:$Y,ROW()+4)=1,INDEX('Calculator Cost per Bucata'!$P:$P,ROW()+4),"")</f>
        <v/>
      </c>
      <c r="E354" s="33" t="str">
        <f>IF(INDEX('Calculator Cost per Bucata'!$Y:$Y,ROW()+4)=1,INDEX('Calculator Cost per Bucata'!$S:$S,ROW()+4),"")</f>
        <v/>
      </c>
      <c r="F354" s="33" t="str">
        <f>IF($A354="","",IF(N(INDEX('PI Furnizor'!$L:$L,ROW()+1))&gt;0,INDEX('PI Furnizor'!$L:$L,ROW()+1),""))</f>
        <v/>
      </c>
      <c r="G354" s="33" t="str">
        <f>IF($A354="","",IF(Comenzi!$D$6="Da",$D354,$E354))</f>
        <v/>
      </c>
      <c r="H354" s="33" t="str">
        <f>IF(OR($A354="",$F354=""),"",IF(Comenzi!$D$6="Da",IFERROR($F354/(1+INDEX('Calculator Cost per Bucata'!$AC:$AC,ROW()+4)),""),$F354))</f>
        <v/>
      </c>
      <c r="I354" s="46" t="str">
        <f t="shared" si="15"/>
        <v/>
      </c>
      <c r="J354" s="47" t="str">
        <f t="shared" si="16"/>
        <v/>
      </c>
      <c r="K354" s="48" t="str">
        <f t="shared" si="17"/>
        <v/>
      </c>
    </row>
    <row r="355" spans="1:11" x14ac:dyDescent="0.3">
      <c r="A355" s="28" t="str">
        <f>IF(INDEX('Calculator Cost per Bucata'!$A:$A,ROW()+4)="","",INDEX('Calculator Cost per Bucata'!$A:$A,ROW()+4))</f>
        <v/>
      </c>
      <c r="B355" s="28" t="str">
        <f>IF($A355="","",INDEX('Calculator Cost per Bucata'!$C:$C,ROW()+4))</f>
        <v/>
      </c>
      <c r="C355" s="28" t="str">
        <f>IF($A355="","",INDEX('Calculator Cost per Bucata'!$D:$D,ROW()+4))</f>
        <v/>
      </c>
      <c r="D355" s="33" t="str">
        <f>IF(INDEX('Calculator Cost per Bucata'!$Y:$Y,ROW()+4)=1,INDEX('Calculator Cost per Bucata'!$P:$P,ROW()+4),"")</f>
        <v/>
      </c>
      <c r="E355" s="33" t="str">
        <f>IF(INDEX('Calculator Cost per Bucata'!$Y:$Y,ROW()+4)=1,INDEX('Calculator Cost per Bucata'!$S:$S,ROW()+4),"")</f>
        <v/>
      </c>
      <c r="F355" s="33" t="str">
        <f>IF($A355="","",IF(N(INDEX('PI Furnizor'!$L:$L,ROW()+1))&gt;0,INDEX('PI Furnizor'!$L:$L,ROW()+1),""))</f>
        <v/>
      </c>
      <c r="G355" s="33" t="str">
        <f>IF($A355="","",IF(Comenzi!$D$6="Da",$D355,$E355))</f>
        <v/>
      </c>
      <c r="H355" s="33" t="str">
        <f>IF(OR($A355="",$F355=""),"",IF(Comenzi!$D$6="Da",IFERROR($F355/(1+INDEX('Calculator Cost per Bucata'!$AC:$AC,ROW()+4)),""),$F355))</f>
        <v/>
      </c>
      <c r="I355" s="46" t="str">
        <f t="shared" si="15"/>
        <v/>
      </c>
      <c r="J355" s="47" t="str">
        <f t="shared" si="16"/>
        <v/>
      </c>
      <c r="K355" s="48" t="str">
        <f t="shared" si="17"/>
        <v/>
      </c>
    </row>
    <row r="356" spans="1:11" x14ac:dyDescent="0.3">
      <c r="A356" s="28" t="str">
        <f>IF(INDEX('Calculator Cost per Bucata'!$A:$A,ROW()+4)="","",INDEX('Calculator Cost per Bucata'!$A:$A,ROW()+4))</f>
        <v/>
      </c>
      <c r="B356" s="28" t="str">
        <f>IF($A356="","",INDEX('Calculator Cost per Bucata'!$C:$C,ROW()+4))</f>
        <v/>
      </c>
      <c r="C356" s="28" t="str">
        <f>IF($A356="","",INDEX('Calculator Cost per Bucata'!$D:$D,ROW()+4))</f>
        <v/>
      </c>
      <c r="D356" s="33" t="str">
        <f>IF(INDEX('Calculator Cost per Bucata'!$Y:$Y,ROW()+4)=1,INDEX('Calculator Cost per Bucata'!$P:$P,ROW()+4),"")</f>
        <v/>
      </c>
      <c r="E356" s="33" t="str">
        <f>IF(INDEX('Calculator Cost per Bucata'!$Y:$Y,ROW()+4)=1,INDEX('Calculator Cost per Bucata'!$S:$S,ROW()+4),"")</f>
        <v/>
      </c>
      <c r="F356" s="33" t="str">
        <f>IF($A356="","",IF(N(INDEX('PI Furnizor'!$L:$L,ROW()+1))&gt;0,INDEX('PI Furnizor'!$L:$L,ROW()+1),""))</f>
        <v/>
      </c>
      <c r="G356" s="33" t="str">
        <f>IF($A356="","",IF(Comenzi!$D$6="Da",$D356,$E356))</f>
        <v/>
      </c>
      <c r="H356" s="33" t="str">
        <f>IF(OR($A356="",$F356=""),"",IF(Comenzi!$D$6="Da",IFERROR($F356/(1+INDEX('Calculator Cost per Bucata'!$AC:$AC,ROW()+4)),""),$F356))</f>
        <v/>
      </c>
      <c r="I356" s="46" t="str">
        <f t="shared" si="15"/>
        <v/>
      </c>
      <c r="J356" s="47" t="str">
        <f t="shared" si="16"/>
        <v/>
      </c>
      <c r="K356" s="48" t="str">
        <f t="shared" si="17"/>
        <v/>
      </c>
    </row>
    <row r="357" spans="1:11" x14ac:dyDescent="0.3">
      <c r="A357" s="28" t="str">
        <f>IF(INDEX('Calculator Cost per Bucata'!$A:$A,ROW()+4)="","",INDEX('Calculator Cost per Bucata'!$A:$A,ROW()+4))</f>
        <v/>
      </c>
      <c r="B357" s="28" t="str">
        <f>IF($A357="","",INDEX('Calculator Cost per Bucata'!$C:$C,ROW()+4))</f>
        <v/>
      </c>
      <c r="C357" s="28" t="str">
        <f>IF($A357="","",INDEX('Calculator Cost per Bucata'!$D:$D,ROW()+4))</f>
        <v/>
      </c>
      <c r="D357" s="33" t="str">
        <f>IF(INDEX('Calculator Cost per Bucata'!$Y:$Y,ROW()+4)=1,INDEX('Calculator Cost per Bucata'!$P:$P,ROW()+4),"")</f>
        <v/>
      </c>
      <c r="E357" s="33" t="str">
        <f>IF(INDEX('Calculator Cost per Bucata'!$Y:$Y,ROW()+4)=1,INDEX('Calculator Cost per Bucata'!$S:$S,ROW()+4),"")</f>
        <v/>
      </c>
      <c r="F357" s="33" t="str">
        <f>IF($A357="","",IF(N(INDEX('PI Furnizor'!$L:$L,ROW()+1))&gt;0,INDEX('PI Furnizor'!$L:$L,ROW()+1),""))</f>
        <v/>
      </c>
      <c r="G357" s="33" t="str">
        <f>IF($A357="","",IF(Comenzi!$D$6="Da",$D357,$E357))</f>
        <v/>
      </c>
      <c r="H357" s="33" t="str">
        <f>IF(OR($A357="",$F357=""),"",IF(Comenzi!$D$6="Da",IFERROR($F357/(1+INDEX('Calculator Cost per Bucata'!$AC:$AC,ROW()+4)),""),$F357))</f>
        <v/>
      </c>
      <c r="I357" s="46" t="str">
        <f t="shared" si="15"/>
        <v/>
      </c>
      <c r="J357" s="47" t="str">
        <f t="shared" si="16"/>
        <v/>
      </c>
      <c r="K357" s="48" t="str">
        <f t="shared" si="17"/>
        <v/>
      </c>
    </row>
    <row r="358" spans="1:11" x14ac:dyDescent="0.3">
      <c r="A358" s="28" t="str">
        <f>IF(INDEX('Calculator Cost per Bucata'!$A:$A,ROW()+4)="","",INDEX('Calculator Cost per Bucata'!$A:$A,ROW()+4))</f>
        <v/>
      </c>
      <c r="B358" s="28" t="str">
        <f>IF($A358="","",INDEX('Calculator Cost per Bucata'!$C:$C,ROW()+4))</f>
        <v/>
      </c>
      <c r="C358" s="28" t="str">
        <f>IF($A358="","",INDEX('Calculator Cost per Bucata'!$D:$D,ROW()+4))</f>
        <v/>
      </c>
      <c r="D358" s="33" t="str">
        <f>IF(INDEX('Calculator Cost per Bucata'!$Y:$Y,ROW()+4)=1,INDEX('Calculator Cost per Bucata'!$P:$P,ROW()+4),"")</f>
        <v/>
      </c>
      <c r="E358" s="33" t="str">
        <f>IF(INDEX('Calculator Cost per Bucata'!$Y:$Y,ROW()+4)=1,INDEX('Calculator Cost per Bucata'!$S:$S,ROW()+4),"")</f>
        <v/>
      </c>
      <c r="F358" s="33" t="str">
        <f>IF($A358="","",IF(N(INDEX('PI Furnizor'!$L:$L,ROW()+1))&gt;0,INDEX('PI Furnizor'!$L:$L,ROW()+1),""))</f>
        <v/>
      </c>
      <c r="G358" s="33" t="str">
        <f>IF($A358="","",IF(Comenzi!$D$6="Da",$D358,$E358))</f>
        <v/>
      </c>
      <c r="H358" s="33" t="str">
        <f>IF(OR($A358="",$F358=""),"",IF(Comenzi!$D$6="Da",IFERROR($F358/(1+INDEX('Calculator Cost per Bucata'!$AC:$AC,ROW()+4)),""),$F358))</f>
        <v/>
      </c>
      <c r="I358" s="46" t="str">
        <f t="shared" si="15"/>
        <v/>
      </c>
      <c r="J358" s="47" t="str">
        <f t="shared" si="16"/>
        <v/>
      </c>
      <c r="K358" s="48" t="str">
        <f t="shared" si="17"/>
        <v/>
      </c>
    </row>
    <row r="359" spans="1:11" x14ac:dyDescent="0.3">
      <c r="A359" s="28" t="str">
        <f>IF(INDEX('Calculator Cost per Bucata'!$A:$A,ROW()+4)="","",INDEX('Calculator Cost per Bucata'!$A:$A,ROW()+4))</f>
        <v/>
      </c>
      <c r="B359" s="28" t="str">
        <f>IF($A359="","",INDEX('Calculator Cost per Bucata'!$C:$C,ROW()+4))</f>
        <v/>
      </c>
      <c r="C359" s="28" t="str">
        <f>IF($A359="","",INDEX('Calculator Cost per Bucata'!$D:$D,ROW()+4))</f>
        <v/>
      </c>
      <c r="D359" s="33" t="str">
        <f>IF(INDEX('Calculator Cost per Bucata'!$Y:$Y,ROW()+4)=1,INDEX('Calculator Cost per Bucata'!$P:$P,ROW()+4),"")</f>
        <v/>
      </c>
      <c r="E359" s="33" t="str">
        <f>IF(INDEX('Calculator Cost per Bucata'!$Y:$Y,ROW()+4)=1,INDEX('Calculator Cost per Bucata'!$S:$S,ROW()+4),"")</f>
        <v/>
      </c>
      <c r="F359" s="33" t="str">
        <f>IF($A359="","",IF(N(INDEX('PI Furnizor'!$L:$L,ROW()+1))&gt;0,INDEX('PI Furnizor'!$L:$L,ROW()+1),""))</f>
        <v/>
      </c>
      <c r="G359" s="33" t="str">
        <f>IF($A359="","",IF(Comenzi!$D$6="Da",$D359,$E359))</f>
        <v/>
      </c>
      <c r="H359" s="33" t="str">
        <f>IF(OR($A359="",$F359=""),"",IF(Comenzi!$D$6="Da",IFERROR($F359/(1+INDEX('Calculator Cost per Bucata'!$AC:$AC,ROW()+4)),""),$F359))</f>
        <v/>
      </c>
      <c r="I359" s="46" t="str">
        <f t="shared" si="15"/>
        <v/>
      </c>
      <c r="J359" s="47" t="str">
        <f t="shared" si="16"/>
        <v/>
      </c>
      <c r="K359" s="48" t="str">
        <f t="shared" si="17"/>
        <v/>
      </c>
    </row>
    <row r="360" spans="1:11" x14ac:dyDescent="0.3">
      <c r="A360" s="28" t="str">
        <f>IF(INDEX('Calculator Cost per Bucata'!$A:$A,ROW()+4)="","",INDEX('Calculator Cost per Bucata'!$A:$A,ROW()+4))</f>
        <v/>
      </c>
      <c r="B360" s="28" t="str">
        <f>IF($A360="","",INDEX('Calculator Cost per Bucata'!$C:$C,ROW()+4))</f>
        <v/>
      </c>
      <c r="C360" s="28" t="str">
        <f>IF($A360="","",INDEX('Calculator Cost per Bucata'!$D:$D,ROW()+4))</f>
        <v/>
      </c>
      <c r="D360" s="33" t="str">
        <f>IF(INDEX('Calculator Cost per Bucata'!$Y:$Y,ROW()+4)=1,INDEX('Calculator Cost per Bucata'!$P:$P,ROW()+4),"")</f>
        <v/>
      </c>
      <c r="E360" s="33" t="str">
        <f>IF(INDEX('Calculator Cost per Bucata'!$Y:$Y,ROW()+4)=1,INDEX('Calculator Cost per Bucata'!$S:$S,ROW()+4),"")</f>
        <v/>
      </c>
      <c r="F360" s="33" t="str">
        <f>IF($A360="","",IF(N(INDEX('PI Furnizor'!$L:$L,ROW()+1))&gt;0,INDEX('PI Furnizor'!$L:$L,ROW()+1),""))</f>
        <v/>
      </c>
      <c r="G360" s="33" t="str">
        <f>IF($A360="","",IF(Comenzi!$D$6="Da",$D360,$E360))</f>
        <v/>
      </c>
      <c r="H360" s="33" t="str">
        <f>IF(OR($A360="",$F360=""),"",IF(Comenzi!$D$6="Da",IFERROR($F360/(1+INDEX('Calculator Cost per Bucata'!$AC:$AC,ROW()+4)),""),$F360))</f>
        <v/>
      </c>
      <c r="I360" s="46" t="str">
        <f t="shared" si="15"/>
        <v/>
      </c>
      <c r="J360" s="47" t="str">
        <f t="shared" si="16"/>
        <v/>
      </c>
      <c r="K360" s="48" t="str">
        <f t="shared" si="17"/>
        <v/>
      </c>
    </row>
    <row r="361" spans="1:11" x14ac:dyDescent="0.3">
      <c r="A361" s="28" t="str">
        <f>IF(INDEX('Calculator Cost per Bucata'!$A:$A,ROW()+4)="","",INDEX('Calculator Cost per Bucata'!$A:$A,ROW()+4))</f>
        <v/>
      </c>
      <c r="B361" s="28" t="str">
        <f>IF($A361="","",INDEX('Calculator Cost per Bucata'!$C:$C,ROW()+4))</f>
        <v/>
      </c>
      <c r="C361" s="28" t="str">
        <f>IF($A361="","",INDEX('Calculator Cost per Bucata'!$D:$D,ROW()+4))</f>
        <v/>
      </c>
      <c r="D361" s="33" t="str">
        <f>IF(INDEX('Calculator Cost per Bucata'!$Y:$Y,ROW()+4)=1,INDEX('Calculator Cost per Bucata'!$P:$P,ROW()+4),"")</f>
        <v/>
      </c>
      <c r="E361" s="33" t="str">
        <f>IF(INDEX('Calculator Cost per Bucata'!$Y:$Y,ROW()+4)=1,INDEX('Calculator Cost per Bucata'!$S:$S,ROW()+4),"")</f>
        <v/>
      </c>
      <c r="F361" s="33" t="str">
        <f>IF($A361="","",IF(N(INDEX('PI Furnizor'!$L:$L,ROW()+1))&gt;0,INDEX('PI Furnizor'!$L:$L,ROW()+1),""))</f>
        <v/>
      </c>
      <c r="G361" s="33" t="str">
        <f>IF($A361="","",IF(Comenzi!$D$6="Da",$D361,$E361))</f>
        <v/>
      </c>
      <c r="H361" s="33" t="str">
        <f>IF(OR($A361="",$F361=""),"",IF(Comenzi!$D$6="Da",IFERROR($F361/(1+INDEX('Calculator Cost per Bucata'!$AC:$AC,ROW()+4)),""),$F361))</f>
        <v/>
      </c>
      <c r="I361" s="46" t="str">
        <f t="shared" si="15"/>
        <v/>
      </c>
      <c r="J361" s="47" t="str">
        <f t="shared" si="16"/>
        <v/>
      </c>
      <c r="K361" s="48" t="str">
        <f t="shared" si="17"/>
        <v/>
      </c>
    </row>
    <row r="362" spans="1:11" x14ac:dyDescent="0.3">
      <c r="A362" s="28" t="str">
        <f>IF(INDEX('Calculator Cost per Bucata'!$A:$A,ROW()+4)="","",INDEX('Calculator Cost per Bucata'!$A:$A,ROW()+4))</f>
        <v/>
      </c>
      <c r="B362" s="28" t="str">
        <f>IF($A362="","",INDEX('Calculator Cost per Bucata'!$C:$C,ROW()+4))</f>
        <v/>
      </c>
      <c r="C362" s="28" t="str">
        <f>IF($A362="","",INDEX('Calculator Cost per Bucata'!$D:$D,ROW()+4))</f>
        <v/>
      </c>
      <c r="D362" s="33" t="str">
        <f>IF(INDEX('Calculator Cost per Bucata'!$Y:$Y,ROW()+4)=1,INDEX('Calculator Cost per Bucata'!$P:$P,ROW()+4),"")</f>
        <v/>
      </c>
      <c r="E362" s="33" t="str">
        <f>IF(INDEX('Calculator Cost per Bucata'!$Y:$Y,ROW()+4)=1,INDEX('Calculator Cost per Bucata'!$S:$S,ROW()+4),"")</f>
        <v/>
      </c>
      <c r="F362" s="33" t="str">
        <f>IF($A362="","",IF(N(INDEX('PI Furnizor'!$L:$L,ROW()+1))&gt;0,INDEX('PI Furnizor'!$L:$L,ROW()+1),""))</f>
        <v/>
      </c>
      <c r="G362" s="33" t="str">
        <f>IF($A362="","",IF(Comenzi!$D$6="Da",$D362,$E362))</f>
        <v/>
      </c>
      <c r="H362" s="33" t="str">
        <f>IF(OR($A362="",$F362=""),"",IF(Comenzi!$D$6="Da",IFERROR($F362/(1+INDEX('Calculator Cost per Bucata'!$AC:$AC,ROW()+4)),""),$F362))</f>
        <v/>
      </c>
      <c r="I362" s="46" t="str">
        <f t="shared" si="15"/>
        <v/>
      </c>
      <c r="J362" s="47" t="str">
        <f t="shared" si="16"/>
        <v/>
      </c>
      <c r="K362" s="48" t="str">
        <f t="shared" si="17"/>
        <v/>
      </c>
    </row>
    <row r="363" spans="1:11" x14ac:dyDescent="0.3">
      <c r="A363" s="28" t="str">
        <f>IF(INDEX('Calculator Cost per Bucata'!$A:$A,ROW()+4)="","",INDEX('Calculator Cost per Bucata'!$A:$A,ROW()+4))</f>
        <v/>
      </c>
      <c r="B363" s="28" t="str">
        <f>IF($A363="","",INDEX('Calculator Cost per Bucata'!$C:$C,ROW()+4))</f>
        <v/>
      </c>
      <c r="C363" s="28" t="str">
        <f>IF($A363="","",INDEX('Calculator Cost per Bucata'!$D:$D,ROW()+4))</f>
        <v/>
      </c>
      <c r="D363" s="33" t="str">
        <f>IF(INDEX('Calculator Cost per Bucata'!$Y:$Y,ROW()+4)=1,INDEX('Calculator Cost per Bucata'!$P:$P,ROW()+4),"")</f>
        <v/>
      </c>
      <c r="E363" s="33" t="str">
        <f>IF(INDEX('Calculator Cost per Bucata'!$Y:$Y,ROW()+4)=1,INDEX('Calculator Cost per Bucata'!$S:$S,ROW()+4),"")</f>
        <v/>
      </c>
      <c r="F363" s="33" t="str">
        <f>IF($A363="","",IF(N(INDEX('PI Furnizor'!$L:$L,ROW()+1))&gt;0,INDEX('PI Furnizor'!$L:$L,ROW()+1),""))</f>
        <v/>
      </c>
      <c r="G363" s="33" t="str">
        <f>IF($A363="","",IF(Comenzi!$D$6="Da",$D363,$E363))</f>
        <v/>
      </c>
      <c r="H363" s="33" t="str">
        <f>IF(OR($A363="",$F363=""),"",IF(Comenzi!$D$6="Da",IFERROR($F363/(1+INDEX('Calculator Cost per Bucata'!$AC:$AC,ROW()+4)),""),$F363))</f>
        <v/>
      </c>
      <c r="I363" s="46" t="str">
        <f t="shared" si="15"/>
        <v/>
      </c>
      <c r="J363" s="47" t="str">
        <f t="shared" si="16"/>
        <v/>
      </c>
      <c r="K363" s="48" t="str">
        <f t="shared" si="17"/>
        <v/>
      </c>
    </row>
    <row r="364" spans="1:11" x14ac:dyDescent="0.3">
      <c r="A364" s="28" t="str">
        <f>IF(INDEX('Calculator Cost per Bucata'!$A:$A,ROW()+4)="","",INDEX('Calculator Cost per Bucata'!$A:$A,ROW()+4))</f>
        <v/>
      </c>
      <c r="B364" s="28" t="str">
        <f>IF($A364="","",INDEX('Calculator Cost per Bucata'!$C:$C,ROW()+4))</f>
        <v/>
      </c>
      <c r="C364" s="28" t="str">
        <f>IF($A364="","",INDEX('Calculator Cost per Bucata'!$D:$D,ROW()+4))</f>
        <v/>
      </c>
      <c r="D364" s="33" t="str">
        <f>IF(INDEX('Calculator Cost per Bucata'!$Y:$Y,ROW()+4)=1,INDEX('Calculator Cost per Bucata'!$P:$P,ROW()+4),"")</f>
        <v/>
      </c>
      <c r="E364" s="33" t="str">
        <f>IF(INDEX('Calculator Cost per Bucata'!$Y:$Y,ROW()+4)=1,INDEX('Calculator Cost per Bucata'!$S:$S,ROW()+4),"")</f>
        <v/>
      </c>
      <c r="F364" s="33" t="str">
        <f>IF($A364="","",IF(N(INDEX('PI Furnizor'!$L:$L,ROW()+1))&gt;0,INDEX('PI Furnizor'!$L:$L,ROW()+1),""))</f>
        <v/>
      </c>
      <c r="G364" s="33" t="str">
        <f>IF($A364="","",IF(Comenzi!$D$6="Da",$D364,$E364))</f>
        <v/>
      </c>
      <c r="H364" s="33" t="str">
        <f>IF(OR($A364="",$F364=""),"",IF(Comenzi!$D$6="Da",IFERROR($F364/(1+INDEX('Calculator Cost per Bucata'!$AC:$AC,ROW()+4)),""),$F364))</f>
        <v/>
      </c>
      <c r="I364" s="46" t="str">
        <f t="shared" si="15"/>
        <v/>
      </c>
      <c r="J364" s="47" t="str">
        <f t="shared" si="16"/>
        <v/>
      </c>
      <c r="K364" s="48" t="str">
        <f t="shared" si="17"/>
        <v/>
      </c>
    </row>
    <row r="365" spans="1:11" x14ac:dyDescent="0.3">
      <c r="A365" s="28" t="str">
        <f>IF(INDEX('Calculator Cost per Bucata'!$A:$A,ROW()+4)="","",INDEX('Calculator Cost per Bucata'!$A:$A,ROW()+4))</f>
        <v/>
      </c>
      <c r="B365" s="28" t="str">
        <f>IF($A365="","",INDEX('Calculator Cost per Bucata'!$C:$C,ROW()+4))</f>
        <v/>
      </c>
      <c r="C365" s="28" t="str">
        <f>IF($A365="","",INDEX('Calculator Cost per Bucata'!$D:$D,ROW()+4))</f>
        <v/>
      </c>
      <c r="D365" s="33" t="str">
        <f>IF(INDEX('Calculator Cost per Bucata'!$Y:$Y,ROW()+4)=1,INDEX('Calculator Cost per Bucata'!$P:$P,ROW()+4),"")</f>
        <v/>
      </c>
      <c r="E365" s="33" t="str">
        <f>IF(INDEX('Calculator Cost per Bucata'!$Y:$Y,ROW()+4)=1,INDEX('Calculator Cost per Bucata'!$S:$S,ROW()+4),"")</f>
        <v/>
      </c>
      <c r="F365" s="33" t="str">
        <f>IF($A365="","",IF(N(INDEX('PI Furnizor'!$L:$L,ROW()+1))&gt;0,INDEX('PI Furnizor'!$L:$L,ROW()+1),""))</f>
        <v/>
      </c>
      <c r="G365" s="33" t="str">
        <f>IF($A365="","",IF(Comenzi!$D$6="Da",$D365,$E365))</f>
        <v/>
      </c>
      <c r="H365" s="33" t="str">
        <f>IF(OR($A365="",$F365=""),"",IF(Comenzi!$D$6="Da",IFERROR($F365/(1+INDEX('Calculator Cost per Bucata'!$AC:$AC,ROW()+4)),""),$F365))</f>
        <v/>
      </c>
      <c r="I365" s="46" t="str">
        <f t="shared" si="15"/>
        <v/>
      </c>
      <c r="J365" s="47" t="str">
        <f t="shared" si="16"/>
        <v/>
      </c>
      <c r="K365" s="48" t="str">
        <f t="shared" si="17"/>
        <v/>
      </c>
    </row>
    <row r="366" spans="1:11" x14ac:dyDescent="0.3">
      <c r="A366" s="28" t="str">
        <f>IF(INDEX('Calculator Cost per Bucata'!$A:$A,ROW()+4)="","",INDEX('Calculator Cost per Bucata'!$A:$A,ROW()+4))</f>
        <v/>
      </c>
      <c r="B366" s="28" t="str">
        <f>IF($A366="","",INDEX('Calculator Cost per Bucata'!$C:$C,ROW()+4))</f>
        <v/>
      </c>
      <c r="C366" s="28" t="str">
        <f>IF($A366="","",INDEX('Calculator Cost per Bucata'!$D:$D,ROW()+4))</f>
        <v/>
      </c>
      <c r="D366" s="33" t="str">
        <f>IF(INDEX('Calculator Cost per Bucata'!$Y:$Y,ROW()+4)=1,INDEX('Calculator Cost per Bucata'!$P:$P,ROW()+4),"")</f>
        <v/>
      </c>
      <c r="E366" s="33" t="str">
        <f>IF(INDEX('Calculator Cost per Bucata'!$Y:$Y,ROW()+4)=1,INDEX('Calculator Cost per Bucata'!$S:$S,ROW()+4),"")</f>
        <v/>
      </c>
      <c r="F366" s="33" t="str">
        <f>IF($A366="","",IF(N(INDEX('PI Furnizor'!$L:$L,ROW()+1))&gt;0,INDEX('PI Furnizor'!$L:$L,ROW()+1),""))</f>
        <v/>
      </c>
      <c r="G366" s="33" t="str">
        <f>IF($A366="","",IF(Comenzi!$D$6="Da",$D366,$E366))</f>
        <v/>
      </c>
      <c r="H366" s="33" t="str">
        <f>IF(OR($A366="",$F366=""),"",IF(Comenzi!$D$6="Da",IFERROR($F366/(1+INDEX('Calculator Cost per Bucata'!$AC:$AC,ROW()+4)),""),$F366))</f>
        <v/>
      </c>
      <c r="I366" s="46" t="str">
        <f t="shared" si="15"/>
        <v/>
      </c>
      <c r="J366" s="47" t="str">
        <f t="shared" si="16"/>
        <v/>
      </c>
      <c r="K366" s="48" t="str">
        <f t="shared" si="17"/>
        <v/>
      </c>
    </row>
    <row r="367" spans="1:11" x14ac:dyDescent="0.3">
      <c r="A367" s="28" t="str">
        <f>IF(INDEX('Calculator Cost per Bucata'!$A:$A,ROW()+4)="","",INDEX('Calculator Cost per Bucata'!$A:$A,ROW()+4))</f>
        <v/>
      </c>
      <c r="B367" s="28" t="str">
        <f>IF($A367="","",INDEX('Calculator Cost per Bucata'!$C:$C,ROW()+4))</f>
        <v/>
      </c>
      <c r="C367" s="28" t="str">
        <f>IF($A367="","",INDEX('Calculator Cost per Bucata'!$D:$D,ROW()+4))</f>
        <v/>
      </c>
      <c r="D367" s="33" t="str">
        <f>IF(INDEX('Calculator Cost per Bucata'!$Y:$Y,ROW()+4)=1,INDEX('Calculator Cost per Bucata'!$P:$P,ROW()+4),"")</f>
        <v/>
      </c>
      <c r="E367" s="33" t="str">
        <f>IF(INDEX('Calculator Cost per Bucata'!$Y:$Y,ROW()+4)=1,INDEX('Calculator Cost per Bucata'!$S:$S,ROW()+4),"")</f>
        <v/>
      </c>
      <c r="F367" s="33" t="str">
        <f>IF($A367="","",IF(N(INDEX('PI Furnizor'!$L:$L,ROW()+1))&gt;0,INDEX('PI Furnizor'!$L:$L,ROW()+1),""))</f>
        <v/>
      </c>
      <c r="G367" s="33" t="str">
        <f>IF($A367="","",IF(Comenzi!$D$6="Da",$D367,$E367))</f>
        <v/>
      </c>
      <c r="H367" s="33" t="str">
        <f>IF(OR($A367="",$F367=""),"",IF(Comenzi!$D$6="Da",IFERROR($F367/(1+INDEX('Calculator Cost per Bucata'!$AC:$AC,ROW()+4)),""),$F367))</f>
        <v/>
      </c>
      <c r="I367" s="46" t="str">
        <f t="shared" si="15"/>
        <v/>
      </c>
      <c r="J367" s="47" t="str">
        <f t="shared" si="16"/>
        <v/>
      </c>
      <c r="K367" s="48" t="str">
        <f t="shared" si="17"/>
        <v/>
      </c>
    </row>
    <row r="368" spans="1:11" x14ac:dyDescent="0.3">
      <c r="A368" s="28" t="str">
        <f>IF(INDEX('Calculator Cost per Bucata'!$A:$A,ROW()+4)="","",INDEX('Calculator Cost per Bucata'!$A:$A,ROW()+4))</f>
        <v/>
      </c>
      <c r="B368" s="28" t="str">
        <f>IF($A368="","",INDEX('Calculator Cost per Bucata'!$C:$C,ROW()+4))</f>
        <v/>
      </c>
      <c r="C368" s="28" t="str">
        <f>IF($A368="","",INDEX('Calculator Cost per Bucata'!$D:$D,ROW()+4))</f>
        <v/>
      </c>
      <c r="D368" s="33" t="str">
        <f>IF(INDEX('Calculator Cost per Bucata'!$Y:$Y,ROW()+4)=1,INDEX('Calculator Cost per Bucata'!$P:$P,ROW()+4),"")</f>
        <v/>
      </c>
      <c r="E368" s="33" t="str">
        <f>IF(INDEX('Calculator Cost per Bucata'!$Y:$Y,ROW()+4)=1,INDEX('Calculator Cost per Bucata'!$S:$S,ROW()+4),"")</f>
        <v/>
      </c>
      <c r="F368" s="33" t="str">
        <f>IF($A368="","",IF(N(INDEX('PI Furnizor'!$L:$L,ROW()+1))&gt;0,INDEX('PI Furnizor'!$L:$L,ROW()+1),""))</f>
        <v/>
      </c>
      <c r="G368" s="33" t="str">
        <f>IF($A368="","",IF(Comenzi!$D$6="Da",$D368,$E368))</f>
        <v/>
      </c>
      <c r="H368" s="33" t="str">
        <f>IF(OR($A368="",$F368=""),"",IF(Comenzi!$D$6="Da",IFERROR($F368/(1+INDEX('Calculator Cost per Bucata'!$AC:$AC,ROW()+4)),""),$F368))</f>
        <v/>
      </c>
      <c r="I368" s="46" t="str">
        <f t="shared" si="15"/>
        <v/>
      </c>
      <c r="J368" s="47" t="str">
        <f t="shared" si="16"/>
        <v/>
      </c>
      <c r="K368" s="48" t="str">
        <f t="shared" si="17"/>
        <v/>
      </c>
    </row>
    <row r="369" spans="1:11" x14ac:dyDescent="0.3">
      <c r="A369" s="28" t="str">
        <f>IF(INDEX('Calculator Cost per Bucata'!$A:$A,ROW()+4)="","",INDEX('Calculator Cost per Bucata'!$A:$A,ROW()+4))</f>
        <v/>
      </c>
      <c r="B369" s="28" t="str">
        <f>IF($A369="","",INDEX('Calculator Cost per Bucata'!$C:$C,ROW()+4))</f>
        <v/>
      </c>
      <c r="C369" s="28" t="str">
        <f>IF($A369="","",INDEX('Calculator Cost per Bucata'!$D:$D,ROW()+4))</f>
        <v/>
      </c>
      <c r="D369" s="33" t="str">
        <f>IF(INDEX('Calculator Cost per Bucata'!$Y:$Y,ROW()+4)=1,INDEX('Calculator Cost per Bucata'!$P:$P,ROW()+4),"")</f>
        <v/>
      </c>
      <c r="E369" s="33" t="str">
        <f>IF(INDEX('Calculator Cost per Bucata'!$Y:$Y,ROW()+4)=1,INDEX('Calculator Cost per Bucata'!$S:$S,ROW()+4),"")</f>
        <v/>
      </c>
      <c r="F369" s="33" t="str">
        <f>IF($A369="","",IF(N(INDEX('PI Furnizor'!$L:$L,ROW()+1))&gt;0,INDEX('PI Furnizor'!$L:$L,ROW()+1),""))</f>
        <v/>
      </c>
      <c r="G369" s="33" t="str">
        <f>IF($A369="","",IF(Comenzi!$D$6="Da",$D369,$E369))</f>
        <v/>
      </c>
      <c r="H369" s="33" t="str">
        <f>IF(OR($A369="",$F369=""),"",IF(Comenzi!$D$6="Da",IFERROR($F369/(1+INDEX('Calculator Cost per Bucata'!$AC:$AC,ROW()+4)),""),$F369))</f>
        <v/>
      </c>
      <c r="I369" s="46" t="str">
        <f t="shared" si="15"/>
        <v/>
      </c>
      <c r="J369" s="47" t="str">
        <f t="shared" si="16"/>
        <v/>
      </c>
      <c r="K369" s="48" t="str">
        <f t="shared" si="17"/>
        <v/>
      </c>
    </row>
    <row r="370" spans="1:11" x14ac:dyDescent="0.3">
      <c r="A370" s="28" t="str">
        <f>IF(INDEX('Calculator Cost per Bucata'!$A:$A,ROW()+4)="","",INDEX('Calculator Cost per Bucata'!$A:$A,ROW()+4))</f>
        <v/>
      </c>
      <c r="B370" s="28" t="str">
        <f>IF($A370="","",INDEX('Calculator Cost per Bucata'!$C:$C,ROW()+4))</f>
        <v/>
      </c>
      <c r="C370" s="28" t="str">
        <f>IF($A370="","",INDEX('Calculator Cost per Bucata'!$D:$D,ROW()+4))</f>
        <v/>
      </c>
      <c r="D370" s="33" t="str">
        <f>IF(INDEX('Calculator Cost per Bucata'!$Y:$Y,ROW()+4)=1,INDEX('Calculator Cost per Bucata'!$P:$P,ROW()+4),"")</f>
        <v/>
      </c>
      <c r="E370" s="33" t="str">
        <f>IF(INDEX('Calculator Cost per Bucata'!$Y:$Y,ROW()+4)=1,INDEX('Calculator Cost per Bucata'!$S:$S,ROW()+4),"")</f>
        <v/>
      </c>
      <c r="F370" s="33" t="str">
        <f>IF($A370="","",IF(N(INDEX('PI Furnizor'!$L:$L,ROW()+1))&gt;0,INDEX('PI Furnizor'!$L:$L,ROW()+1),""))</f>
        <v/>
      </c>
      <c r="G370" s="33" t="str">
        <f>IF($A370="","",IF(Comenzi!$D$6="Da",$D370,$E370))</f>
        <v/>
      </c>
      <c r="H370" s="33" t="str">
        <f>IF(OR($A370="",$F370=""),"",IF(Comenzi!$D$6="Da",IFERROR($F370/(1+INDEX('Calculator Cost per Bucata'!$AC:$AC,ROW()+4)),""),$F370))</f>
        <v/>
      </c>
      <c r="I370" s="46" t="str">
        <f t="shared" si="15"/>
        <v/>
      </c>
      <c r="J370" s="47" t="str">
        <f t="shared" si="16"/>
        <v/>
      </c>
      <c r="K370" s="48" t="str">
        <f t="shared" si="17"/>
        <v/>
      </c>
    </row>
    <row r="371" spans="1:11" x14ac:dyDescent="0.3">
      <c r="A371" s="28" t="str">
        <f>IF(INDEX('Calculator Cost per Bucata'!$A:$A,ROW()+4)="","",INDEX('Calculator Cost per Bucata'!$A:$A,ROW()+4))</f>
        <v/>
      </c>
      <c r="B371" s="28" t="str">
        <f>IF($A371="","",INDEX('Calculator Cost per Bucata'!$C:$C,ROW()+4))</f>
        <v/>
      </c>
      <c r="C371" s="28" t="str">
        <f>IF($A371="","",INDEX('Calculator Cost per Bucata'!$D:$D,ROW()+4))</f>
        <v/>
      </c>
      <c r="D371" s="33" t="str">
        <f>IF(INDEX('Calculator Cost per Bucata'!$Y:$Y,ROW()+4)=1,INDEX('Calculator Cost per Bucata'!$P:$P,ROW()+4),"")</f>
        <v/>
      </c>
      <c r="E371" s="33" t="str">
        <f>IF(INDEX('Calculator Cost per Bucata'!$Y:$Y,ROW()+4)=1,INDEX('Calculator Cost per Bucata'!$S:$S,ROW()+4),"")</f>
        <v/>
      </c>
      <c r="F371" s="33" t="str">
        <f>IF($A371="","",IF(N(INDEX('PI Furnizor'!$L:$L,ROW()+1))&gt;0,INDEX('PI Furnizor'!$L:$L,ROW()+1),""))</f>
        <v/>
      </c>
      <c r="G371" s="33" t="str">
        <f>IF($A371="","",IF(Comenzi!$D$6="Da",$D371,$E371))</f>
        <v/>
      </c>
      <c r="H371" s="33" t="str">
        <f>IF(OR($A371="",$F371=""),"",IF(Comenzi!$D$6="Da",IFERROR($F371/(1+INDEX('Calculator Cost per Bucata'!$AC:$AC,ROW()+4)),""),$F371))</f>
        <v/>
      </c>
      <c r="I371" s="46" t="str">
        <f t="shared" si="15"/>
        <v/>
      </c>
      <c r="J371" s="47" t="str">
        <f t="shared" si="16"/>
        <v/>
      </c>
      <c r="K371" s="48" t="str">
        <f t="shared" si="17"/>
        <v/>
      </c>
    </row>
    <row r="372" spans="1:11" x14ac:dyDescent="0.3">
      <c r="A372" s="28" t="str">
        <f>IF(INDEX('Calculator Cost per Bucata'!$A:$A,ROW()+4)="","",INDEX('Calculator Cost per Bucata'!$A:$A,ROW()+4))</f>
        <v/>
      </c>
      <c r="B372" s="28" t="str">
        <f>IF($A372="","",INDEX('Calculator Cost per Bucata'!$C:$C,ROW()+4))</f>
        <v/>
      </c>
      <c r="C372" s="28" t="str">
        <f>IF($A372="","",INDEX('Calculator Cost per Bucata'!$D:$D,ROW()+4))</f>
        <v/>
      </c>
      <c r="D372" s="33" t="str">
        <f>IF(INDEX('Calculator Cost per Bucata'!$Y:$Y,ROW()+4)=1,INDEX('Calculator Cost per Bucata'!$P:$P,ROW()+4),"")</f>
        <v/>
      </c>
      <c r="E372" s="33" t="str">
        <f>IF(INDEX('Calculator Cost per Bucata'!$Y:$Y,ROW()+4)=1,INDEX('Calculator Cost per Bucata'!$S:$S,ROW()+4),"")</f>
        <v/>
      </c>
      <c r="F372" s="33" t="str">
        <f>IF($A372="","",IF(N(INDEX('PI Furnizor'!$L:$L,ROW()+1))&gt;0,INDEX('PI Furnizor'!$L:$L,ROW()+1),""))</f>
        <v/>
      </c>
      <c r="G372" s="33" t="str">
        <f>IF($A372="","",IF(Comenzi!$D$6="Da",$D372,$E372))</f>
        <v/>
      </c>
      <c r="H372" s="33" t="str">
        <f>IF(OR($A372="",$F372=""),"",IF(Comenzi!$D$6="Da",IFERROR($F372/(1+INDEX('Calculator Cost per Bucata'!$AC:$AC,ROW()+4)),""),$F372))</f>
        <v/>
      </c>
      <c r="I372" s="46" t="str">
        <f t="shared" si="15"/>
        <v/>
      </c>
      <c r="J372" s="47" t="str">
        <f t="shared" si="16"/>
        <v/>
      </c>
      <c r="K372" s="48" t="str">
        <f t="shared" si="17"/>
        <v/>
      </c>
    </row>
    <row r="373" spans="1:11" x14ac:dyDescent="0.3">
      <c r="A373" s="28" t="str">
        <f>IF(INDEX('Calculator Cost per Bucata'!$A:$A,ROW()+4)="","",INDEX('Calculator Cost per Bucata'!$A:$A,ROW()+4))</f>
        <v/>
      </c>
      <c r="B373" s="28" t="str">
        <f>IF($A373="","",INDEX('Calculator Cost per Bucata'!$C:$C,ROW()+4))</f>
        <v/>
      </c>
      <c r="C373" s="28" t="str">
        <f>IF($A373="","",INDEX('Calculator Cost per Bucata'!$D:$D,ROW()+4))</f>
        <v/>
      </c>
      <c r="D373" s="33" t="str">
        <f>IF(INDEX('Calculator Cost per Bucata'!$Y:$Y,ROW()+4)=1,INDEX('Calculator Cost per Bucata'!$P:$P,ROW()+4),"")</f>
        <v/>
      </c>
      <c r="E373" s="33" t="str">
        <f>IF(INDEX('Calculator Cost per Bucata'!$Y:$Y,ROW()+4)=1,INDEX('Calculator Cost per Bucata'!$S:$S,ROW()+4),"")</f>
        <v/>
      </c>
      <c r="F373" s="33" t="str">
        <f>IF($A373="","",IF(N(INDEX('PI Furnizor'!$L:$L,ROW()+1))&gt;0,INDEX('PI Furnizor'!$L:$L,ROW()+1),""))</f>
        <v/>
      </c>
      <c r="G373" s="33" t="str">
        <f>IF($A373="","",IF(Comenzi!$D$6="Da",$D373,$E373))</f>
        <v/>
      </c>
      <c r="H373" s="33" t="str">
        <f>IF(OR($A373="",$F373=""),"",IF(Comenzi!$D$6="Da",IFERROR($F373/(1+INDEX('Calculator Cost per Bucata'!$AC:$AC,ROW()+4)),""),$F373))</f>
        <v/>
      </c>
      <c r="I373" s="46" t="str">
        <f t="shared" si="15"/>
        <v/>
      </c>
      <c r="J373" s="47" t="str">
        <f t="shared" si="16"/>
        <v/>
      </c>
      <c r="K373" s="48" t="str">
        <f t="shared" si="17"/>
        <v/>
      </c>
    </row>
    <row r="374" spans="1:11" x14ac:dyDescent="0.3">
      <c r="A374" s="28" t="str">
        <f>IF(INDEX('Calculator Cost per Bucata'!$A:$A,ROW()+4)="","",INDEX('Calculator Cost per Bucata'!$A:$A,ROW()+4))</f>
        <v/>
      </c>
      <c r="B374" s="28" t="str">
        <f>IF($A374="","",INDEX('Calculator Cost per Bucata'!$C:$C,ROW()+4))</f>
        <v/>
      </c>
      <c r="C374" s="28" t="str">
        <f>IF($A374="","",INDEX('Calculator Cost per Bucata'!$D:$D,ROW()+4))</f>
        <v/>
      </c>
      <c r="D374" s="33" t="str">
        <f>IF(INDEX('Calculator Cost per Bucata'!$Y:$Y,ROW()+4)=1,INDEX('Calculator Cost per Bucata'!$P:$P,ROW()+4),"")</f>
        <v/>
      </c>
      <c r="E374" s="33" t="str">
        <f>IF(INDEX('Calculator Cost per Bucata'!$Y:$Y,ROW()+4)=1,INDEX('Calculator Cost per Bucata'!$S:$S,ROW()+4),"")</f>
        <v/>
      </c>
      <c r="F374" s="33" t="str">
        <f>IF($A374="","",IF(N(INDEX('PI Furnizor'!$L:$L,ROW()+1))&gt;0,INDEX('PI Furnizor'!$L:$L,ROW()+1),""))</f>
        <v/>
      </c>
      <c r="G374" s="33" t="str">
        <f>IF($A374="","",IF(Comenzi!$D$6="Da",$D374,$E374))</f>
        <v/>
      </c>
      <c r="H374" s="33" t="str">
        <f>IF(OR($A374="",$F374=""),"",IF(Comenzi!$D$6="Da",IFERROR($F374/(1+INDEX('Calculator Cost per Bucata'!$AC:$AC,ROW()+4)),""),$F374))</f>
        <v/>
      </c>
      <c r="I374" s="46" t="str">
        <f t="shared" si="15"/>
        <v/>
      </c>
      <c r="J374" s="47" t="str">
        <f t="shared" si="16"/>
        <v/>
      </c>
      <c r="K374" s="48" t="str">
        <f t="shared" si="17"/>
        <v/>
      </c>
    </row>
    <row r="375" spans="1:11" x14ac:dyDescent="0.3">
      <c r="A375" s="28" t="str">
        <f>IF(INDEX('Calculator Cost per Bucata'!$A:$A,ROW()+4)="","",INDEX('Calculator Cost per Bucata'!$A:$A,ROW()+4))</f>
        <v/>
      </c>
      <c r="B375" s="28" t="str">
        <f>IF($A375="","",INDEX('Calculator Cost per Bucata'!$C:$C,ROW()+4))</f>
        <v/>
      </c>
      <c r="C375" s="28" t="str">
        <f>IF($A375="","",INDEX('Calculator Cost per Bucata'!$D:$D,ROW()+4))</f>
        <v/>
      </c>
      <c r="D375" s="33" t="str">
        <f>IF(INDEX('Calculator Cost per Bucata'!$Y:$Y,ROW()+4)=1,INDEX('Calculator Cost per Bucata'!$P:$P,ROW()+4),"")</f>
        <v/>
      </c>
      <c r="E375" s="33" t="str">
        <f>IF(INDEX('Calculator Cost per Bucata'!$Y:$Y,ROW()+4)=1,INDEX('Calculator Cost per Bucata'!$S:$S,ROW()+4),"")</f>
        <v/>
      </c>
      <c r="F375" s="33" t="str">
        <f>IF($A375="","",IF(N(INDEX('PI Furnizor'!$L:$L,ROW()+1))&gt;0,INDEX('PI Furnizor'!$L:$L,ROW()+1),""))</f>
        <v/>
      </c>
      <c r="G375" s="33" t="str">
        <f>IF($A375="","",IF(Comenzi!$D$6="Da",$D375,$E375))</f>
        <v/>
      </c>
      <c r="H375" s="33" t="str">
        <f>IF(OR($A375="",$F375=""),"",IF(Comenzi!$D$6="Da",IFERROR($F375/(1+INDEX('Calculator Cost per Bucata'!$AC:$AC,ROW()+4)),""),$F375))</f>
        <v/>
      </c>
      <c r="I375" s="46" t="str">
        <f t="shared" si="15"/>
        <v/>
      </c>
      <c r="J375" s="47" t="str">
        <f t="shared" si="16"/>
        <v/>
      </c>
      <c r="K375" s="48" t="str">
        <f t="shared" si="17"/>
        <v/>
      </c>
    </row>
    <row r="376" spans="1:11" x14ac:dyDescent="0.3">
      <c r="A376" s="28" t="str">
        <f>IF(INDEX('Calculator Cost per Bucata'!$A:$A,ROW()+4)="","",INDEX('Calculator Cost per Bucata'!$A:$A,ROW()+4))</f>
        <v/>
      </c>
      <c r="B376" s="28" t="str">
        <f>IF($A376="","",INDEX('Calculator Cost per Bucata'!$C:$C,ROW()+4))</f>
        <v/>
      </c>
      <c r="C376" s="28" t="str">
        <f>IF($A376="","",INDEX('Calculator Cost per Bucata'!$D:$D,ROW()+4))</f>
        <v/>
      </c>
      <c r="D376" s="33" t="str">
        <f>IF(INDEX('Calculator Cost per Bucata'!$Y:$Y,ROW()+4)=1,INDEX('Calculator Cost per Bucata'!$P:$P,ROW()+4),"")</f>
        <v/>
      </c>
      <c r="E376" s="33" t="str">
        <f>IF(INDEX('Calculator Cost per Bucata'!$Y:$Y,ROW()+4)=1,INDEX('Calculator Cost per Bucata'!$S:$S,ROW()+4),"")</f>
        <v/>
      </c>
      <c r="F376" s="33" t="str">
        <f>IF($A376="","",IF(N(INDEX('PI Furnizor'!$L:$L,ROW()+1))&gt;0,INDEX('PI Furnizor'!$L:$L,ROW()+1),""))</f>
        <v/>
      </c>
      <c r="G376" s="33" t="str">
        <f>IF($A376="","",IF(Comenzi!$D$6="Da",$D376,$E376))</f>
        <v/>
      </c>
      <c r="H376" s="33" t="str">
        <f>IF(OR($A376="",$F376=""),"",IF(Comenzi!$D$6="Da",IFERROR($F376/(1+INDEX('Calculator Cost per Bucata'!$AC:$AC,ROW()+4)),""),$F376))</f>
        <v/>
      </c>
      <c r="I376" s="46" t="str">
        <f t="shared" si="15"/>
        <v/>
      </c>
      <c r="J376" s="47" t="str">
        <f t="shared" si="16"/>
        <v/>
      </c>
      <c r="K376" s="48" t="str">
        <f t="shared" si="17"/>
        <v/>
      </c>
    </row>
    <row r="377" spans="1:11" x14ac:dyDescent="0.3">
      <c r="A377" s="28" t="str">
        <f>IF(INDEX('Calculator Cost per Bucata'!$A:$A,ROW()+4)="","",INDEX('Calculator Cost per Bucata'!$A:$A,ROW()+4))</f>
        <v/>
      </c>
      <c r="B377" s="28" t="str">
        <f>IF($A377="","",INDEX('Calculator Cost per Bucata'!$C:$C,ROW()+4))</f>
        <v/>
      </c>
      <c r="C377" s="28" t="str">
        <f>IF($A377="","",INDEX('Calculator Cost per Bucata'!$D:$D,ROW()+4))</f>
        <v/>
      </c>
      <c r="D377" s="33" t="str">
        <f>IF(INDEX('Calculator Cost per Bucata'!$Y:$Y,ROW()+4)=1,INDEX('Calculator Cost per Bucata'!$P:$P,ROW()+4),"")</f>
        <v/>
      </c>
      <c r="E377" s="33" t="str">
        <f>IF(INDEX('Calculator Cost per Bucata'!$Y:$Y,ROW()+4)=1,INDEX('Calculator Cost per Bucata'!$S:$S,ROW()+4),"")</f>
        <v/>
      </c>
      <c r="F377" s="33" t="str">
        <f>IF($A377="","",IF(N(INDEX('PI Furnizor'!$L:$L,ROW()+1))&gt;0,INDEX('PI Furnizor'!$L:$L,ROW()+1),""))</f>
        <v/>
      </c>
      <c r="G377" s="33" t="str">
        <f>IF($A377="","",IF(Comenzi!$D$6="Da",$D377,$E377))</f>
        <v/>
      </c>
      <c r="H377" s="33" t="str">
        <f>IF(OR($A377="",$F377=""),"",IF(Comenzi!$D$6="Da",IFERROR($F377/(1+INDEX('Calculator Cost per Bucata'!$AC:$AC,ROW()+4)),""),$F377))</f>
        <v/>
      </c>
      <c r="I377" s="46" t="str">
        <f t="shared" si="15"/>
        <v/>
      </c>
      <c r="J377" s="47" t="str">
        <f t="shared" si="16"/>
        <v/>
      </c>
      <c r="K377" s="48" t="str">
        <f t="shared" si="17"/>
        <v/>
      </c>
    </row>
    <row r="378" spans="1:11" x14ac:dyDescent="0.3">
      <c r="A378" s="28" t="str">
        <f>IF(INDEX('Calculator Cost per Bucata'!$A:$A,ROW()+4)="","",INDEX('Calculator Cost per Bucata'!$A:$A,ROW()+4))</f>
        <v/>
      </c>
      <c r="B378" s="28" t="str">
        <f>IF($A378="","",INDEX('Calculator Cost per Bucata'!$C:$C,ROW()+4))</f>
        <v/>
      </c>
      <c r="C378" s="28" t="str">
        <f>IF($A378="","",INDEX('Calculator Cost per Bucata'!$D:$D,ROW()+4))</f>
        <v/>
      </c>
      <c r="D378" s="33" t="str">
        <f>IF(INDEX('Calculator Cost per Bucata'!$Y:$Y,ROW()+4)=1,INDEX('Calculator Cost per Bucata'!$P:$P,ROW()+4),"")</f>
        <v/>
      </c>
      <c r="E378" s="33" t="str">
        <f>IF(INDEX('Calculator Cost per Bucata'!$Y:$Y,ROW()+4)=1,INDEX('Calculator Cost per Bucata'!$S:$S,ROW()+4),"")</f>
        <v/>
      </c>
      <c r="F378" s="33" t="str">
        <f>IF($A378="","",IF(N(INDEX('PI Furnizor'!$L:$L,ROW()+1))&gt;0,INDEX('PI Furnizor'!$L:$L,ROW()+1),""))</f>
        <v/>
      </c>
      <c r="G378" s="33" t="str">
        <f>IF($A378="","",IF(Comenzi!$D$6="Da",$D378,$E378))</f>
        <v/>
      </c>
      <c r="H378" s="33" t="str">
        <f>IF(OR($A378="",$F378=""),"",IF(Comenzi!$D$6="Da",IFERROR($F378/(1+INDEX('Calculator Cost per Bucata'!$AC:$AC,ROW()+4)),""),$F378))</f>
        <v/>
      </c>
      <c r="I378" s="46" t="str">
        <f t="shared" si="15"/>
        <v/>
      </c>
      <c r="J378" s="47" t="str">
        <f t="shared" si="16"/>
        <v/>
      </c>
      <c r="K378" s="48" t="str">
        <f t="shared" si="17"/>
        <v/>
      </c>
    </row>
    <row r="379" spans="1:11" x14ac:dyDescent="0.3">
      <c r="A379" s="28" t="str">
        <f>IF(INDEX('Calculator Cost per Bucata'!$A:$A,ROW()+4)="","",INDEX('Calculator Cost per Bucata'!$A:$A,ROW()+4))</f>
        <v/>
      </c>
      <c r="B379" s="28" t="str">
        <f>IF($A379="","",INDEX('Calculator Cost per Bucata'!$C:$C,ROW()+4))</f>
        <v/>
      </c>
      <c r="C379" s="28" t="str">
        <f>IF($A379="","",INDEX('Calculator Cost per Bucata'!$D:$D,ROW()+4))</f>
        <v/>
      </c>
      <c r="D379" s="33" t="str">
        <f>IF(INDEX('Calculator Cost per Bucata'!$Y:$Y,ROW()+4)=1,INDEX('Calculator Cost per Bucata'!$P:$P,ROW()+4),"")</f>
        <v/>
      </c>
      <c r="E379" s="33" t="str">
        <f>IF(INDEX('Calculator Cost per Bucata'!$Y:$Y,ROW()+4)=1,INDEX('Calculator Cost per Bucata'!$S:$S,ROW()+4),"")</f>
        <v/>
      </c>
      <c r="F379" s="33" t="str">
        <f>IF($A379="","",IF(N(INDEX('PI Furnizor'!$L:$L,ROW()+1))&gt;0,INDEX('PI Furnizor'!$L:$L,ROW()+1),""))</f>
        <v/>
      </c>
      <c r="G379" s="33" t="str">
        <f>IF($A379="","",IF(Comenzi!$D$6="Da",$D379,$E379))</f>
        <v/>
      </c>
      <c r="H379" s="33" t="str">
        <f>IF(OR($A379="",$F379=""),"",IF(Comenzi!$D$6="Da",IFERROR($F379/(1+INDEX('Calculator Cost per Bucata'!$AC:$AC,ROW()+4)),""),$F379))</f>
        <v/>
      </c>
      <c r="I379" s="46" t="str">
        <f t="shared" si="15"/>
        <v/>
      </c>
      <c r="J379" s="47" t="str">
        <f t="shared" si="16"/>
        <v/>
      </c>
      <c r="K379" s="48" t="str">
        <f t="shared" si="17"/>
        <v/>
      </c>
    </row>
    <row r="380" spans="1:11" x14ac:dyDescent="0.3">
      <c r="A380" s="28" t="str">
        <f>IF(INDEX('Calculator Cost per Bucata'!$A:$A,ROW()+4)="","",INDEX('Calculator Cost per Bucata'!$A:$A,ROW()+4))</f>
        <v/>
      </c>
      <c r="B380" s="28" t="str">
        <f>IF($A380="","",INDEX('Calculator Cost per Bucata'!$C:$C,ROW()+4))</f>
        <v/>
      </c>
      <c r="C380" s="28" t="str">
        <f>IF($A380="","",INDEX('Calculator Cost per Bucata'!$D:$D,ROW()+4))</f>
        <v/>
      </c>
      <c r="D380" s="33" t="str">
        <f>IF(INDEX('Calculator Cost per Bucata'!$Y:$Y,ROW()+4)=1,INDEX('Calculator Cost per Bucata'!$P:$P,ROW()+4),"")</f>
        <v/>
      </c>
      <c r="E380" s="33" t="str">
        <f>IF(INDEX('Calculator Cost per Bucata'!$Y:$Y,ROW()+4)=1,INDEX('Calculator Cost per Bucata'!$S:$S,ROW()+4),"")</f>
        <v/>
      </c>
      <c r="F380" s="33" t="str">
        <f>IF($A380="","",IF(N(INDEX('PI Furnizor'!$L:$L,ROW()+1))&gt;0,INDEX('PI Furnizor'!$L:$L,ROW()+1),""))</f>
        <v/>
      </c>
      <c r="G380" s="33" t="str">
        <f>IF($A380="","",IF(Comenzi!$D$6="Da",$D380,$E380))</f>
        <v/>
      </c>
      <c r="H380" s="33" t="str">
        <f>IF(OR($A380="",$F380=""),"",IF(Comenzi!$D$6="Da",IFERROR($F380/(1+INDEX('Calculator Cost per Bucata'!$AC:$AC,ROW()+4)),""),$F380))</f>
        <v/>
      </c>
      <c r="I380" s="46" t="str">
        <f t="shared" si="15"/>
        <v/>
      </c>
      <c r="J380" s="47" t="str">
        <f t="shared" si="16"/>
        <v/>
      </c>
      <c r="K380" s="48" t="str">
        <f t="shared" si="17"/>
        <v/>
      </c>
    </row>
    <row r="381" spans="1:11" x14ac:dyDescent="0.3">
      <c r="A381" s="28" t="str">
        <f>IF(INDEX('Calculator Cost per Bucata'!$A:$A,ROW()+4)="","",INDEX('Calculator Cost per Bucata'!$A:$A,ROW()+4))</f>
        <v/>
      </c>
      <c r="B381" s="28" t="str">
        <f>IF($A381="","",INDEX('Calculator Cost per Bucata'!$C:$C,ROW()+4))</f>
        <v/>
      </c>
      <c r="C381" s="28" t="str">
        <f>IF($A381="","",INDEX('Calculator Cost per Bucata'!$D:$D,ROW()+4))</f>
        <v/>
      </c>
      <c r="D381" s="33" t="str">
        <f>IF(INDEX('Calculator Cost per Bucata'!$Y:$Y,ROW()+4)=1,INDEX('Calculator Cost per Bucata'!$P:$P,ROW()+4),"")</f>
        <v/>
      </c>
      <c r="E381" s="33" t="str">
        <f>IF(INDEX('Calculator Cost per Bucata'!$Y:$Y,ROW()+4)=1,INDEX('Calculator Cost per Bucata'!$S:$S,ROW()+4),"")</f>
        <v/>
      </c>
      <c r="F381" s="33" t="str">
        <f>IF($A381="","",IF(N(INDEX('PI Furnizor'!$L:$L,ROW()+1))&gt;0,INDEX('PI Furnizor'!$L:$L,ROW()+1),""))</f>
        <v/>
      </c>
      <c r="G381" s="33" t="str">
        <f>IF($A381="","",IF(Comenzi!$D$6="Da",$D381,$E381))</f>
        <v/>
      </c>
      <c r="H381" s="33" t="str">
        <f>IF(OR($A381="",$F381=""),"",IF(Comenzi!$D$6="Da",IFERROR($F381/(1+INDEX('Calculator Cost per Bucata'!$AC:$AC,ROW()+4)),""),$F381))</f>
        <v/>
      </c>
      <c r="I381" s="46" t="str">
        <f t="shared" si="15"/>
        <v/>
      </c>
      <c r="J381" s="47" t="str">
        <f t="shared" si="16"/>
        <v/>
      </c>
      <c r="K381" s="48" t="str">
        <f t="shared" si="17"/>
        <v/>
      </c>
    </row>
    <row r="382" spans="1:11" x14ac:dyDescent="0.3">
      <c r="A382" s="28" t="str">
        <f>IF(INDEX('Calculator Cost per Bucata'!$A:$A,ROW()+4)="","",INDEX('Calculator Cost per Bucata'!$A:$A,ROW()+4))</f>
        <v/>
      </c>
      <c r="B382" s="28" t="str">
        <f>IF($A382="","",INDEX('Calculator Cost per Bucata'!$C:$C,ROW()+4))</f>
        <v/>
      </c>
      <c r="C382" s="28" t="str">
        <f>IF($A382="","",INDEX('Calculator Cost per Bucata'!$D:$D,ROW()+4))</f>
        <v/>
      </c>
      <c r="D382" s="33" t="str">
        <f>IF(INDEX('Calculator Cost per Bucata'!$Y:$Y,ROW()+4)=1,INDEX('Calculator Cost per Bucata'!$P:$P,ROW()+4),"")</f>
        <v/>
      </c>
      <c r="E382" s="33" t="str">
        <f>IF(INDEX('Calculator Cost per Bucata'!$Y:$Y,ROW()+4)=1,INDEX('Calculator Cost per Bucata'!$S:$S,ROW()+4),"")</f>
        <v/>
      </c>
      <c r="F382" s="33" t="str">
        <f>IF($A382="","",IF(N(INDEX('PI Furnizor'!$L:$L,ROW()+1))&gt;0,INDEX('PI Furnizor'!$L:$L,ROW()+1),""))</f>
        <v/>
      </c>
      <c r="G382" s="33" t="str">
        <f>IF($A382="","",IF(Comenzi!$D$6="Da",$D382,$E382))</f>
        <v/>
      </c>
      <c r="H382" s="33" t="str">
        <f>IF(OR($A382="",$F382=""),"",IF(Comenzi!$D$6="Da",IFERROR($F382/(1+INDEX('Calculator Cost per Bucata'!$AC:$AC,ROW()+4)),""),$F382))</f>
        <v/>
      </c>
      <c r="I382" s="46" t="str">
        <f t="shared" si="15"/>
        <v/>
      </c>
      <c r="J382" s="47" t="str">
        <f t="shared" si="16"/>
        <v/>
      </c>
      <c r="K382" s="48" t="str">
        <f t="shared" si="17"/>
        <v/>
      </c>
    </row>
    <row r="383" spans="1:11" x14ac:dyDescent="0.3">
      <c r="A383" s="28" t="str">
        <f>IF(INDEX('Calculator Cost per Bucata'!$A:$A,ROW()+4)="","",INDEX('Calculator Cost per Bucata'!$A:$A,ROW()+4))</f>
        <v/>
      </c>
      <c r="B383" s="28" t="str">
        <f>IF($A383="","",INDEX('Calculator Cost per Bucata'!$C:$C,ROW()+4))</f>
        <v/>
      </c>
      <c r="C383" s="28" t="str">
        <f>IF($A383="","",INDEX('Calculator Cost per Bucata'!$D:$D,ROW()+4))</f>
        <v/>
      </c>
      <c r="D383" s="33" t="str">
        <f>IF(INDEX('Calculator Cost per Bucata'!$Y:$Y,ROW()+4)=1,INDEX('Calculator Cost per Bucata'!$P:$P,ROW()+4),"")</f>
        <v/>
      </c>
      <c r="E383" s="33" t="str">
        <f>IF(INDEX('Calculator Cost per Bucata'!$Y:$Y,ROW()+4)=1,INDEX('Calculator Cost per Bucata'!$S:$S,ROW()+4),"")</f>
        <v/>
      </c>
      <c r="F383" s="33" t="str">
        <f>IF($A383="","",IF(N(INDEX('PI Furnizor'!$L:$L,ROW()+1))&gt;0,INDEX('PI Furnizor'!$L:$L,ROW()+1),""))</f>
        <v/>
      </c>
      <c r="G383" s="33" t="str">
        <f>IF($A383="","",IF(Comenzi!$D$6="Da",$D383,$E383))</f>
        <v/>
      </c>
      <c r="H383" s="33" t="str">
        <f>IF(OR($A383="",$F383=""),"",IF(Comenzi!$D$6="Da",IFERROR($F383/(1+INDEX('Calculator Cost per Bucata'!$AC:$AC,ROW()+4)),""),$F383))</f>
        <v/>
      </c>
      <c r="I383" s="46" t="str">
        <f t="shared" si="15"/>
        <v/>
      </c>
      <c r="J383" s="47" t="str">
        <f t="shared" si="16"/>
        <v/>
      </c>
      <c r="K383" s="48" t="str">
        <f t="shared" si="17"/>
        <v/>
      </c>
    </row>
    <row r="384" spans="1:11" x14ac:dyDescent="0.3">
      <c r="A384" s="28" t="str">
        <f>IF(INDEX('Calculator Cost per Bucata'!$A:$A,ROW()+4)="","",INDEX('Calculator Cost per Bucata'!$A:$A,ROW()+4))</f>
        <v/>
      </c>
      <c r="B384" s="28" t="str">
        <f>IF($A384="","",INDEX('Calculator Cost per Bucata'!$C:$C,ROW()+4))</f>
        <v/>
      </c>
      <c r="C384" s="28" t="str">
        <f>IF($A384="","",INDEX('Calculator Cost per Bucata'!$D:$D,ROW()+4))</f>
        <v/>
      </c>
      <c r="D384" s="33" t="str">
        <f>IF(INDEX('Calculator Cost per Bucata'!$Y:$Y,ROW()+4)=1,INDEX('Calculator Cost per Bucata'!$P:$P,ROW()+4),"")</f>
        <v/>
      </c>
      <c r="E384" s="33" t="str">
        <f>IF(INDEX('Calculator Cost per Bucata'!$Y:$Y,ROW()+4)=1,INDEX('Calculator Cost per Bucata'!$S:$S,ROW()+4),"")</f>
        <v/>
      </c>
      <c r="F384" s="33" t="str">
        <f>IF($A384="","",IF(N(INDEX('PI Furnizor'!$L:$L,ROW()+1))&gt;0,INDEX('PI Furnizor'!$L:$L,ROW()+1),""))</f>
        <v/>
      </c>
      <c r="G384" s="33" t="str">
        <f>IF($A384="","",IF(Comenzi!$D$6="Da",$D384,$E384))</f>
        <v/>
      </c>
      <c r="H384" s="33" t="str">
        <f>IF(OR($A384="",$F384=""),"",IF(Comenzi!$D$6="Da",IFERROR($F384/(1+INDEX('Calculator Cost per Bucata'!$AC:$AC,ROW()+4)),""),$F384))</f>
        <v/>
      </c>
      <c r="I384" s="46" t="str">
        <f t="shared" si="15"/>
        <v/>
      </c>
      <c r="J384" s="47" t="str">
        <f t="shared" si="16"/>
        <v/>
      </c>
      <c r="K384" s="48" t="str">
        <f t="shared" si="17"/>
        <v/>
      </c>
    </row>
    <row r="385" spans="1:11" x14ac:dyDescent="0.3">
      <c r="A385" s="28" t="str">
        <f>IF(INDEX('Calculator Cost per Bucata'!$A:$A,ROW()+4)="","",INDEX('Calculator Cost per Bucata'!$A:$A,ROW()+4))</f>
        <v/>
      </c>
      <c r="B385" s="28" t="str">
        <f>IF($A385="","",INDEX('Calculator Cost per Bucata'!$C:$C,ROW()+4))</f>
        <v/>
      </c>
      <c r="C385" s="28" t="str">
        <f>IF($A385="","",INDEX('Calculator Cost per Bucata'!$D:$D,ROW()+4))</f>
        <v/>
      </c>
      <c r="D385" s="33" t="str">
        <f>IF(INDEX('Calculator Cost per Bucata'!$Y:$Y,ROW()+4)=1,INDEX('Calculator Cost per Bucata'!$P:$P,ROW()+4),"")</f>
        <v/>
      </c>
      <c r="E385" s="33" t="str">
        <f>IF(INDEX('Calculator Cost per Bucata'!$Y:$Y,ROW()+4)=1,INDEX('Calculator Cost per Bucata'!$S:$S,ROW()+4),"")</f>
        <v/>
      </c>
      <c r="F385" s="33" t="str">
        <f>IF($A385="","",IF(N(INDEX('PI Furnizor'!$L:$L,ROW()+1))&gt;0,INDEX('PI Furnizor'!$L:$L,ROW()+1),""))</f>
        <v/>
      </c>
      <c r="G385" s="33" t="str">
        <f>IF($A385="","",IF(Comenzi!$D$6="Da",$D385,$E385))</f>
        <v/>
      </c>
      <c r="H385" s="33" t="str">
        <f>IF(OR($A385="",$F385=""),"",IF(Comenzi!$D$6="Da",IFERROR($F385/(1+INDEX('Calculator Cost per Bucata'!$AC:$AC,ROW()+4)),""),$F385))</f>
        <v/>
      </c>
      <c r="I385" s="46" t="str">
        <f t="shared" si="15"/>
        <v/>
      </c>
      <c r="J385" s="47" t="str">
        <f t="shared" si="16"/>
        <v/>
      </c>
      <c r="K385" s="48" t="str">
        <f t="shared" si="17"/>
        <v/>
      </c>
    </row>
    <row r="386" spans="1:11" x14ac:dyDescent="0.3">
      <c r="A386" s="28" t="str">
        <f>IF(INDEX('Calculator Cost per Bucata'!$A:$A,ROW()+4)="","",INDEX('Calculator Cost per Bucata'!$A:$A,ROW()+4))</f>
        <v/>
      </c>
      <c r="B386" s="28" t="str">
        <f>IF($A386="","",INDEX('Calculator Cost per Bucata'!$C:$C,ROW()+4))</f>
        <v/>
      </c>
      <c r="C386" s="28" t="str">
        <f>IF($A386="","",INDEX('Calculator Cost per Bucata'!$D:$D,ROW()+4))</f>
        <v/>
      </c>
      <c r="D386" s="33" t="str">
        <f>IF(INDEX('Calculator Cost per Bucata'!$Y:$Y,ROW()+4)=1,INDEX('Calculator Cost per Bucata'!$P:$P,ROW()+4),"")</f>
        <v/>
      </c>
      <c r="E386" s="33" t="str">
        <f>IF(INDEX('Calculator Cost per Bucata'!$Y:$Y,ROW()+4)=1,INDEX('Calculator Cost per Bucata'!$S:$S,ROW()+4),"")</f>
        <v/>
      </c>
      <c r="F386" s="33" t="str">
        <f>IF($A386="","",IF(N(INDEX('PI Furnizor'!$L:$L,ROW()+1))&gt;0,INDEX('PI Furnizor'!$L:$L,ROW()+1),""))</f>
        <v/>
      </c>
      <c r="G386" s="33" t="str">
        <f>IF($A386="","",IF(Comenzi!$D$6="Da",$D386,$E386))</f>
        <v/>
      </c>
      <c r="H386" s="33" t="str">
        <f>IF(OR($A386="",$F386=""),"",IF(Comenzi!$D$6="Da",IFERROR($F386/(1+INDEX('Calculator Cost per Bucata'!$AC:$AC,ROW()+4)),""),$F386))</f>
        <v/>
      </c>
      <c r="I386" s="46" t="str">
        <f t="shared" si="15"/>
        <v/>
      </c>
      <c r="J386" s="47" t="str">
        <f t="shared" si="16"/>
        <v/>
      </c>
      <c r="K386" s="48" t="str">
        <f t="shared" si="17"/>
        <v/>
      </c>
    </row>
    <row r="387" spans="1:11" x14ac:dyDescent="0.3">
      <c r="A387" s="28" t="str">
        <f>IF(INDEX('Calculator Cost per Bucata'!$A:$A,ROW()+4)="","",INDEX('Calculator Cost per Bucata'!$A:$A,ROW()+4))</f>
        <v/>
      </c>
      <c r="B387" s="28" t="str">
        <f>IF($A387="","",INDEX('Calculator Cost per Bucata'!$C:$C,ROW()+4))</f>
        <v/>
      </c>
      <c r="C387" s="28" t="str">
        <f>IF($A387="","",INDEX('Calculator Cost per Bucata'!$D:$D,ROW()+4))</f>
        <v/>
      </c>
      <c r="D387" s="33" t="str">
        <f>IF(INDEX('Calculator Cost per Bucata'!$Y:$Y,ROW()+4)=1,INDEX('Calculator Cost per Bucata'!$P:$P,ROW()+4),"")</f>
        <v/>
      </c>
      <c r="E387" s="33" t="str">
        <f>IF(INDEX('Calculator Cost per Bucata'!$Y:$Y,ROW()+4)=1,INDEX('Calculator Cost per Bucata'!$S:$S,ROW()+4),"")</f>
        <v/>
      </c>
      <c r="F387" s="33" t="str">
        <f>IF($A387="","",IF(N(INDEX('PI Furnizor'!$L:$L,ROW()+1))&gt;0,INDEX('PI Furnizor'!$L:$L,ROW()+1),""))</f>
        <v/>
      </c>
      <c r="G387" s="33" t="str">
        <f>IF($A387="","",IF(Comenzi!$D$6="Da",$D387,$E387))</f>
        <v/>
      </c>
      <c r="H387" s="33" t="str">
        <f>IF(OR($A387="",$F387=""),"",IF(Comenzi!$D$6="Da",IFERROR($F387/(1+INDEX('Calculator Cost per Bucata'!$AC:$AC,ROW()+4)),""),$F387))</f>
        <v/>
      </c>
      <c r="I387" s="46" t="str">
        <f t="shared" si="15"/>
        <v/>
      </c>
      <c r="J387" s="47" t="str">
        <f t="shared" si="16"/>
        <v/>
      </c>
      <c r="K387" s="48" t="str">
        <f t="shared" si="17"/>
        <v/>
      </c>
    </row>
    <row r="388" spans="1:11" x14ac:dyDescent="0.3">
      <c r="A388" s="28" t="str">
        <f>IF(INDEX('Calculator Cost per Bucata'!$A:$A,ROW()+4)="","",INDEX('Calculator Cost per Bucata'!$A:$A,ROW()+4))</f>
        <v/>
      </c>
      <c r="B388" s="28" t="str">
        <f>IF($A388="","",INDEX('Calculator Cost per Bucata'!$C:$C,ROW()+4))</f>
        <v/>
      </c>
      <c r="C388" s="28" t="str">
        <f>IF($A388="","",INDEX('Calculator Cost per Bucata'!$D:$D,ROW()+4))</f>
        <v/>
      </c>
      <c r="D388" s="33" t="str">
        <f>IF(INDEX('Calculator Cost per Bucata'!$Y:$Y,ROW()+4)=1,INDEX('Calculator Cost per Bucata'!$P:$P,ROW()+4),"")</f>
        <v/>
      </c>
      <c r="E388" s="33" t="str">
        <f>IF(INDEX('Calculator Cost per Bucata'!$Y:$Y,ROW()+4)=1,INDEX('Calculator Cost per Bucata'!$S:$S,ROW()+4),"")</f>
        <v/>
      </c>
      <c r="F388" s="33" t="str">
        <f>IF($A388="","",IF(N(INDEX('PI Furnizor'!$L:$L,ROW()+1))&gt;0,INDEX('PI Furnizor'!$L:$L,ROW()+1),""))</f>
        <v/>
      </c>
      <c r="G388" s="33" t="str">
        <f>IF($A388="","",IF(Comenzi!$D$6="Da",$D388,$E388))</f>
        <v/>
      </c>
      <c r="H388" s="33" t="str">
        <f>IF(OR($A388="",$F388=""),"",IF(Comenzi!$D$6="Da",IFERROR($F388/(1+INDEX('Calculator Cost per Bucata'!$AC:$AC,ROW()+4)),""),$F388))</f>
        <v/>
      </c>
      <c r="I388" s="46" t="str">
        <f t="shared" si="15"/>
        <v/>
      </c>
      <c r="J388" s="47" t="str">
        <f t="shared" si="16"/>
        <v/>
      </c>
      <c r="K388" s="48" t="str">
        <f t="shared" si="17"/>
        <v/>
      </c>
    </row>
    <row r="389" spans="1:11" x14ac:dyDescent="0.3">
      <c r="A389" s="28" t="str">
        <f>IF(INDEX('Calculator Cost per Bucata'!$A:$A,ROW()+4)="","",INDEX('Calculator Cost per Bucata'!$A:$A,ROW()+4))</f>
        <v/>
      </c>
      <c r="B389" s="28" t="str">
        <f>IF($A389="","",INDEX('Calculator Cost per Bucata'!$C:$C,ROW()+4))</f>
        <v/>
      </c>
      <c r="C389" s="28" t="str">
        <f>IF($A389="","",INDEX('Calculator Cost per Bucata'!$D:$D,ROW()+4))</f>
        <v/>
      </c>
      <c r="D389" s="33" t="str">
        <f>IF(INDEX('Calculator Cost per Bucata'!$Y:$Y,ROW()+4)=1,INDEX('Calculator Cost per Bucata'!$P:$P,ROW()+4),"")</f>
        <v/>
      </c>
      <c r="E389" s="33" t="str">
        <f>IF(INDEX('Calculator Cost per Bucata'!$Y:$Y,ROW()+4)=1,INDEX('Calculator Cost per Bucata'!$S:$S,ROW()+4),"")</f>
        <v/>
      </c>
      <c r="F389" s="33" t="str">
        <f>IF($A389="","",IF(N(INDEX('PI Furnizor'!$L:$L,ROW()+1))&gt;0,INDEX('PI Furnizor'!$L:$L,ROW()+1),""))</f>
        <v/>
      </c>
      <c r="G389" s="33" t="str">
        <f>IF($A389="","",IF(Comenzi!$D$6="Da",$D389,$E389))</f>
        <v/>
      </c>
      <c r="H389" s="33" t="str">
        <f>IF(OR($A389="",$F389=""),"",IF(Comenzi!$D$6="Da",IFERROR($F389/(1+INDEX('Calculator Cost per Bucata'!$AC:$AC,ROW()+4)),""),$F389))</f>
        <v/>
      </c>
      <c r="I389" s="46" t="str">
        <f t="shared" si="15"/>
        <v/>
      </c>
      <c r="J389" s="47" t="str">
        <f t="shared" si="16"/>
        <v/>
      </c>
      <c r="K389" s="48" t="str">
        <f t="shared" si="17"/>
        <v/>
      </c>
    </row>
    <row r="390" spans="1:11" x14ac:dyDescent="0.3">
      <c r="A390" s="28" t="str">
        <f>IF(INDEX('Calculator Cost per Bucata'!$A:$A,ROW()+4)="","",INDEX('Calculator Cost per Bucata'!$A:$A,ROW()+4))</f>
        <v/>
      </c>
      <c r="B390" s="28" t="str">
        <f>IF($A390="","",INDEX('Calculator Cost per Bucata'!$C:$C,ROW()+4))</f>
        <v/>
      </c>
      <c r="C390" s="28" t="str">
        <f>IF($A390="","",INDEX('Calculator Cost per Bucata'!$D:$D,ROW()+4))</f>
        <v/>
      </c>
      <c r="D390" s="33" t="str">
        <f>IF(INDEX('Calculator Cost per Bucata'!$Y:$Y,ROW()+4)=1,INDEX('Calculator Cost per Bucata'!$P:$P,ROW()+4),"")</f>
        <v/>
      </c>
      <c r="E390" s="33" t="str">
        <f>IF(INDEX('Calculator Cost per Bucata'!$Y:$Y,ROW()+4)=1,INDEX('Calculator Cost per Bucata'!$S:$S,ROW()+4),"")</f>
        <v/>
      </c>
      <c r="F390" s="33" t="str">
        <f>IF($A390="","",IF(N(INDEX('PI Furnizor'!$L:$L,ROW()+1))&gt;0,INDEX('PI Furnizor'!$L:$L,ROW()+1),""))</f>
        <v/>
      </c>
      <c r="G390" s="33" t="str">
        <f>IF($A390="","",IF(Comenzi!$D$6="Da",$D390,$E390))</f>
        <v/>
      </c>
      <c r="H390" s="33" t="str">
        <f>IF(OR($A390="",$F390=""),"",IF(Comenzi!$D$6="Da",IFERROR($F390/(1+INDEX('Calculator Cost per Bucata'!$AC:$AC,ROW()+4)),""),$F390))</f>
        <v/>
      </c>
      <c r="I390" s="46" t="str">
        <f t="shared" ref="I390:I453" si="18">IF(OR($G390="",$H390=""),"",$H390-$G390)</f>
        <v/>
      </c>
      <c r="J390" s="47" t="str">
        <f t="shared" ref="J390:J453" si="19">IF(OR($G390="",$H390=""),"",($H390-$G390)/$H390)</f>
        <v/>
      </c>
      <c r="K390" s="48" t="str">
        <f t="shared" ref="K390:K453" si="20">IF($A390="","",IF($G390="","Date incomplete - vezi Calculator",IF($H390="","Introdu pretul RO (PI Furnizor, col. L)",IF($H390&gt;$G390*1.15,"Import avantajos - marja buna",IF($H390&gt;$G390,"Import usor avantajos - marja mica","Piata RO mai ieftina - verifica")))))</f>
        <v/>
      </c>
    </row>
    <row r="391" spans="1:11" x14ac:dyDescent="0.3">
      <c r="A391" s="28" t="str">
        <f>IF(INDEX('Calculator Cost per Bucata'!$A:$A,ROW()+4)="","",INDEX('Calculator Cost per Bucata'!$A:$A,ROW()+4))</f>
        <v/>
      </c>
      <c r="B391" s="28" t="str">
        <f>IF($A391="","",INDEX('Calculator Cost per Bucata'!$C:$C,ROW()+4))</f>
        <v/>
      </c>
      <c r="C391" s="28" t="str">
        <f>IF($A391="","",INDEX('Calculator Cost per Bucata'!$D:$D,ROW()+4))</f>
        <v/>
      </c>
      <c r="D391" s="33" t="str">
        <f>IF(INDEX('Calculator Cost per Bucata'!$Y:$Y,ROW()+4)=1,INDEX('Calculator Cost per Bucata'!$P:$P,ROW()+4),"")</f>
        <v/>
      </c>
      <c r="E391" s="33" t="str">
        <f>IF(INDEX('Calculator Cost per Bucata'!$Y:$Y,ROW()+4)=1,INDEX('Calculator Cost per Bucata'!$S:$S,ROW()+4),"")</f>
        <v/>
      </c>
      <c r="F391" s="33" t="str">
        <f>IF($A391="","",IF(N(INDEX('PI Furnizor'!$L:$L,ROW()+1))&gt;0,INDEX('PI Furnizor'!$L:$L,ROW()+1),""))</f>
        <v/>
      </c>
      <c r="G391" s="33" t="str">
        <f>IF($A391="","",IF(Comenzi!$D$6="Da",$D391,$E391))</f>
        <v/>
      </c>
      <c r="H391" s="33" t="str">
        <f>IF(OR($A391="",$F391=""),"",IF(Comenzi!$D$6="Da",IFERROR($F391/(1+INDEX('Calculator Cost per Bucata'!$AC:$AC,ROW()+4)),""),$F391))</f>
        <v/>
      </c>
      <c r="I391" s="46" t="str">
        <f t="shared" si="18"/>
        <v/>
      </c>
      <c r="J391" s="47" t="str">
        <f t="shared" si="19"/>
        <v/>
      </c>
      <c r="K391" s="48" t="str">
        <f t="shared" si="20"/>
        <v/>
      </c>
    </row>
    <row r="392" spans="1:11" x14ac:dyDescent="0.3">
      <c r="A392" s="28" t="str">
        <f>IF(INDEX('Calculator Cost per Bucata'!$A:$A,ROW()+4)="","",INDEX('Calculator Cost per Bucata'!$A:$A,ROW()+4))</f>
        <v/>
      </c>
      <c r="B392" s="28" t="str">
        <f>IF($A392="","",INDEX('Calculator Cost per Bucata'!$C:$C,ROW()+4))</f>
        <v/>
      </c>
      <c r="C392" s="28" t="str">
        <f>IF($A392="","",INDEX('Calculator Cost per Bucata'!$D:$D,ROW()+4))</f>
        <v/>
      </c>
      <c r="D392" s="33" t="str">
        <f>IF(INDEX('Calculator Cost per Bucata'!$Y:$Y,ROW()+4)=1,INDEX('Calculator Cost per Bucata'!$P:$P,ROW()+4),"")</f>
        <v/>
      </c>
      <c r="E392" s="33" t="str">
        <f>IF(INDEX('Calculator Cost per Bucata'!$Y:$Y,ROW()+4)=1,INDEX('Calculator Cost per Bucata'!$S:$S,ROW()+4),"")</f>
        <v/>
      </c>
      <c r="F392" s="33" t="str">
        <f>IF($A392="","",IF(N(INDEX('PI Furnizor'!$L:$L,ROW()+1))&gt;0,INDEX('PI Furnizor'!$L:$L,ROW()+1),""))</f>
        <v/>
      </c>
      <c r="G392" s="33" t="str">
        <f>IF($A392="","",IF(Comenzi!$D$6="Da",$D392,$E392))</f>
        <v/>
      </c>
      <c r="H392" s="33" t="str">
        <f>IF(OR($A392="",$F392=""),"",IF(Comenzi!$D$6="Da",IFERROR($F392/(1+INDEX('Calculator Cost per Bucata'!$AC:$AC,ROW()+4)),""),$F392))</f>
        <v/>
      </c>
      <c r="I392" s="46" t="str">
        <f t="shared" si="18"/>
        <v/>
      </c>
      <c r="J392" s="47" t="str">
        <f t="shared" si="19"/>
        <v/>
      </c>
      <c r="K392" s="48" t="str">
        <f t="shared" si="20"/>
        <v/>
      </c>
    </row>
    <row r="393" spans="1:11" x14ac:dyDescent="0.3">
      <c r="A393" s="28" t="str">
        <f>IF(INDEX('Calculator Cost per Bucata'!$A:$A,ROW()+4)="","",INDEX('Calculator Cost per Bucata'!$A:$A,ROW()+4))</f>
        <v/>
      </c>
      <c r="B393" s="28" t="str">
        <f>IF($A393="","",INDEX('Calculator Cost per Bucata'!$C:$C,ROW()+4))</f>
        <v/>
      </c>
      <c r="C393" s="28" t="str">
        <f>IF($A393="","",INDEX('Calculator Cost per Bucata'!$D:$D,ROW()+4))</f>
        <v/>
      </c>
      <c r="D393" s="33" t="str">
        <f>IF(INDEX('Calculator Cost per Bucata'!$Y:$Y,ROW()+4)=1,INDEX('Calculator Cost per Bucata'!$P:$P,ROW()+4),"")</f>
        <v/>
      </c>
      <c r="E393" s="33" t="str">
        <f>IF(INDEX('Calculator Cost per Bucata'!$Y:$Y,ROW()+4)=1,INDEX('Calculator Cost per Bucata'!$S:$S,ROW()+4),"")</f>
        <v/>
      </c>
      <c r="F393" s="33" t="str">
        <f>IF($A393="","",IF(N(INDEX('PI Furnizor'!$L:$L,ROW()+1))&gt;0,INDEX('PI Furnizor'!$L:$L,ROW()+1),""))</f>
        <v/>
      </c>
      <c r="G393" s="33" t="str">
        <f>IF($A393="","",IF(Comenzi!$D$6="Da",$D393,$E393))</f>
        <v/>
      </c>
      <c r="H393" s="33" t="str">
        <f>IF(OR($A393="",$F393=""),"",IF(Comenzi!$D$6="Da",IFERROR($F393/(1+INDEX('Calculator Cost per Bucata'!$AC:$AC,ROW()+4)),""),$F393))</f>
        <v/>
      </c>
      <c r="I393" s="46" t="str">
        <f t="shared" si="18"/>
        <v/>
      </c>
      <c r="J393" s="47" t="str">
        <f t="shared" si="19"/>
        <v/>
      </c>
      <c r="K393" s="48" t="str">
        <f t="shared" si="20"/>
        <v/>
      </c>
    </row>
    <row r="394" spans="1:11" x14ac:dyDescent="0.3">
      <c r="A394" s="28" t="str">
        <f>IF(INDEX('Calculator Cost per Bucata'!$A:$A,ROW()+4)="","",INDEX('Calculator Cost per Bucata'!$A:$A,ROW()+4))</f>
        <v/>
      </c>
      <c r="B394" s="28" t="str">
        <f>IF($A394="","",INDEX('Calculator Cost per Bucata'!$C:$C,ROW()+4))</f>
        <v/>
      </c>
      <c r="C394" s="28" t="str">
        <f>IF($A394="","",INDEX('Calculator Cost per Bucata'!$D:$D,ROW()+4))</f>
        <v/>
      </c>
      <c r="D394" s="33" t="str">
        <f>IF(INDEX('Calculator Cost per Bucata'!$Y:$Y,ROW()+4)=1,INDEX('Calculator Cost per Bucata'!$P:$P,ROW()+4),"")</f>
        <v/>
      </c>
      <c r="E394" s="33" t="str">
        <f>IF(INDEX('Calculator Cost per Bucata'!$Y:$Y,ROW()+4)=1,INDEX('Calculator Cost per Bucata'!$S:$S,ROW()+4),"")</f>
        <v/>
      </c>
      <c r="F394" s="33" t="str">
        <f>IF($A394="","",IF(N(INDEX('PI Furnizor'!$L:$L,ROW()+1))&gt;0,INDEX('PI Furnizor'!$L:$L,ROW()+1),""))</f>
        <v/>
      </c>
      <c r="G394" s="33" t="str">
        <f>IF($A394="","",IF(Comenzi!$D$6="Da",$D394,$E394))</f>
        <v/>
      </c>
      <c r="H394" s="33" t="str">
        <f>IF(OR($A394="",$F394=""),"",IF(Comenzi!$D$6="Da",IFERROR($F394/(1+INDEX('Calculator Cost per Bucata'!$AC:$AC,ROW()+4)),""),$F394))</f>
        <v/>
      </c>
      <c r="I394" s="46" t="str">
        <f t="shared" si="18"/>
        <v/>
      </c>
      <c r="J394" s="47" t="str">
        <f t="shared" si="19"/>
        <v/>
      </c>
      <c r="K394" s="48" t="str">
        <f t="shared" si="20"/>
        <v/>
      </c>
    </row>
    <row r="395" spans="1:11" x14ac:dyDescent="0.3">
      <c r="A395" s="28" t="str">
        <f>IF(INDEX('Calculator Cost per Bucata'!$A:$A,ROW()+4)="","",INDEX('Calculator Cost per Bucata'!$A:$A,ROW()+4))</f>
        <v/>
      </c>
      <c r="B395" s="28" t="str">
        <f>IF($A395="","",INDEX('Calculator Cost per Bucata'!$C:$C,ROW()+4))</f>
        <v/>
      </c>
      <c r="C395" s="28" t="str">
        <f>IF($A395="","",INDEX('Calculator Cost per Bucata'!$D:$D,ROW()+4))</f>
        <v/>
      </c>
      <c r="D395" s="33" t="str">
        <f>IF(INDEX('Calculator Cost per Bucata'!$Y:$Y,ROW()+4)=1,INDEX('Calculator Cost per Bucata'!$P:$P,ROW()+4),"")</f>
        <v/>
      </c>
      <c r="E395" s="33" t="str">
        <f>IF(INDEX('Calculator Cost per Bucata'!$Y:$Y,ROW()+4)=1,INDEX('Calculator Cost per Bucata'!$S:$S,ROW()+4),"")</f>
        <v/>
      </c>
      <c r="F395" s="33" t="str">
        <f>IF($A395="","",IF(N(INDEX('PI Furnizor'!$L:$L,ROW()+1))&gt;0,INDEX('PI Furnizor'!$L:$L,ROW()+1),""))</f>
        <v/>
      </c>
      <c r="G395" s="33" t="str">
        <f>IF($A395="","",IF(Comenzi!$D$6="Da",$D395,$E395))</f>
        <v/>
      </c>
      <c r="H395" s="33" t="str">
        <f>IF(OR($A395="",$F395=""),"",IF(Comenzi!$D$6="Da",IFERROR($F395/(1+INDEX('Calculator Cost per Bucata'!$AC:$AC,ROW()+4)),""),$F395))</f>
        <v/>
      </c>
      <c r="I395" s="46" t="str">
        <f t="shared" si="18"/>
        <v/>
      </c>
      <c r="J395" s="47" t="str">
        <f t="shared" si="19"/>
        <v/>
      </c>
      <c r="K395" s="48" t="str">
        <f t="shared" si="20"/>
        <v/>
      </c>
    </row>
    <row r="396" spans="1:11" x14ac:dyDescent="0.3">
      <c r="A396" s="28" t="str">
        <f>IF(INDEX('Calculator Cost per Bucata'!$A:$A,ROW()+4)="","",INDEX('Calculator Cost per Bucata'!$A:$A,ROW()+4))</f>
        <v/>
      </c>
      <c r="B396" s="28" t="str">
        <f>IF($A396="","",INDEX('Calculator Cost per Bucata'!$C:$C,ROW()+4))</f>
        <v/>
      </c>
      <c r="C396" s="28" t="str">
        <f>IF($A396="","",INDEX('Calculator Cost per Bucata'!$D:$D,ROW()+4))</f>
        <v/>
      </c>
      <c r="D396" s="33" t="str">
        <f>IF(INDEX('Calculator Cost per Bucata'!$Y:$Y,ROW()+4)=1,INDEX('Calculator Cost per Bucata'!$P:$P,ROW()+4),"")</f>
        <v/>
      </c>
      <c r="E396" s="33" t="str">
        <f>IF(INDEX('Calculator Cost per Bucata'!$Y:$Y,ROW()+4)=1,INDEX('Calculator Cost per Bucata'!$S:$S,ROW()+4),"")</f>
        <v/>
      </c>
      <c r="F396" s="33" t="str">
        <f>IF($A396="","",IF(N(INDEX('PI Furnizor'!$L:$L,ROW()+1))&gt;0,INDEX('PI Furnizor'!$L:$L,ROW()+1),""))</f>
        <v/>
      </c>
      <c r="G396" s="33" t="str">
        <f>IF($A396="","",IF(Comenzi!$D$6="Da",$D396,$E396))</f>
        <v/>
      </c>
      <c r="H396" s="33" t="str">
        <f>IF(OR($A396="",$F396=""),"",IF(Comenzi!$D$6="Da",IFERROR($F396/(1+INDEX('Calculator Cost per Bucata'!$AC:$AC,ROW()+4)),""),$F396))</f>
        <v/>
      </c>
      <c r="I396" s="46" t="str">
        <f t="shared" si="18"/>
        <v/>
      </c>
      <c r="J396" s="47" t="str">
        <f t="shared" si="19"/>
        <v/>
      </c>
      <c r="K396" s="48" t="str">
        <f t="shared" si="20"/>
        <v/>
      </c>
    </row>
    <row r="397" spans="1:11" x14ac:dyDescent="0.3">
      <c r="A397" s="28" t="str">
        <f>IF(INDEX('Calculator Cost per Bucata'!$A:$A,ROW()+4)="","",INDEX('Calculator Cost per Bucata'!$A:$A,ROW()+4))</f>
        <v/>
      </c>
      <c r="B397" s="28" t="str">
        <f>IF($A397="","",INDEX('Calculator Cost per Bucata'!$C:$C,ROW()+4))</f>
        <v/>
      </c>
      <c r="C397" s="28" t="str">
        <f>IF($A397="","",INDEX('Calculator Cost per Bucata'!$D:$D,ROW()+4))</f>
        <v/>
      </c>
      <c r="D397" s="33" t="str">
        <f>IF(INDEX('Calculator Cost per Bucata'!$Y:$Y,ROW()+4)=1,INDEX('Calculator Cost per Bucata'!$P:$P,ROW()+4),"")</f>
        <v/>
      </c>
      <c r="E397" s="33" t="str">
        <f>IF(INDEX('Calculator Cost per Bucata'!$Y:$Y,ROW()+4)=1,INDEX('Calculator Cost per Bucata'!$S:$S,ROW()+4),"")</f>
        <v/>
      </c>
      <c r="F397" s="33" t="str">
        <f>IF($A397="","",IF(N(INDEX('PI Furnizor'!$L:$L,ROW()+1))&gt;0,INDEX('PI Furnizor'!$L:$L,ROW()+1),""))</f>
        <v/>
      </c>
      <c r="G397" s="33" t="str">
        <f>IF($A397="","",IF(Comenzi!$D$6="Da",$D397,$E397))</f>
        <v/>
      </c>
      <c r="H397" s="33" t="str">
        <f>IF(OR($A397="",$F397=""),"",IF(Comenzi!$D$6="Da",IFERROR($F397/(1+INDEX('Calculator Cost per Bucata'!$AC:$AC,ROW()+4)),""),$F397))</f>
        <v/>
      </c>
      <c r="I397" s="46" t="str">
        <f t="shared" si="18"/>
        <v/>
      </c>
      <c r="J397" s="47" t="str">
        <f t="shared" si="19"/>
        <v/>
      </c>
      <c r="K397" s="48" t="str">
        <f t="shared" si="20"/>
        <v/>
      </c>
    </row>
    <row r="398" spans="1:11" x14ac:dyDescent="0.3">
      <c r="A398" s="28" t="str">
        <f>IF(INDEX('Calculator Cost per Bucata'!$A:$A,ROW()+4)="","",INDEX('Calculator Cost per Bucata'!$A:$A,ROW()+4))</f>
        <v/>
      </c>
      <c r="B398" s="28" t="str">
        <f>IF($A398="","",INDEX('Calculator Cost per Bucata'!$C:$C,ROW()+4))</f>
        <v/>
      </c>
      <c r="C398" s="28" t="str">
        <f>IF($A398="","",INDEX('Calculator Cost per Bucata'!$D:$D,ROW()+4))</f>
        <v/>
      </c>
      <c r="D398" s="33" t="str">
        <f>IF(INDEX('Calculator Cost per Bucata'!$Y:$Y,ROW()+4)=1,INDEX('Calculator Cost per Bucata'!$P:$P,ROW()+4),"")</f>
        <v/>
      </c>
      <c r="E398" s="33" t="str">
        <f>IF(INDEX('Calculator Cost per Bucata'!$Y:$Y,ROW()+4)=1,INDEX('Calculator Cost per Bucata'!$S:$S,ROW()+4),"")</f>
        <v/>
      </c>
      <c r="F398" s="33" t="str">
        <f>IF($A398="","",IF(N(INDEX('PI Furnizor'!$L:$L,ROW()+1))&gt;0,INDEX('PI Furnizor'!$L:$L,ROW()+1),""))</f>
        <v/>
      </c>
      <c r="G398" s="33" t="str">
        <f>IF($A398="","",IF(Comenzi!$D$6="Da",$D398,$E398))</f>
        <v/>
      </c>
      <c r="H398" s="33" t="str">
        <f>IF(OR($A398="",$F398=""),"",IF(Comenzi!$D$6="Da",IFERROR($F398/(1+INDEX('Calculator Cost per Bucata'!$AC:$AC,ROW()+4)),""),$F398))</f>
        <v/>
      </c>
      <c r="I398" s="46" t="str">
        <f t="shared" si="18"/>
        <v/>
      </c>
      <c r="J398" s="47" t="str">
        <f t="shared" si="19"/>
        <v/>
      </c>
      <c r="K398" s="48" t="str">
        <f t="shared" si="20"/>
        <v/>
      </c>
    </row>
    <row r="399" spans="1:11" x14ac:dyDescent="0.3">
      <c r="A399" s="28" t="str">
        <f>IF(INDEX('Calculator Cost per Bucata'!$A:$A,ROW()+4)="","",INDEX('Calculator Cost per Bucata'!$A:$A,ROW()+4))</f>
        <v/>
      </c>
      <c r="B399" s="28" t="str">
        <f>IF($A399="","",INDEX('Calculator Cost per Bucata'!$C:$C,ROW()+4))</f>
        <v/>
      </c>
      <c r="C399" s="28" t="str">
        <f>IF($A399="","",INDEX('Calculator Cost per Bucata'!$D:$D,ROW()+4))</f>
        <v/>
      </c>
      <c r="D399" s="33" t="str">
        <f>IF(INDEX('Calculator Cost per Bucata'!$Y:$Y,ROW()+4)=1,INDEX('Calculator Cost per Bucata'!$P:$P,ROW()+4),"")</f>
        <v/>
      </c>
      <c r="E399" s="33" t="str">
        <f>IF(INDEX('Calculator Cost per Bucata'!$Y:$Y,ROW()+4)=1,INDEX('Calculator Cost per Bucata'!$S:$S,ROW()+4),"")</f>
        <v/>
      </c>
      <c r="F399" s="33" t="str">
        <f>IF($A399="","",IF(N(INDEX('PI Furnizor'!$L:$L,ROW()+1))&gt;0,INDEX('PI Furnizor'!$L:$L,ROW()+1),""))</f>
        <v/>
      </c>
      <c r="G399" s="33" t="str">
        <f>IF($A399="","",IF(Comenzi!$D$6="Da",$D399,$E399))</f>
        <v/>
      </c>
      <c r="H399" s="33" t="str">
        <f>IF(OR($A399="",$F399=""),"",IF(Comenzi!$D$6="Da",IFERROR($F399/(1+INDEX('Calculator Cost per Bucata'!$AC:$AC,ROW()+4)),""),$F399))</f>
        <v/>
      </c>
      <c r="I399" s="46" t="str">
        <f t="shared" si="18"/>
        <v/>
      </c>
      <c r="J399" s="47" t="str">
        <f t="shared" si="19"/>
        <v/>
      </c>
      <c r="K399" s="48" t="str">
        <f t="shared" si="20"/>
        <v/>
      </c>
    </row>
    <row r="400" spans="1:11" x14ac:dyDescent="0.3">
      <c r="A400" s="28" t="str">
        <f>IF(INDEX('Calculator Cost per Bucata'!$A:$A,ROW()+4)="","",INDEX('Calculator Cost per Bucata'!$A:$A,ROW()+4))</f>
        <v/>
      </c>
      <c r="B400" s="28" t="str">
        <f>IF($A400="","",INDEX('Calculator Cost per Bucata'!$C:$C,ROW()+4))</f>
        <v/>
      </c>
      <c r="C400" s="28" t="str">
        <f>IF($A400="","",INDEX('Calculator Cost per Bucata'!$D:$D,ROW()+4))</f>
        <v/>
      </c>
      <c r="D400" s="33" t="str">
        <f>IF(INDEX('Calculator Cost per Bucata'!$Y:$Y,ROW()+4)=1,INDEX('Calculator Cost per Bucata'!$P:$P,ROW()+4),"")</f>
        <v/>
      </c>
      <c r="E400" s="33" t="str">
        <f>IF(INDEX('Calculator Cost per Bucata'!$Y:$Y,ROW()+4)=1,INDEX('Calculator Cost per Bucata'!$S:$S,ROW()+4),"")</f>
        <v/>
      </c>
      <c r="F400" s="33" t="str">
        <f>IF($A400="","",IF(N(INDEX('PI Furnizor'!$L:$L,ROW()+1))&gt;0,INDEX('PI Furnizor'!$L:$L,ROW()+1),""))</f>
        <v/>
      </c>
      <c r="G400" s="33" t="str">
        <f>IF($A400="","",IF(Comenzi!$D$6="Da",$D400,$E400))</f>
        <v/>
      </c>
      <c r="H400" s="33" t="str">
        <f>IF(OR($A400="",$F400=""),"",IF(Comenzi!$D$6="Da",IFERROR($F400/(1+INDEX('Calculator Cost per Bucata'!$AC:$AC,ROW()+4)),""),$F400))</f>
        <v/>
      </c>
      <c r="I400" s="46" t="str">
        <f t="shared" si="18"/>
        <v/>
      </c>
      <c r="J400" s="47" t="str">
        <f t="shared" si="19"/>
        <v/>
      </c>
      <c r="K400" s="48" t="str">
        <f t="shared" si="20"/>
        <v/>
      </c>
    </row>
    <row r="401" spans="1:11" x14ac:dyDescent="0.3">
      <c r="A401" s="28" t="str">
        <f>IF(INDEX('Calculator Cost per Bucata'!$A:$A,ROW()+4)="","",INDEX('Calculator Cost per Bucata'!$A:$A,ROW()+4))</f>
        <v/>
      </c>
      <c r="B401" s="28" t="str">
        <f>IF($A401="","",INDEX('Calculator Cost per Bucata'!$C:$C,ROW()+4))</f>
        <v/>
      </c>
      <c r="C401" s="28" t="str">
        <f>IF($A401="","",INDEX('Calculator Cost per Bucata'!$D:$D,ROW()+4))</f>
        <v/>
      </c>
      <c r="D401" s="33" t="str">
        <f>IF(INDEX('Calculator Cost per Bucata'!$Y:$Y,ROW()+4)=1,INDEX('Calculator Cost per Bucata'!$P:$P,ROW()+4),"")</f>
        <v/>
      </c>
      <c r="E401" s="33" t="str">
        <f>IF(INDEX('Calculator Cost per Bucata'!$Y:$Y,ROW()+4)=1,INDEX('Calculator Cost per Bucata'!$S:$S,ROW()+4),"")</f>
        <v/>
      </c>
      <c r="F401" s="33" t="str">
        <f>IF($A401="","",IF(N(INDEX('PI Furnizor'!$L:$L,ROW()+1))&gt;0,INDEX('PI Furnizor'!$L:$L,ROW()+1),""))</f>
        <v/>
      </c>
      <c r="G401" s="33" t="str">
        <f>IF($A401="","",IF(Comenzi!$D$6="Da",$D401,$E401))</f>
        <v/>
      </c>
      <c r="H401" s="33" t="str">
        <f>IF(OR($A401="",$F401=""),"",IF(Comenzi!$D$6="Da",IFERROR($F401/(1+INDEX('Calculator Cost per Bucata'!$AC:$AC,ROW()+4)),""),$F401))</f>
        <v/>
      </c>
      <c r="I401" s="46" t="str">
        <f t="shared" si="18"/>
        <v/>
      </c>
      <c r="J401" s="47" t="str">
        <f t="shared" si="19"/>
        <v/>
      </c>
      <c r="K401" s="48" t="str">
        <f t="shared" si="20"/>
        <v/>
      </c>
    </row>
    <row r="402" spans="1:11" x14ac:dyDescent="0.3">
      <c r="A402" s="28" t="str">
        <f>IF(INDEX('Calculator Cost per Bucata'!$A:$A,ROW()+4)="","",INDEX('Calculator Cost per Bucata'!$A:$A,ROW()+4))</f>
        <v/>
      </c>
      <c r="B402" s="28" t="str">
        <f>IF($A402="","",INDEX('Calculator Cost per Bucata'!$C:$C,ROW()+4))</f>
        <v/>
      </c>
      <c r="C402" s="28" t="str">
        <f>IF($A402="","",INDEX('Calculator Cost per Bucata'!$D:$D,ROW()+4))</f>
        <v/>
      </c>
      <c r="D402" s="33" t="str">
        <f>IF(INDEX('Calculator Cost per Bucata'!$Y:$Y,ROW()+4)=1,INDEX('Calculator Cost per Bucata'!$P:$P,ROW()+4),"")</f>
        <v/>
      </c>
      <c r="E402" s="33" t="str">
        <f>IF(INDEX('Calculator Cost per Bucata'!$Y:$Y,ROW()+4)=1,INDEX('Calculator Cost per Bucata'!$S:$S,ROW()+4),"")</f>
        <v/>
      </c>
      <c r="F402" s="33" t="str">
        <f>IF($A402="","",IF(N(INDEX('PI Furnizor'!$L:$L,ROW()+1))&gt;0,INDEX('PI Furnizor'!$L:$L,ROW()+1),""))</f>
        <v/>
      </c>
      <c r="G402" s="33" t="str">
        <f>IF($A402="","",IF(Comenzi!$D$6="Da",$D402,$E402))</f>
        <v/>
      </c>
      <c r="H402" s="33" t="str">
        <f>IF(OR($A402="",$F402=""),"",IF(Comenzi!$D$6="Da",IFERROR($F402/(1+INDEX('Calculator Cost per Bucata'!$AC:$AC,ROW()+4)),""),$F402))</f>
        <v/>
      </c>
      <c r="I402" s="46" t="str">
        <f t="shared" si="18"/>
        <v/>
      </c>
      <c r="J402" s="47" t="str">
        <f t="shared" si="19"/>
        <v/>
      </c>
      <c r="K402" s="48" t="str">
        <f t="shared" si="20"/>
        <v/>
      </c>
    </row>
    <row r="403" spans="1:11" x14ac:dyDescent="0.3">
      <c r="A403" s="28" t="str">
        <f>IF(INDEX('Calculator Cost per Bucata'!$A:$A,ROW()+4)="","",INDEX('Calculator Cost per Bucata'!$A:$A,ROW()+4))</f>
        <v/>
      </c>
      <c r="B403" s="28" t="str">
        <f>IF($A403="","",INDEX('Calculator Cost per Bucata'!$C:$C,ROW()+4))</f>
        <v/>
      </c>
      <c r="C403" s="28" t="str">
        <f>IF($A403="","",INDEX('Calculator Cost per Bucata'!$D:$D,ROW()+4))</f>
        <v/>
      </c>
      <c r="D403" s="33" t="str">
        <f>IF(INDEX('Calculator Cost per Bucata'!$Y:$Y,ROW()+4)=1,INDEX('Calculator Cost per Bucata'!$P:$P,ROW()+4),"")</f>
        <v/>
      </c>
      <c r="E403" s="33" t="str">
        <f>IF(INDEX('Calculator Cost per Bucata'!$Y:$Y,ROW()+4)=1,INDEX('Calculator Cost per Bucata'!$S:$S,ROW()+4),"")</f>
        <v/>
      </c>
      <c r="F403" s="33" t="str">
        <f>IF($A403="","",IF(N(INDEX('PI Furnizor'!$L:$L,ROW()+1))&gt;0,INDEX('PI Furnizor'!$L:$L,ROW()+1),""))</f>
        <v/>
      </c>
      <c r="G403" s="33" t="str">
        <f>IF($A403="","",IF(Comenzi!$D$6="Da",$D403,$E403))</f>
        <v/>
      </c>
      <c r="H403" s="33" t="str">
        <f>IF(OR($A403="",$F403=""),"",IF(Comenzi!$D$6="Da",IFERROR($F403/(1+INDEX('Calculator Cost per Bucata'!$AC:$AC,ROW()+4)),""),$F403))</f>
        <v/>
      </c>
      <c r="I403" s="46" t="str">
        <f t="shared" si="18"/>
        <v/>
      </c>
      <c r="J403" s="47" t="str">
        <f t="shared" si="19"/>
        <v/>
      </c>
      <c r="K403" s="48" t="str">
        <f t="shared" si="20"/>
        <v/>
      </c>
    </row>
    <row r="404" spans="1:11" x14ac:dyDescent="0.3">
      <c r="A404" s="28" t="str">
        <f>IF(INDEX('Calculator Cost per Bucata'!$A:$A,ROW()+4)="","",INDEX('Calculator Cost per Bucata'!$A:$A,ROW()+4))</f>
        <v/>
      </c>
      <c r="B404" s="28" t="str">
        <f>IF($A404="","",INDEX('Calculator Cost per Bucata'!$C:$C,ROW()+4))</f>
        <v/>
      </c>
      <c r="C404" s="28" t="str">
        <f>IF($A404="","",INDEX('Calculator Cost per Bucata'!$D:$D,ROW()+4))</f>
        <v/>
      </c>
      <c r="D404" s="33" t="str">
        <f>IF(INDEX('Calculator Cost per Bucata'!$Y:$Y,ROW()+4)=1,INDEX('Calculator Cost per Bucata'!$P:$P,ROW()+4),"")</f>
        <v/>
      </c>
      <c r="E404" s="33" t="str">
        <f>IF(INDEX('Calculator Cost per Bucata'!$Y:$Y,ROW()+4)=1,INDEX('Calculator Cost per Bucata'!$S:$S,ROW()+4),"")</f>
        <v/>
      </c>
      <c r="F404" s="33" t="str">
        <f>IF($A404="","",IF(N(INDEX('PI Furnizor'!$L:$L,ROW()+1))&gt;0,INDEX('PI Furnizor'!$L:$L,ROW()+1),""))</f>
        <v/>
      </c>
      <c r="G404" s="33" t="str">
        <f>IF($A404="","",IF(Comenzi!$D$6="Da",$D404,$E404))</f>
        <v/>
      </c>
      <c r="H404" s="33" t="str">
        <f>IF(OR($A404="",$F404=""),"",IF(Comenzi!$D$6="Da",IFERROR($F404/(1+INDEX('Calculator Cost per Bucata'!$AC:$AC,ROW()+4)),""),$F404))</f>
        <v/>
      </c>
      <c r="I404" s="46" t="str">
        <f t="shared" si="18"/>
        <v/>
      </c>
      <c r="J404" s="47" t="str">
        <f t="shared" si="19"/>
        <v/>
      </c>
      <c r="K404" s="48" t="str">
        <f t="shared" si="20"/>
        <v/>
      </c>
    </row>
    <row r="405" spans="1:11" x14ac:dyDescent="0.3">
      <c r="A405" s="28" t="str">
        <f>IF(INDEX('Calculator Cost per Bucata'!$A:$A,ROW()+4)="","",INDEX('Calculator Cost per Bucata'!$A:$A,ROW()+4))</f>
        <v/>
      </c>
      <c r="B405" s="28" t="str">
        <f>IF($A405="","",INDEX('Calculator Cost per Bucata'!$C:$C,ROW()+4))</f>
        <v/>
      </c>
      <c r="C405" s="28" t="str">
        <f>IF($A405="","",INDEX('Calculator Cost per Bucata'!$D:$D,ROW()+4))</f>
        <v/>
      </c>
      <c r="D405" s="33" t="str">
        <f>IF(INDEX('Calculator Cost per Bucata'!$Y:$Y,ROW()+4)=1,INDEX('Calculator Cost per Bucata'!$P:$P,ROW()+4),"")</f>
        <v/>
      </c>
      <c r="E405" s="33" t="str">
        <f>IF(INDEX('Calculator Cost per Bucata'!$Y:$Y,ROW()+4)=1,INDEX('Calculator Cost per Bucata'!$S:$S,ROW()+4),"")</f>
        <v/>
      </c>
      <c r="F405" s="33" t="str">
        <f>IF($A405="","",IF(N(INDEX('PI Furnizor'!$L:$L,ROW()+1))&gt;0,INDEX('PI Furnizor'!$L:$L,ROW()+1),""))</f>
        <v/>
      </c>
      <c r="G405" s="33" t="str">
        <f>IF($A405="","",IF(Comenzi!$D$6="Da",$D405,$E405))</f>
        <v/>
      </c>
      <c r="H405" s="33" t="str">
        <f>IF(OR($A405="",$F405=""),"",IF(Comenzi!$D$6="Da",IFERROR($F405/(1+INDEX('Calculator Cost per Bucata'!$AC:$AC,ROW()+4)),""),$F405))</f>
        <v/>
      </c>
      <c r="I405" s="46" t="str">
        <f t="shared" si="18"/>
        <v/>
      </c>
      <c r="J405" s="47" t="str">
        <f t="shared" si="19"/>
        <v/>
      </c>
      <c r="K405" s="48" t="str">
        <f t="shared" si="20"/>
        <v/>
      </c>
    </row>
    <row r="406" spans="1:11" x14ac:dyDescent="0.3">
      <c r="A406" s="28" t="str">
        <f>IF(INDEX('Calculator Cost per Bucata'!$A:$A,ROW()+4)="","",INDEX('Calculator Cost per Bucata'!$A:$A,ROW()+4))</f>
        <v/>
      </c>
      <c r="B406" s="28" t="str">
        <f>IF($A406="","",INDEX('Calculator Cost per Bucata'!$C:$C,ROW()+4))</f>
        <v/>
      </c>
      <c r="C406" s="28" t="str">
        <f>IF($A406="","",INDEX('Calculator Cost per Bucata'!$D:$D,ROW()+4))</f>
        <v/>
      </c>
      <c r="D406" s="33" t="str">
        <f>IF(INDEX('Calculator Cost per Bucata'!$Y:$Y,ROW()+4)=1,INDEX('Calculator Cost per Bucata'!$P:$P,ROW()+4),"")</f>
        <v/>
      </c>
      <c r="E406" s="33" t="str">
        <f>IF(INDEX('Calculator Cost per Bucata'!$Y:$Y,ROW()+4)=1,INDEX('Calculator Cost per Bucata'!$S:$S,ROW()+4),"")</f>
        <v/>
      </c>
      <c r="F406" s="33" t="str">
        <f>IF($A406="","",IF(N(INDEX('PI Furnizor'!$L:$L,ROW()+1))&gt;0,INDEX('PI Furnizor'!$L:$L,ROW()+1),""))</f>
        <v/>
      </c>
      <c r="G406" s="33" t="str">
        <f>IF($A406="","",IF(Comenzi!$D$6="Da",$D406,$E406))</f>
        <v/>
      </c>
      <c r="H406" s="33" t="str">
        <f>IF(OR($A406="",$F406=""),"",IF(Comenzi!$D$6="Da",IFERROR($F406/(1+INDEX('Calculator Cost per Bucata'!$AC:$AC,ROW()+4)),""),$F406))</f>
        <v/>
      </c>
      <c r="I406" s="46" t="str">
        <f t="shared" si="18"/>
        <v/>
      </c>
      <c r="J406" s="47" t="str">
        <f t="shared" si="19"/>
        <v/>
      </c>
      <c r="K406" s="48" t="str">
        <f t="shared" si="20"/>
        <v/>
      </c>
    </row>
    <row r="407" spans="1:11" x14ac:dyDescent="0.3">
      <c r="A407" s="28" t="str">
        <f>IF(INDEX('Calculator Cost per Bucata'!$A:$A,ROW()+4)="","",INDEX('Calculator Cost per Bucata'!$A:$A,ROW()+4))</f>
        <v/>
      </c>
      <c r="B407" s="28" t="str">
        <f>IF($A407="","",INDEX('Calculator Cost per Bucata'!$C:$C,ROW()+4))</f>
        <v/>
      </c>
      <c r="C407" s="28" t="str">
        <f>IF($A407="","",INDEX('Calculator Cost per Bucata'!$D:$D,ROW()+4))</f>
        <v/>
      </c>
      <c r="D407" s="33" t="str">
        <f>IF(INDEX('Calculator Cost per Bucata'!$Y:$Y,ROW()+4)=1,INDEX('Calculator Cost per Bucata'!$P:$P,ROW()+4),"")</f>
        <v/>
      </c>
      <c r="E407" s="33" t="str">
        <f>IF(INDEX('Calculator Cost per Bucata'!$Y:$Y,ROW()+4)=1,INDEX('Calculator Cost per Bucata'!$S:$S,ROW()+4),"")</f>
        <v/>
      </c>
      <c r="F407" s="33" t="str">
        <f>IF($A407="","",IF(N(INDEX('PI Furnizor'!$L:$L,ROW()+1))&gt;0,INDEX('PI Furnizor'!$L:$L,ROW()+1),""))</f>
        <v/>
      </c>
      <c r="G407" s="33" t="str">
        <f>IF($A407="","",IF(Comenzi!$D$6="Da",$D407,$E407))</f>
        <v/>
      </c>
      <c r="H407" s="33" t="str">
        <f>IF(OR($A407="",$F407=""),"",IF(Comenzi!$D$6="Da",IFERROR($F407/(1+INDEX('Calculator Cost per Bucata'!$AC:$AC,ROW()+4)),""),$F407))</f>
        <v/>
      </c>
      <c r="I407" s="46" t="str">
        <f t="shared" si="18"/>
        <v/>
      </c>
      <c r="J407" s="47" t="str">
        <f t="shared" si="19"/>
        <v/>
      </c>
      <c r="K407" s="48" t="str">
        <f t="shared" si="20"/>
        <v/>
      </c>
    </row>
    <row r="408" spans="1:11" x14ac:dyDescent="0.3">
      <c r="A408" s="28" t="str">
        <f>IF(INDEX('Calculator Cost per Bucata'!$A:$A,ROW()+4)="","",INDEX('Calculator Cost per Bucata'!$A:$A,ROW()+4))</f>
        <v/>
      </c>
      <c r="B408" s="28" t="str">
        <f>IF($A408="","",INDEX('Calculator Cost per Bucata'!$C:$C,ROW()+4))</f>
        <v/>
      </c>
      <c r="C408" s="28" t="str">
        <f>IF($A408="","",INDEX('Calculator Cost per Bucata'!$D:$D,ROW()+4))</f>
        <v/>
      </c>
      <c r="D408" s="33" t="str">
        <f>IF(INDEX('Calculator Cost per Bucata'!$Y:$Y,ROW()+4)=1,INDEX('Calculator Cost per Bucata'!$P:$P,ROW()+4),"")</f>
        <v/>
      </c>
      <c r="E408" s="33" t="str">
        <f>IF(INDEX('Calculator Cost per Bucata'!$Y:$Y,ROW()+4)=1,INDEX('Calculator Cost per Bucata'!$S:$S,ROW()+4),"")</f>
        <v/>
      </c>
      <c r="F408" s="33" t="str">
        <f>IF($A408="","",IF(N(INDEX('PI Furnizor'!$L:$L,ROW()+1))&gt;0,INDEX('PI Furnizor'!$L:$L,ROW()+1),""))</f>
        <v/>
      </c>
      <c r="G408" s="33" t="str">
        <f>IF($A408="","",IF(Comenzi!$D$6="Da",$D408,$E408))</f>
        <v/>
      </c>
      <c r="H408" s="33" t="str">
        <f>IF(OR($A408="",$F408=""),"",IF(Comenzi!$D$6="Da",IFERROR($F408/(1+INDEX('Calculator Cost per Bucata'!$AC:$AC,ROW()+4)),""),$F408))</f>
        <v/>
      </c>
      <c r="I408" s="46" t="str">
        <f t="shared" si="18"/>
        <v/>
      </c>
      <c r="J408" s="47" t="str">
        <f t="shared" si="19"/>
        <v/>
      </c>
      <c r="K408" s="48" t="str">
        <f t="shared" si="20"/>
        <v/>
      </c>
    </row>
    <row r="409" spans="1:11" x14ac:dyDescent="0.3">
      <c r="A409" s="28" t="str">
        <f>IF(INDEX('Calculator Cost per Bucata'!$A:$A,ROW()+4)="","",INDEX('Calculator Cost per Bucata'!$A:$A,ROW()+4))</f>
        <v/>
      </c>
      <c r="B409" s="28" t="str">
        <f>IF($A409="","",INDEX('Calculator Cost per Bucata'!$C:$C,ROW()+4))</f>
        <v/>
      </c>
      <c r="C409" s="28" t="str">
        <f>IF($A409="","",INDEX('Calculator Cost per Bucata'!$D:$D,ROW()+4))</f>
        <v/>
      </c>
      <c r="D409" s="33" t="str">
        <f>IF(INDEX('Calculator Cost per Bucata'!$Y:$Y,ROW()+4)=1,INDEX('Calculator Cost per Bucata'!$P:$P,ROW()+4),"")</f>
        <v/>
      </c>
      <c r="E409" s="33" t="str">
        <f>IF(INDEX('Calculator Cost per Bucata'!$Y:$Y,ROW()+4)=1,INDEX('Calculator Cost per Bucata'!$S:$S,ROW()+4),"")</f>
        <v/>
      </c>
      <c r="F409" s="33" t="str">
        <f>IF($A409="","",IF(N(INDEX('PI Furnizor'!$L:$L,ROW()+1))&gt;0,INDEX('PI Furnizor'!$L:$L,ROW()+1),""))</f>
        <v/>
      </c>
      <c r="G409" s="33" t="str">
        <f>IF($A409="","",IF(Comenzi!$D$6="Da",$D409,$E409))</f>
        <v/>
      </c>
      <c r="H409" s="33" t="str">
        <f>IF(OR($A409="",$F409=""),"",IF(Comenzi!$D$6="Da",IFERROR($F409/(1+INDEX('Calculator Cost per Bucata'!$AC:$AC,ROW()+4)),""),$F409))</f>
        <v/>
      </c>
      <c r="I409" s="46" t="str">
        <f t="shared" si="18"/>
        <v/>
      </c>
      <c r="J409" s="47" t="str">
        <f t="shared" si="19"/>
        <v/>
      </c>
      <c r="K409" s="48" t="str">
        <f t="shared" si="20"/>
        <v/>
      </c>
    </row>
    <row r="410" spans="1:11" x14ac:dyDescent="0.3">
      <c r="A410" s="28" t="str">
        <f>IF(INDEX('Calculator Cost per Bucata'!$A:$A,ROW()+4)="","",INDEX('Calculator Cost per Bucata'!$A:$A,ROW()+4))</f>
        <v/>
      </c>
      <c r="B410" s="28" t="str">
        <f>IF($A410="","",INDEX('Calculator Cost per Bucata'!$C:$C,ROW()+4))</f>
        <v/>
      </c>
      <c r="C410" s="28" t="str">
        <f>IF($A410="","",INDEX('Calculator Cost per Bucata'!$D:$D,ROW()+4))</f>
        <v/>
      </c>
      <c r="D410" s="33" t="str">
        <f>IF(INDEX('Calculator Cost per Bucata'!$Y:$Y,ROW()+4)=1,INDEX('Calculator Cost per Bucata'!$P:$P,ROW()+4),"")</f>
        <v/>
      </c>
      <c r="E410" s="33" t="str">
        <f>IF(INDEX('Calculator Cost per Bucata'!$Y:$Y,ROW()+4)=1,INDEX('Calculator Cost per Bucata'!$S:$S,ROW()+4),"")</f>
        <v/>
      </c>
      <c r="F410" s="33" t="str">
        <f>IF($A410="","",IF(N(INDEX('PI Furnizor'!$L:$L,ROW()+1))&gt;0,INDEX('PI Furnizor'!$L:$L,ROW()+1),""))</f>
        <v/>
      </c>
      <c r="G410" s="33" t="str">
        <f>IF($A410="","",IF(Comenzi!$D$6="Da",$D410,$E410))</f>
        <v/>
      </c>
      <c r="H410" s="33" t="str">
        <f>IF(OR($A410="",$F410=""),"",IF(Comenzi!$D$6="Da",IFERROR($F410/(1+INDEX('Calculator Cost per Bucata'!$AC:$AC,ROW()+4)),""),$F410))</f>
        <v/>
      </c>
      <c r="I410" s="46" t="str">
        <f t="shared" si="18"/>
        <v/>
      </c>
      <c r="J410" s="47" t="str">
        <f t="shared" si="19"/>
        <v/>
      </c>
      <c r="K410" s="48" t="str">
        <f t="shared" si="20"/>
        <v/>
      </c>
    </row>
    <row r="411" spans="1:11" x14ac:dyDescent="0.3">
      <c r="A411" s="28" t="str">
        <f>IF(INDEX('Calculator Cost per Bucata'!$A:$A,ROW()+4)="","",INDEX('Calculator Cost per Bucata'!$A:$A,ROW()+4))</f>
        <v/>
      </c>
      <c r="B411" s="28" t="str">
        <f>IF($A411="","",INDEX('Calculator Cost per Bucata'!$C:$C,ROW()+4))</f>
        <v/>
      </c>
      <c r="C411" s="28" t="str">
        <f>IF($A411="","",INDEX('Calculator Cost per Bucata'!$D:$D,ROW()+4))</f>
        <v/>
      </c>
      <c r="D411" s="33" t="str">
        <f>IF(INDEX('Calculator Cost per Bucata'!$Y:$Y,ROW()+4)=1,INDEX('Calculator Cost per Bucata'!$P:$P,ROW()+4),"")</f>
        <v/>
      </c>
      <c r="E411" s="33" t="str">
        <f>IF(INDEX('Calculator Cost per Bucata'!$Y:$Y,ROW()+4)=1,INDEX('Calculator Cost per Bucata'!$S:$S,ROW()+4),"")</f>
        <v/>
      </c>
      <c r="F411" s="33" t="str">
        <f>IF($A411="","",IF(N(INDEX('PI Furnizor'!$L:$L,ROW()+1))&gt;0,INDEX('PI Furnizor'!$L:$L,ROW()+1),""))</f>
        <v/>
      </c>
      <c r="G411" s="33" t="str">
        <f>IF($A411="","",IF(Comenzi!$D$6="Da",$D411,$E411))</f>
        <v/>
      </c>
      <c r="H411" s="33" t="str">
        <f>IF(OR($A411="",$F411=""),"",IF(Comenzi!$D$6="Da",IFERROR($F411/(1+INDEX('Calculator Cost per Bucata'!$AC:$AC,ROW()+4)),""),$F411))</f>
        <v/>
      </c>
      <c r="I411" s="46" t="str">
        <f t="shared" si="18"/>
        <v/>
      </c>
      <c r="J411" s="47" t="str">
        <f t="shared" si="19"/>
        <v/>
      </c>
      <c r="K411" s="48" t="str">
        <f t="shared" si="20"/>
        <v/>
      </c>
    </row>
    <row r="412" spans="1:11" x14ac:dyDescent="0.3">
      <c r="A412" s="28" t="str">
        <f>IF(INDEX('Calculator Cost per Bucata'!$A:$A,ROW()+4)="","",INDEX('Calculator Cost per Bucata'!$A:$A,ROW()+4))</f>
        <v/>
      </c>
      <c r="B412" s="28" t="str">
        <f>IF($A412="","",INDEX('Calculator Cost per Bucata'!$C:$C,ROW()+4))</f>
        <v/>
      </c>
      <c r="C412" s="28" t="str">
        <f>IF($A412="","",INDEX('Calculator Cost per Bucata'!$D:$D,ROW()+4))</f>
        <v/>
      </c>
      <c r="D412" s="33" t="str">
        <f>IF(INDEX('Calculator Cost per Bucata'!$Y:$Y,ROW()+4)=1,INDEX('Calculator Cost per Bucata'!$P:$P,ROW()+4),"")</f>
        <v/>
      </c>
      <c r="E412" s="33" t="str">
        <f>IF(INDEX('Calculator Cost per Bucata'!$Y:$Y,ROW()+4)=1,INDEX('Calculator Cost per Bucata'!$S:$S,ROW()+4),"")</f>
        <v/>
      </c>
      <c r="F412" s="33" t="str">
        <f>IF($A412="","",IF(N(INDEX('PI Furnizor'!$L:$L,ROW()+1))&gt;0,INDEX('PI Furnizor'!$L:$L,ROW()+1),""))</f>
        <v/>
      </c>
      <c r="G412" s="33" t="str">
        <f>IF($A412="","",IF(Comenzi!$D$6="Da",$D412,$E412))</f>
        <v/>
      </c>
      <c r="H412" s="33" t="str">
        <f>IF(OR($A412="",$F412=""),"",IF(Comenzi!$D$6="Da",IFERROR($F412/(1+INDEX('Calculator Cost per Bucata'!$AC:$AC,ROW()+4)),""),$F412))</f>
        <v/>
      </c>
      <c r="I412" s="46" t="str">
        <f t="shared" si="18"/>
        <v/>
      </c>
      <c r="J412" s="47" t="str">
        <f t="shared" si="19"/>
        <v/>
      </c>
      <c r="K412" s="48" t="str">
        <f t="shared" si="20"/>
        <v/>
      </c>
    </row>
    <row r="413" spans="1:11" x14ac:dyDescent="0.3">
      <c r="A413" s="28" t="str">
        <f>IF(INDEX('Calculator Cost per Bucata'!$A:$A,ROW()+4)="","",INDEX('Calculator Cost per Bucata'!$A:$A,ROW()+4))</f>
        <v/>
      </c>
      <c r="B413" s="28" t="str">
        <f>IF($A413="","",INDEX('Calculator Cost per Bucata'!$C:$C,ROW()+4))</f>
        <v/>
      </c>
      <c r="C413" s="28" t="str">
        <f>IF($A413="","",INDEX('Calculator Cost per Bucata'!$D:$D,ROW()+4))</f>
        <v/>
      </c>
      <c r="D413" s="33" t="str">
        <f>IF(INDEX('Calculator Cost per Bucata'!$Y:$Y,ROW()+4)=1,INDEX('Calculator Cost per Bucata'!$P:$P,ROW()+4),"")</f>
        <v/>
      </c>
      <c r="E413" s="33" t="str">
        <f>IF(INDEX('Calculator Cost per Bucata'!$Y:$Y,ROW()+4)=1,INDEX('Calculator Cost per Bucata'!$S:$S,ROW()+4),"")</f>
        <v/>
      </c>
      <c r="F413" s="33" t="str">
        <f>IF($A413="","",IF(N(INDEX('PI Furnizor'!$L:$L,ROW()+1))&gt;0,INDEX('PI Furnizor'!$L:$L,ROW()+1),""))</f>
        <v/>
      </c>
      <c r="G413" s="33" t="str">
        <f>IF($A413="","",IF(Comenzi!$D$6="Da",$D413,$E413))</f>
        <v/>
      </c>
      <c r="H413" s="33" t="str">
        <f>IF(OR($A413="",$F413=""),"",IF(Comenzi!$D$6="Da",IFERROR($F413/(1+INDEX('Calculator Cost per Bucata'!$AC:$AC,ROW()+4)),""),$F413))</f>
        <v/>
      </c>
      <c r="I413" s="46" t="str">
        <f t="shared" si="18"/>
        <v/>
      </c>
      <c r="J413" s="47" t="str">
        <f t="shared" si="19"/>
        <v/>
      </c>
      <c r="K413" s="48" t="str">
        <f t="shared" si="20"/>
        <v/>
      </c>
    </row>
    <row r="414" spans="1:11" x14ac:dyDescent="0.3">
      <c r="A414" s="28" t="str">
        <f>IF(INDEX('Calculator Cost per Bucata'!$A:$A,ROW()+4)="","",INDEX('Calculator Cost per Bucata'!$A:$A,ROW()+4))</f>
        <v/>
      </c>
      <c r="B414" s="28" t="str">
        <f>IF($A414="","",INDEX('Calculator Cost per Bucata'!$C:$C,ROW()+4))</f>
        <v/>
      </c>
      <c r="C414" s="28" t="str">
        <f>IF($A414="","",INDEX('Calculator Cost per Bucata'!$D:$D,ROW()+4))</f>
        <v/>
      </c>
      <c r="D414" s="33" t="str">
        <f>IF(INDEX('Calculator Cost per Bucata'!$Y:$Y,ROW()+4)=1,INDEX('Calculator Cost per Bucata'!$P:$P,ROW()+4),"")</f>
        <v/>
      </c>
      <c r="E414" s="33" t="str">
        <f>IF(INDEX('Calculator Cost per Bucata'!$Y:$Y,ROW()+4)=1,INDEX('Calculator Cost per Bucata'!$S:$S,ROW()+4),"")</f>
        <v/>
      </c>
      <c r="F414" s="33" t="str">
        <f>IF($A414="","",IF(N(INDEX('PI Furnizor'!$L:$L,ROW()+1))&gt;0,INDEX('PI Furnizor'!$L:$L,ROW()+1),""))</f>
        <v/>
      </c>
      <c r="G414" s="33" t="str">
        <f>IF($A414="","",IF(Comenzi!$D$6="Da",$D414,$E414))</f>
        <v/>
      </c>
      <c r="H414" s="33" t="str">
        <f>IF(OR($A414="",$F414=""),"",IF(Comenzi!$D$6="Da",IFERROR($F414/(1+INDEX('Calculator Cost per Bucata'!$AC:$AC,ROW()+4)),""),$F414))</f>
        <v/>
      </c>
      <c r="I414" s="46" t="str">
        <f t="shared" si="18"/>
        <v/>
      </c>
      <c r="J414" s="47" t="str">
        <f t="shared" si="19"/>
        <v/>
      </c>
      <c r="K414" s="48" t="str">
        <f t="shared" si="20"/>
        <v/>
      </c>
    </row>
    <row r="415" spans="1:11" x14ac:dyDescent="0.3">
      <c r="A415" s="28" t="str">
        <f>IF(INDEX('Calculator Cost per Bucata'!$A:$A,ROW()+4)="","",INDEX('Calculator Cost per Bucata'!$A:$A,ROW()+4))</f>
        <v/>
      </c>
      <c r="B415" s="28" t="str">
        <f>IF($A415="","",INDEX('Calculator Cost per Bucata'!$C:$C,ROW()+4))</f>
        <v/>
      </c>
      <c r="C415" s="28" t="str">
        <f>IF($A415="","",INDEX('Calculator Cost per Bucata'!$D:$D,ROW()+4))</f>
        <v/>
      </c>
      <c r="D415" s="33" t="str">
        <f>IF(INDEX('Calculator Cost per Bucata'!$Y:$Y,ROW()+4)=1,INDEX('Calculator Cost per Bucata'!$P:$P,ROW()+4),"")</f>
        <v/>
      </c>
      <c r="E415" s="33" t="str">
        <f>IF(INDEX('Calculator Cost per Bucata'!$Y:$Y,ROW()+4)=1,INDEX('Calculator Cost per Bucata'!$S:$S,ROW()+4),"")</f>
        <v/>
      </c>
      <c r="F415" s="33" t="str">
        <f>IF($A415="","",IF(N(INDEX('PI Furnizor'!$L:$L,ROW()+1))&gt;0,INDEX('PI Furnizor'!$L:$L,ROW()+1),""))</f>
        <v/>
      </c>
      <c r="G415" s="33" t="str">
        <f>IF($A415="","",IF(Comenzi!$D$6="Da",$D415,$E415))</f>
        <v/>
      </c>
      <c r="H415" s="33" t="str">
        <f>IF(OR($A415="",$F415=""),"",IF(Comenzi!$D$6="Da",IFERROR($F415/(1+INDEX('Calculator Cost per Bucata'!$AC:$AC,ROW()+4)),""),$F415))</f>
        <v/>
      </c>
      <c r="I415" s="46" t="str">
        <f t="shared" si="18"/>
        <v/>
      </c>
      <c r="J415" s="47" t="str">
        <f t="shared" si="19"/>
        <v/>
      </c>
      <c r="K415" s="48" t="str">
        <f t="shared" si="20"/>
        <v/>
      </c>
    </row>
    <row r="416" spans="1:11" x14ac:dyDescent="0.3">
      <c r="A416" s="28" t="str">
        <f>IF(INDEX('Calculator Cost per Bucata'!$A:$A,ROW()+4)="","",INDEX('Calculator Cost per Bucata'!$A:$A,ROW()+4))</f>
        <v/>
      </c>
      <c r="B416" s="28" t="str">
        <f>IF($A416="","",INDEX('Calculator Cost per Bucata'!$C:$C,ROW()+4))</f>
        <v/>
      </c>
      <c r="C416" s="28" t="str">
        <f>IF($A416="","",INDEX('Calculator Cost per Bucata'!$D:$D,ROW()+4))</f>
        <v/>
      </c>
      <c r="D416" s="33" t="str">
        <f>IF(INDEX('Calculator Cost per Bucata'!$Y:$Y,ROW()+4)=1,INDEX('Calculator Cost per Bucata'!$P:$P,ROW()+4),"")</f>
        <v/>
      </c>
      <c r="E416" s="33" t="str">
        <f>IF(INDEX('Calculator Cost per Bucata'!$Y:$Y,ROW()+4)=1,INDEX('Calculator Cost per Bucata'!$S:$S,ROW()+4),"")</f>
        <v/>
      </c>
      <c r="F416" s="33" t="str">
        <f>IF($A416="","",IF(N(INDEX('PI Furnizor'!$L:$L,ROW()+1))&gt;0,INDEX('PI Furnizor'!$L:$L,ROW()+1),""))</f>
        <v/>
      </c>
      <c r="G416" s="33" t="str">
        <f>IF($A416="","",IF(Comenzi!$D$6="Da",$D416,$E416))</f>
        <v/>
      </c>
      <c r="H416" s="33" t="str">
        <f>IF(OR($A416="",$F416=""),"",IF(Comenzi!$D$6="Da",IFERROR($F416/(1+INDEX('Calculator Cost per Bucata'!$AC:$AC,ROW()+4)),""),$F416))</f>
        <v/>
      </c>
      <c r="I416" s="46" t="str">
        <f t="shared" si="18"/>
        <v/>
      </c>
      <c r="J416" s="47" t="str">
        <f t="shared" si="19"/>
        <v/>
      </c>
      <c r="K416" s="48" t="str">
        <f t="shared" si="20"/>
        <v/>
      </c>
    </row>
    <row r="417" spans="1:11" x14ac:dyDescent="0.3">
      <c r="A417" s="28" t="str">
        <f>IF(INDEX('Calculator Cost per Bucata'!$A:$A,ROW()+4)="","",INDEX('Calculator Cost per Bucata'!$A:$A,ROW()+4))</f>
        <v/>
      </c>
      <c r="B417" s="28" t="str">
        <f>IF($A417="","",INDEX('Calculator Cost per Bucata'!$C:$C,ROW()+4))</f>
        <v/>
      </c>
      <c r="C417" s="28" t="str">
        <f>IF($A417="","",INDEX('Calculator Cost per Bucata'!$D:$D,ROW()+4))</f>
        <v/>
      </c>
      <c r="D417" s="33" t="str">
        <f>IF(INDEX('Calculator Cost per Bucata'!$Y:$Y,ROW()+4)=1,INDEX('Calculator Cost per Bucata'!$P:$P,ROW()+4),"")</f>
        <v/>
      </c>
      <c r="E417" s="33" t="str">
        <f>IF(INDEX('Calculator Cost per Bucata'!$Y:$Y,ROW()+4)=1,INDEX('Calculator Cost per Bucata'!$S:$S,ROW()+4),"")</f>
        <v/>
      </c>
      <c r="F417" s="33" t="str">
        <f>IF($A417="","",IF(N(INDEX('PI Furnizor'!$L:$L,ROW()+1))&gt;0,INDEX('PI Furnizor'!$L:$L,ROW()+1),""))</f>
        <v/>
      </c>
      <c r="G417" s="33" t="str">
        <f>IF($A417="","",IF(Comenzi!$D$6="Da",$D417,$E417))</f>
        <v/>
      </c>
      <c r="H417" s="33" t="str">
        <f>IF(OR($A417="",$F417=""),"",IF(Comenzi!$D$6="Da",IFERROR($F417/(1+INDEX('Calculator Cost per Bucata'!$AC:$AC,ROW()+4)),""),$F417))</f>
        <v/>
      </c>
      <c r="I417" s="46" t="str">
        <f t="shared" si="18"/>
        <v/>
      </c>
      <c r="J417" s="47" t="str">
        <f t="shared" si="19"/>
        <v/>
      </c>
      <c r="K417" s="48" t="str">
        <f t="shared" si="20"/>
        <v/>
      </c>
    </row>
    <row r="418" spans="1:11" x14ac:dyDescent="0.3">
      <c r="A418" s="28" t="str">
        <f>IF(INDEX('Calculator Cost per Bucata'!$A:$A,ROW()+4)="","",INDEX('Calculator Cost per Bucata'!$A:$A,ROW()+4))</f>
        <v/>
      </c>
      <c r="B418" s="28" t="str">
        <f>IF($A418="","",INDEX('Calculator Cost per Bucata'!$C:$C,ROW()+4))</f>
        <v/>
      </c>
      <c r="C418" s="28" t="str">
        <f>IF($A418="","",INDEX('Calculator Cost per Bucata'!$D:$D,ROW()+4))</f>
        <v/>
      </c>
      <c r="D418" s="33" t="str">
        <f>IF(INDEX('Calculator Cost per Bucata'!$Y:$Y,ROW()+4)=1,INDEX('Calculator Cost per Bucata'!$P:$P,ROW()+4),"")</f>
        <v/>
      </c>
      <c r="E418" s="33" t="str">
        <f>IF(INDEX('Calculator Cost per Bucata'!$Y:$Y,ROW()+4)=1,INDEX('Calculator Cost per Bucata'!$S:$S,ROW()+4),"")</f>
        <v/>
      </c>
      <c r="F418" s="33" t="str">
        <f>IF($A418="","",IF(N(INDEX('PI Furnizor'!$L:$L,ROW()+1))&gt;0,INDEX('PI Furnizor'!$L:$L,ROW()+1),""))</f>
        <v/>
      </c>
      <c r="G418" s="33" t="str">
        <f>IF($A418="","",IF(Comenzi!$D$6="Da",$D418,$E418))</f>
        <v/>
      </c>
      <c r="H418" s="33" t="str">
        <f>IF(OR($A418="",$F418=""),"",IF(Comenzi!$D$6="Da",IFERROR($F418/(1+INDEX('Calculator Cost per Bucata'!$AC:$AC,ROW()+4)),""),$F418))</f>
        <v/>
      </c>
      <c r="I418" s="46" t="str">
        <f t="shared" si="18"/>
        <v/>
      </c>
      <c r="J418" s="47" t="str">
        <f t="shared" si="19"/>
        <v/>
      </c>
      <c r="K418" s="48" t="str">
        <f t="shared" si="20"/>
        <v/>
      </c>
    </row>
    <row r="419" spans="1:11" x14ac:dyDescent="0.3">
      <c r="A419" s="28" t="str">
        <f>IF(INDEX('Calculator Cost per Bucata'!$A:$A,ROW()+4)="","",INDEX('Calculator Cost per Bucata'!$A:$A,ROW()+4))</f>
        <v/>
      </c>
      <c r="B419" s="28" t="str">
        <f>IF($A419="","",INDEX('Calculator Cost per Bucata'!$C:$C,ROW()+4))</f>
        <v/>
      </c>
      <c r="C419" s="28" t="str">
        <f>IF($A419="","",INDEX('Calculator Cost per Bucata'!$D:$D,ROW()+4))</f>
        <v/>
      </c>
      <c r="D419" s="33" t="str">
        <f>IF(INDEX('Calculator Cost per Bucata'!$Y:$Y,ROW()+4)=1,INDEX('Calculator Cost per Bucata'!$P:$P,ROW()+4),"")</f>
        <v/>
      </c>
      <c r="E419" s="33" t="str">
        <f>IF(INDEX('Calculator Cost per Bucata'!$Y:$Y,ROW()+4)=1,INDEX('Calculator Cost per Bucata'!$S:$S,ROW()+4),"")</f>
        <v/>
      </c>
      <c r="F419" s="33" t="str">
        <f>IF($A419="","",IF(N(INDEX('PI Furnizor'!$L:$L,ROW()+1))&gt;0,INDEX('PI Furnizor'!$L:$L,ROW()+1),""))</f>
        <v/>
      </c>
      <c r="G419" s="33" t="str">
        <f>IF($A419="","",IF(Comenzi!$D$6="Da",$D419,$E419))</f>
        <v/>
      </c>
      <c r="H419" s="33" t="str">
        <f>IF(OR($A419="",$F419=""),"",IF(Comenzi!$D$6="Da",IFERROR($F419/(1+INDEX('Calculator Cost per Bucata'!$AC:$AC,ROW()+4)),""),$F419))</f>
        <v/>
      </c>
      <c r="I419" s="46" t="str">
        <f t="shared" si="18"/>
        <v/>
      </c>
      <c r="J419" s="47" t="str">
        <f t="shared" si="19"/>
        <v/>
      </c>
      <c r="K419" s="48" t="str">
        <f t="shared" si="20"/>
        <v/>
      </c>
    </row>
    <row r="420" spans="1:11" x14ac:dyDescent="0.3">
      <c r="A420" s="28" t="str">
        <f>IF(INDEX('Calculator Cost per Bucata'!$A:$A,ROW()+4)="","",INDEX('Calculator Cost per Bucata'!$A:$A,ROW()+4))</f>
        <v/>
      </c>
      <c r="B420" s="28" t="str">
        <f>IF($A420="","",INDEX('Calculator Cost per Bucata'!$C:$C,ROW()+4))</f>
        <v/>
      </c>
      <c r="C420" s="28" t="str">
        <f>IF($A420="","",INDEX('Calculator Cost per Bucata'!$D:$D,ROW()+4))</f>
        <v/>
      </c>
      <c r="D420" s="33" t="str">
        <f>IF(INDEX('Calculator Cost per Bucata'!$Y:$Y,ROW()+4)=1,INDEX('Calculator Cost per Bucata'!$P:$P,ROW()+4),"")</f>
        <v/>
      </c>
      <c r="E420" s="33" t="str">
        <f>IF(INDEX('Calculator Cost per Bucata'!$Y:$Y,ROW()+4)=1,INDEX('Calculator Cost per Bucata'!$S:$S,ROW()+4),"")</f>
        <v/>
      </c>
      <c r="F420" s="33" t="str">
        <f>IF($A420="","",IF(N(INDEX('PI Furnizor'!$L:$L,ROW()+1))&gt;0,INDEX('PI Furnizor'!$L:$L,ROW()+1),""))</f>
        <v/>
      </c>
      <c r="G420" s="33" t="str">
        <f>IF($A420="","",IF(Comenzi!$D$6="Da",$D420,$E420))</f>
        <v/>
      </c>
      <c r="H420" s="33" t="str">
        <f>IF(OR($A420="",$F420=""),"",IF(Comenzi!$D$6="Da",IFERROR($F420/(1+INDEX('Calculator Cost per Bucata'!$AC:$AC,ROW()+4)),""),$F420))</f>
        <v/>
      </c>
      <c r="I420" s="46" t="str">
        <f t="shared" si="18"/>
        <v/>
      </c>
      <c r="J420" s="47" t="str">
        <f t="shared" si="19"/>
        <v/>
      </c>
      <c r="K420" s="48" t="str">
        <f t="shared" si="20"/>
        <v/>
      </c>
    </row>
    <row r="421" spans="1:11" x14ac:dyDescent="0.3">
      <c r="A421" s="28" t="str">
        <f>IF(INDEX('Calculator Cost per Bucata'!$A:$A,ROW()+4)="","",INDEX('Calculator Cost per Bucata'!$A:$A,ROW()+4))</f>
        <v/>
      </c>
      <c r="B421" s="28" t="str">
        <f>IF($A421="","",INDEX('Calculator Cost per Bucata'!$C:$C,ROW()+4))</f>
        <v/>
      </c>
      <c r="C421" s="28" t="str">
        <f>IF($A421="","",INDEX('Calculator Cost per Bucata'!$D:$D,ROW()+4))</f>
        <v/>
      </c>
      <c r="D421" s="33" t="str">
        <f>IF(INDEX('Calculator Cost per Bucata'!$Y:$Y,ROW()+4)=1,INDEX('Calculator Cost per Bucata'!$P:$P,ROW()+4),"")</f>
        <v/>
      </c>
      <c r="E421" s="33" t="str">
        <f>IF(INDEX('Calculator Cost per Bucata'!$Y:$Y,ROW()+4)=1,INDEX('Calculator Cost per Bucata'!$S:$S,ROW()+4),"")</f>
        <v/>
      </c>
      <c r="F421" s="33" t="str">
        <f>IF($A421="","",IF(N(INDEX('PI Furnizor'!$L:$L,ROW()+1))&gt;0,INDEX('PI Furnizor'!$L:$L,ROW()+1),""))</f>
        <v/>
      </c>
      <c r="G421" s="33" t="str">
        <f>IF($A421="","",IF(Comenzi!$D$6="Da",$D421,$E421))</f>
        <v/>
      </c>
      <c r="H421" s="33" t="str">
        <f>IF(OR($A421="",$F421=""),"",IF(Comenzi!$D$6="Da",IFERROR($F421/(1+INDEX('Calculator Cost per Bucata'!$AC:$AC,ROW()+4)),""),$F421))</f>
        <v/>
      </c>
      <c r="I421" s="46" t="str">
        <f t="shared" si="18"/>
        <v/>
      </c>
      <c r="J421" s="47" t="str">
        <f t="shared" si="19"/>
        <v/>
      </c>
      <c r="K421" s="48" t="str">
        <f t="shared" si="20"/>
        <v/>
      </c>
    </row>
    <row r="422" spans="1:11" x14ac:dyDescent="0.3">
      <c r="A422" s="28" t="str">
        <f>IF(INDEX('Calculator Cost per Bucata'!$A:$A,ROW()+4)="","",INDEX('Calculator Cost per Bucata'!$A:$A,ROW()+4))</f>
        <v/>
      </c>
      <c r="B422" s="28" t="str">
        <f>IF($A422="","",INDEX('Calculator Cost per Bucata'!$C:$C,ROW()+4))</f>
        <v/>
      </c>
      <c r="C422" s="28" t="str">
        <f>IF($A422="","",INDEX('Calculator Cost per Bucata'!$D:$D,ROW()+4))</f>
        <v/>
      </c>
      <c r="D422" s="33" t="str">
        <f>IF(INDEX('Calculator Cost per Bucata'!$Y:$Y,ROW()+4)=1,INDEX('Calculator Cost per Bucata'!$P:$P,ROW()+4),"")</f>
        <v/>
      </c>
      <c r="E422" s="33" t="str">
        <f>IF(INDEX('Calculator Cost per Bucata'!$Y:$Y,ROW()+4)=1,INDEX('Calculator Cost per Bucata'!$S:$S,ROW()+4),"")</f>
        <v/>
      </c>
      <c r="F422" s="33" t="str">
        <f>IF($A422="","",IF(N(INDEX('PI Furnizor'!$L:$L,ROW()+1))&gt;0,INDEX('PI Furnizor'!$L:$L,ROW()+1),""))</f>
        <v/>
      </c>
      <c r="G422" s="33" t="str">
        <f>IF($A422="","",IF(Comenzi!$D$6="Da",$D422,$E422))</f>
        <v/>
      </c>
      <c r="H422" s="33" t="str">
        <f>IF(OR($A422="",$F422=""),"",IF(Comenzi!$D$6="Da",IFERROR($F422/(1+INDEX('Calculator Cost per Bucata'!$AC:$AC,ROW()+4)),""),$F422))</f>
        <v/>
      </c>
      <c r="I422" s="46" t="str">
        <f t="shared" si="18"/>
        <v/>
      </c>
      <c r="J422" s="47" t="str">
        <f t="shared" si="19"/>
        <v/>
      </c>
      <c r="K422" s="48" t="str">
        <f t="shared" si="20"/>
        <v/>
      </c>
    </row>
    <row r="423" spans="1:11" x14ac:dyDescent="0.3">
      <c r="A423" s="28" t="str">
        <f>IF(INDEX('Calculator Cost per Bucata'!$A:$A,ROW()+4)="","",INDEX('Calculator Cost per Bucata'!$A:$A,ROW()+4))</f>
        <v/>
      </c>
      <c r="B423" s="28" t="str">
        <f>IF($A423="","",INDEX('Calculator Cost per Bucata'!$C:$C,ROW()+4))</f>
        <v/>
      </c>
      <c r="C423" s="28" t="str">
        <f>IF($A423="","",INDEX('Calculator Cost per Bucata'!$D:$D,ROW()+4))</f>
        <v/>
      </c>
      <c r="D423" s="33" t="str">
        <f>IF(INDEX('Calculator Cost per Bucata'!$Y:$Y,ROW()+4)=1,INDEX('Calculator Cost per Bucata'!$P:$P,ROW()+4),"")</f>
        <v/>
      </c>
      <c r="E423" s="33" t="str">
        <f>IF(INDEX('Calculator Cost per Bucata'!$Y:$Y,ROW()+4)=1,INDEX('Calculator Cost per Bucata'!$S:$S,ROW()+4),"")</f>
        <v/>
      </c>
      <c r="F423" s="33" t="str">
        <f>IF($A423="","",IF(N(INDEX('PI Furnizor'!$L:$L,ROW()+1))&gt;0,INDEX('PI Furnizor'!$L:$L,ROW()+1),""))</f>
        <v/>
      </c>
      <c r="G423" s="33" t="str">
        <f>IF($A423="","",IF(Comenzi!$D$6="Da",$D423,$E423))</f>
        <v/>
      </c>
      <c r="H423" s="33" t="str">
        <f>IF(OR($A423="",$F423=""),"",IF(Comenzi!$D$6="Da",IFERROR($F423/(1+INDEX('Calculator Cost per Bucata'!$AC:$AC,ROW()+4)),""),$F423))</f>
        <v/>
      </c>
      <c r="I423" s="46" t="str">
        <f t="shared" si="18"/>
        <v/>
      </c>
      <c r="J423" s="47" t="str">
        <f t="shared" si="19"/>
        <v/>
      </c>
      <c r="K423" s="48" t="str">
        <f t="shared" si="20"/>
        <v/>
      </c>
    </row>
    <row r="424" spans="1:11" x14ac:dyDescent="0.3">
      <c r="A424" s="28" t="str">
        <f>IF(INDEX('Calculator Cost per Bucata'!$A:$A,ROW()+4)="","",INDEX('Calculator Cost per Bucata'!$A:$A,ROW()+4))</f>
        <v/>
      </c>
      <c r="B424" s="28" t="str">
        <f>IF($A424="","",INDEX('Calculator Cost per Bucata'!$C:$C,ROW()+4))</f>
        <v/>
      </c>
      <c r="C424" s="28" t="str">
        <f>IF($A424="","",INDEX('Calculator Cost per Bucata'!$D:$D,ROW()+4))</f>
        <v/>
      </c>
      <c r="D424" s="33" t="str">
        <f>IF(INDEX('Calculator Cost per Bucata'!$Y:$Y,ROW()+4)=1,INDEX('Calculator Cost per Bucata'!$P:$P,ROW()+4),"")</f>
        <v/>
      </c>
      <c r="E424" s="33" t="str">
        <f>IF(INDEX('Calculator Cost per Bucata'!$Y:$Y,ROW()+4)=1,INDEX('Calculator Cost per Bucata'!$S:$S,ROW()+4),"")</f>
        <v/>
      </c>
      <c r="F424" s="33" t="str">
        <f>IF($A424="","",IF(N(INDEX('PI Furnizor'!$L:$L,ROW()+1))&gt;0,INDEX('PI Furnizor'!$L:$L,ROW()+1),""))</f>
        <v/>
      </c>
      <c r="G424" s="33" t="str">
        <f>IF($A424="","",IF(Comenzi!$D$6="Da",$D424,$E424))</f>
        <v/>
      </c>
      <c r="H424" s="33" t="str">
        <f>IF(OR($A424="",$F424=""),"",IF(Comenzi!$D$6="Da",IFERROR($F424/(1+INDEX('Calculator Cost per Bucata'!$AC:$AC,ROW()+4)),""),$F424))</f>
        <v/>
      </c>
      <c r="I424" s="46" t="str">
        <f t="shared" si="18"/>
        <v/>
      </c>
      <c r="J424" s="47" t="str">
        <f t="shared" si="19"/>
        <v/>
      </c>
      <c r="K424" s="48" t="str">
        <f t="shared" si="20"/>
        <v/>
      </c>
    </row>
    <row r="425" spans="1:11" x14ac:dyDescent="0.3">
      <c r="A425" s="28" t="str">
        <f>IF(INDEX('Calculator Cost per Bucata'!$A:$A,ROW()+4)="","",INDEX('Calculator Cost per Bucata'!$A:$A,ROW()+4))</f>
        <v/>
      </c>
      <c r="B425" s="28" t="str">
        <f>IF($A425="","",INDEX('Calculator Cost per Bucata'!$C:$C,ROW()+4))</f>
        <v/>
      </c>
      <c r="C425" s="28" t="str">
        <f>IF($A425="","",INDEX('Calculator Cost per Bucata'!$D:$D,ROW()+4))</f>
        <v/>
      </c>
      <c r="D425" s="33" t="str">
        <f>IF(INDEX('Calculator Cost per Bucata'!$Y:$Y,ROW()+4)=1,INDEX('Calculator Cost per Bucata'!$P:$P,ROW()+4),"")</f>
        <v/>
      </c>
      <c r="E425" s="33" t="str">
        <f>IF(INDEX('Calculator Cost per Bucata'!$Y:$Y,ROW()+4)=1,INDEX('Calculator Cost per Bucata'!$S:$S,ROW()+4),"")</f>
        <v/>
      </c>
      <c r="F425" s="33" t="str">
        <f>IF($A425="","",IF(N(INDEX('PI Furnizor'!$L:$L,ROW()+1))&gt;0,INDEX('PI Furnizor'!$L:$L,ROW()+1),""))</f>
        <v/>
      </c>
      <c r="G425" s="33" t="str">
        <f>IF($A425="","",IF(Comenzi!$D$6="Da",$D425,$E425))</f>
        <v/>
      </c>
      <c r="H425" s="33" t="str">
        <f>IF(OR($A425="",$F425=""),"",IF(Comenzi!$D$6="Da",IFERROR($F425/(1+INDEX('Calculator Cost per Bucata'!$AC:$AC,ROW()+4)),""),$F425))</f>
        <v/>
      </c>
      <c r="I425" s="46" t="str">
        <f t="shared" si="18"/>
        <v/>
      </c>
      <c r="J425" s="47" t="str">
        <f t="shared" si="19"/>
        <v/>
      </c>
      <c r="K425" s="48" t="str">
        <f t="shared" si="20"/>
        <v/>
      </c>
    </row>
    <row r="426" spans="1:11" x14ac:dyDescent="0.3">
      <c r="A426" s="28" t="str">
        <f>IF(INDEX('Calculator Cost per Bucata'!$A:$A,ROW()+4)="","",INDEX('Calculator Cost per Bucata'!$A:$A,ROW()+4))</f>
        <v/>
      </c>
      <c r="B426" s="28" t="str">
        <f>IF($A426="","",INDEX('Calculator Cost per Bucata'!$C:$C,ROW()+4))</f>
        <v/>
      </c>
      <c r="C426" s="28" t="str">
        <f>IF($A426="","",INDEX('Calculator Cost per Bucata'!$D:$D,ROW()+4))</f>
        <v/>
      </c>
      <c r="D426" s="33" t="str">
        <f>IF(INDEX('Calculator Cost per Bucata'!$Y:$Y,ROW()+4)=1,INDEX('Calculator Cost per Bucata'!$P:$P,ROW()+4),"")</f>
        <v/>
      </c>
      <c r="E426" s="33" t="str">
        <f>IF(INDEX('Calculator Cost per Bucata'!$Y:$Y,ROW()+4)=1,INDEX('Calculator Cost per Bucata'!$S:$S,ROW()+4),"")</f>
        <v/>
      </c>
      <c r="F426" s="33" t="str">
        <f>IF($A426="","",IF(N(INDEX('PI Furnizor'!$L:$L,ROW()+1))&gt;0,INDEX('PI Furnizor'!$L:$L,ROW()+1),""))</f>
        <v/>
      </c>
      <c r="G426" s="33" t="str">
        <f>IF($A426="","",IF(Comenzi!$D$6="Da",$D426,$E426))</f>
        <v/>
      </c>
      <c r="H426" s="33" t="str">
        <f>IF(OR($A426="",$F426=""),"",IF(Comenzi!$D$6="Da",IFERROR($F426/(1+INDEX('Calculator Cost per Bucata'!$AC:$AC,ROW()+4)),""),$F426))</f>
        <v/>
      </c>
      <c r="I426" s="46" t="str">
        <f t="shared" si="18"/>
        <v/>
      </c>
      <c r="J426" s="47" t="str">
        <f t="shared" si="19"/>
        <v/>
      </c>
      <c r="K426" s="48" t="str">
        <f t="shared" si="20"/>
        <v/>
      </c>
    </row>
    <row r="427" spans="1:11" x14ac:dyDescent="0.3">
      <c r="A427" s="28" t="str">
        <f>IF(INDEX('Calculator Cost per Bucata'!$A:$A,ROW()+4)="","",INDEX('Calculator Cost per Bucata'!$A:$A,ROW()+4))</f>
        <v/>
      </c>
      <c r="B427" s="28" t="str">
        <f>IF($A427="","",INDEX('Calculator Cost per Bucata'!$C:$C,ROW()+4))</f>
        <v/>
      </c>
      <c r="C427" s="28" t="str">
        <f>IF($A427="","",INDEX('Calculator Cost per Bucata'!$D:$D,ROW()+4))</f>
        <v/>
      </c>
      <c r="D427" s="33" t="str">
        <f>IF(INDEX('Calculator Cost per Bucata'!$Y:$Y,ROW()+4)=1,INDEX('Calculator Cost per Bucata'!$P:$P,ROW()+4),"")</f>
        <v/>
      </c>
      <c r="E427" s="33" t="str">
        <f>IF(INDEX('Calculator Cost per Bucata'!$Y:$Y,ROW()+4)=1,INDEX('Calculator Cost per Bucata'!$S:$S,ROW()+4),"")</f>
        <v/>
      </c>
      <c r="F427" s="33" t="str">
        <f>IF($A427="","",IF(N(INDEX('PI Furnizor'!$L:$L,ROW()+1))&gt;0,INDEX('PI Furnizor'!$L:$L,ROW()+1),""))</f>
        <v/>
      </c>
      <c r="G427" s="33" t="str">
        <f>IF($A427="","",IF(Comenzi!$D$6="Da",$D427,$E427))</f>
        <v/>
      </c>
      <c r="H427" s="33" t="str">
        <f>IF(OR($A427="",$F427=""),"",IF(Comenzi!$D$6="Da",IFERROR($F427/(1+INDEX('Calculator Cost per Bucata'!$AC:$AC,ROW()+4)),""),$F427))</f>
        <v/>
      </c>
      <c r="I427" s="46" t="str">
        <f t="shared" si="18"/>
        <v/>
      </c>
      <c r="J427" s="47" t="str">
        <f t="shared" si="19"/>
        <v/>
      </c>
      <c r="K427" s="48" t="str">
        <f t="shared" si="20"/>
        <v/>
      </c>
    </row>
    <row r="428" spans="1:11" x14ac:dyDescent="0.3">
      <c r="A428" s="28" t="str">
        <f>IF(INDEX('Calculator Cost per Bucata'!$A:$A,ROW()+4)="","",INDEX('Calculator Cost per Bucata'!$A:$A,ROW()+4))</f>
        <v/>
      </c>
      <c r="B428" s="28" t="str">
        <f>IF($A428="","",INDEX('Calculator Cost per Bucata'!$C:$C,ROW()+4))</f>
        <v/>
      </c>
      <c r="C428" s="28" t="str">
        <f>IF($A428="","",INDEX('Calculator Cost per Bucata'!$D:$D,ROW()+4))</f>
        <v/>
      </c>
      <c r="D428" s="33" t="str">
        <f>IF(INDEX('Calculator Cost per Bucata'!$Y:$Y,ROW()+4)=1,INDEX('Calculator Cost per Bucata'!$P:$P,ROW()+4),"")</f>
        <v/>
      </c>
      <c r="E428" s="33" t="str">
        <f>IF(INDEX('Calculator Cost per Bucata'!$Y:$Y,ROW()+4)=1,INDEX('Calculator Cost per Bucata'!$S:$S,ROW()+4),"")</f>
        <v/>
      </c>
      <c r="F428" s="33" t="str">
        <f>IF($A428="","",IF(N(INDEX('PI Furnizor'!$L:$L,ROW()+1))&gt;0,INDEX('PI Furnizor'!$L:$L,ROW()+1),""))</f>
        <v/>
      </c>
      <c r="G428" s="33" t="str">
        <f>IF($A428="","",IF(Comenzi!$D$6="Da",$D428,$E428))</f>
        <v/>
      </c>
      <c r="H428" s="33" t="str">
        <f>IF(OR($A428="",$F428=""),"",IF(Comenzi!$D$6="Da",IFERROR($F428/(1+INDEX('Calculator Cost per Bucata'!$AC:$AC,ROW()+4)),""),$F428))</f>
        <v/>
      </c>
      <c r="I428" s="46" t="str">
        <f t="shared" si="18"/>
        <v/>
      </c>
      <c r="J428" s="47" t="str">
        <f t="shared" si="19"/>
        <v/>
      </c>
      <c r="K428" s="48" t="str">
        <f t="shared" si="20"/>
        <v/>
      </c>
    </row>
    <row r="429" spans="1:11" x14ac:dyDescent="0.3">
      <c r="A429" s="28" t="str">
        <f>IF(INDEX('Calculator Cost per Bucata'!$A:$A,ROW()+4)="","",INDEX('Calculator Cost per Bucata'!$A:$A,ROW()+4))</f>
        <v/>
      </c>
      <c r="B429" s="28" t="str">
        <f>IF($A429="","",INDEX('Calculator Cost per Bucata'!$C:$C,ROW()+4))</f>
        <v/>
      </c>
      <c r="C429" s="28" t="str">
        <f>IF($A429="","",INDEX('Calculator Cost per Bucata'!$D:$D,ROW()+4))</f>
        <v/>
      </c>
      <c r="D429" s="33" t="str">
        <f>IF(INDEX('Calculator Cost per Bucata'!$Y:$Y,ROW()+4)=1,INDEX('Calculator Cost per Bucata'!$P:$P,ROW()+4),"")</f>
        <v/>
      </c>
      <c r="E429" s="33" t="str">
        <f>IF(INDEX('Calculator Cost per Bucata'!$Y:$Y,ROW()+4)=1,INDEX('Calculator Cost per Bucata'!$S:$S,ROW()+4),"")</f>
        <v/>
      </c>
      <c r="F429" s="33" t="str">
        <f>IF($A429="","",IF(N(INDEX('PI Furnizor'!$L:$L,ROW()+1))&gt;0,INDEX('PI Furnizor'!$L:$L,ROW()+1),""))</f>
        <v/>
      </c>
      <c r="G429" s="33" t="str">
        <f>IF($A429="","",IF(Comenzi!$D$6="Da",$D429,$E429))</f>
        <v/>
      </c>
      <c r="H429" s="33" t="str">
        <f>IF(OR($A429="",$F429=""),"",IF(Comenzi!$D$6="Da",IFERROR($F429/(1+INDEX('Calculator Cost per Bucata'!$AC:$AC,ROW()+4)),""),$F429))</f>
        <v/>
      </c>
      <c r="I429" s="46" t="str">
        <f t="shared" si="18"/>
        <v/>
      </c>
      <c r="J429" s="47" t="str">
        <f t="shared" si="19"/>
        <v/>
      </c>
      <c r="K429" s="48" t="str">
        <f t="shared" si="20"/>
        <v/>
      </c>
    </row>
    <row r="430" spans="1:11" x14ac:dyDescent="0.3">
      <c r="A430" s="28" t="str">
        <f>IF(INDEX('Calculator Cost per Bucata'!$A:$A,ROW()+4)="","",INDEX('Calculator Cost per Bucata'!$A:$A,ROW()+4))</f>
        <v/>
      </c>
      <c r="B430" s="28" t="str">
        <f>IF($A430="","",INDEX('Calculator Cost per Bucata'!$C:$C,ROW()+4))</f>
        <v/>
      </c>
      <c r="C430" s="28" t="str">
        <f>IF($A430="","",INDEX('Calculator Cost per Bucata'!$D:$D,ROW()+4))</f>
        <v/>
      </c>
      <c r="D430" s="33" t="str">
        <f>IF(INDEX('Calculator Cost per Bucata'!$Y:$Y,ROW()+4)=1,INDEX('Calculator Cost per Bucata'!$P:$P,ROW()+4),"")</f>
        <v/>
      </c>
      <c r="E430" s="33" t="str">
        <f>IF(INDEX('Calculator Cost per Bucata'!$Y:$Y,ROW()+4)=1,INDEX('Calculator Cost per Bucata'!$S:$S,ROW()+4),"")</f>
        <v/>
      </c>
      <c r="F430" s="33" t="str">
        <f>IF($A430="","",IF(N(INDEX('PI Furnizor'!$L:$L,ROW()+1))&gt;0,INDEX('PI Furnizor'!$L:$L,ROW()+1),""))</f>
        <v/>
      </c>
      <c r="G430" s="33" t="str">
        <f>IF($A430="","",IF(Comenzi!$D$6="Da",$D430,$E430))</f>
        <v/>
      </c>
      <c r="H430" s="33" t="str">
        <f>IF(OR($A430="",$F430=""),"",IF(Comenzi!$D$6="Da",IFERROR($F430/(1+INDEX('Calculator Cost per Bucata'!$AC:$AC,ROW()+4)),""),$F430))</f>
        <v/>
      </c>
      <c r="I430" s="46" t="str">
        <f t="shared" si="18"/>
        <v/>
      </c>
      <c r="J430" s="47" t="str">
        <f t="shared" si="19"/>
        <v/>
      </c>
      <c r="K430" s="48" t="str">
        <f t="shared" si="20"/>
        <v/>
      </c>
    </row>
    <row r="431" spans="1:11" x14ac:dyDescent="0.3">
      <c r="A431" s="28" t="str">
        <f>IF(INDEX('Calculator Cost per Bucata'!$A:$A,ROW()+4)="","",INDEX('Calculator Cost per Bucata'!$A:$A,ROW()+4))</f>
        <v/>
      </c>
      <c r="B431" s="28" t="str">
        <f>IF($A431="","",INDEX('Calculator Cost per Bucata'!$C:$C,ROW()+4))</f>
        <v/>
      </c>
      <c r="C431" s="28" t="str">
        <f>IF($A431="","",INDEX('Calculator Cost per Bucata'!$D:$D,ROW()+4))</f>
        <v/>
      </c>
      <c r="D431" s="33" t="str">
        <f>IF(INDEX('Calculator Cost per Bucata'!$Y:$Y,ROW()+4)=1,INDEX('Calculator Cost per Bucata'!$P:$P,ROW()+4),"")</f>
        <v/>
      </c>
      <c r="E431" s="33" t="str">
        <f>IF(INDEX('Calculator Cost per Bucata'!$Y:$Y,ROW()+4)=1,INDEX('Calculator Cost per Bucata'!$S:$S,ROW()+4),"")</f>
        <v/>
      </c>
      <c r="F431" s="33" t="str">
        <f>IF($A431="","",IF(N(INDEX('PI Furnizor'!$L:$L,ROW()+1))&gt;0,INDEX('PI Furnizor'!$L:$L,ROW()+1),""))</f>
        <v/>
      </c>
      <c r="G431" s="33" t="str">
        <f>IF($A431="","",IF(Comenzi!$D$6="Da",$D431,$E431))</f>
        <v/>
      </c>
      <c r="H431" s="33" t="str">
        <f>IF(OR($A431="",$F431=""),"",IF(Comenzi!$D$6="Da",IFERROR($F431/(1+INDEX('Calculator Cost per Bucata'!$AC:$AC,ROW()+4)),""),$F431))</f>
        <v/>
      </c>
      <c r="I431" s="46" t="str">
        <f t="shared" si="18"/>
        <v/>
      </c>
      <c r="J431" s="47" t="str">
        <f t="shared" si="19"/>
        <v/>
      </c>
      <c r="K431" s="48" t="str">
        <f t="shared" si="20"/>
        <v/>
      </c>
    </row>
    <row r="432" spans="1:11" x14ac:dyDescent="0.3">
      <c r="A432" s="28" t="str">
        <f>IF(INDEX('Calculator Cost per Bucata'!$A:$A,ROW()+4)="","",INDEX('Calculator Cost per Bucata'!$A:$A,ROW()+4))</f>
        <v/>
      </c>
      <c r="B432" s="28" t="str">
        <f>IF($A432="","",INDEX('Calculator Cost per Bucata'!$C:$C,ROW()+4))</f>
        <v/>
      </c>
      <c r="C432" s="28" t="str">
        <f>IF($A432="","",INDEX('Calculator Cost per Bucata'!$D:$D,ROW()+4))</f>
        <v/>
      </c>
      <c r="D432" s="33" t="str">
        <f>IF(INDEX('Calculator Cost per Bucata'!$Y:$Y,ROW()+4)=1,INDEX('Calculator Cost per Bucata'!$P:$P,ROW()+4),"")</f>
        <v/>
      </c>
      <c r="E432" s="33" t="str">
        <f>IF(INDEX('Calculator Cost per Bucata'!$Y:$Y,ROW()+4)=1,INDEX('Calculator Cost per Bucata'!$S:$S,ROW()+4),"")</f>
        <v/>
      </c>
      <c r="F432" s="33" t="str">
        <f>IF($A432="","",IF(N(INDEX('PI Furnizor'!$L:$L,ROW()+1))&gt;0,INDEX('PI Furnizor'!$L:$L,ROW()+1),""))</f>
        <v/>
      </c>
      <c r="G432" s="33" t="str">
        <f>IF($A432="","",IF(Comenzi!$D$6="Da",$D432,$E432))</f>
        <v/>
      </c>
      <c r="H432" s="33" t="str">
        <f>IF(OR($A432="",$F432=""),"",IF(Comenzi!$D$6="Da",IFERROR($F432/(1+INDEX('Calculator Cost per Bucata'!$AC:$AC,ROW()+4)),""),$F432))</f>
        <v/>
      </c>
      <c r="I432" s="46" t="str">
        <f t="shared" si="18"/>
        <v/>
      </c>
      <c r="J432" s="47" t="str">
        <f t="shared" si="19"/>
        <v/>
      </c>
      <c r="K432" s="48" t="str">
        <f t="shared" si="20"/>
        <v/>
      </c>
    </row>
    <row r="433" spans="1:11" x14ac:dyDescent="0.3">
      <c r="A433" s="28" t="str">
        <f>IF(INDEX('Calculator Cost per Bucata'!$A:$A,ROW()+4)="","",INDEX('Calculator Cost per Bucata'!$A:$A,ROW()+4))</f>
        <v/>
      </c>
      <c r="B433" s="28" t="str">
        <f>IF($A433="","",INDEX('Calculator Cost per Bucata'!$C:$C,ROW()+4))</f>
        <v/>
      </c>
      <c r="C433" s="28" t="str">
        <f>IF($A433="","",INDEX('Calculator Cost per Bucata'!$D:$D,ROW()+4))</f>
        <v/>
      </c>
      <c r="D433" s="33" t="str">
        <f>IF(INDEX('Calculator Cost per Bucata'!$Y:$Y,ROW()+4)=1,INDEX('Calculator Cost per Bucata'!$P:$P,ROW()+4),"")</f>
        <v/>
      </c>
      <c r="E433" s="33" t="str">
        <f>IF(INDEX('Calculator Cost per Bucata'!$Y:$Y,ROW()+4)=1,INDEX('Calculator Cost per Bucata'!$S:$S,ROW()+4),"")</f>
        <v/>
      </c>
      <c r="F433" s="33" t="str">
        <f>IF($A433="","",IF(N(INDEX('PI Furnizor'!$L:$L,ROW()+1))&gt;0,INDEX('PI Furnizor'!$L:$L,ROW()+1),""))</f>
        <v/>
      </c>
      <c r="G433" s="33" t="str">
        <f>IF($A433="","",IF(Comenzi!$D$6="Da",$D433,$E433))</f>
        <v/>
      </c>
      <c r="H433" s="33" t="str">
        <f>IF(OR($A433="",$F433=""),"",IF(Comenzi!$D$6="Da",IFERROR($F433/(1+INDEX('Calculator Cost per Bucata'!$AC:$AC,ROW()+4)),""),$F433))</f>
        <v/>
      </c>
      <c r="I433" s="46" t="str">
        <f t="shared" si="18"/>
        <v/>
      </c>
      <c r="J433" s="47" t="str">
        <f t="shared" si="19"/>
        <v/>
      </c>
      <c r="K433" s="48" t="str">
        <f t="shared" si="20"/>
        <v/>
      </c>
    </row>
    <row r="434" spans="1:11" x14ac:dyDescent="0.3">
      <c r="A434" s="28" t="str">
        <f>IF(INDEX('Calculator Cost per Bucata'!$A:$A,ROW()+4)="","",INDEX('Calculator Cost per Bucata'!$A:$A,ROW()+4))</f>
        <v/>
      </c>
      <c r="B434" s="28" t="str">
        <f>IF($A434="","",INDEX('Calculator Cost per Bucata'!$C:$C,ROW()+4))</f>
        <v/>
      </c>
      <c r="C434" s="28" t="str">
        <f>IF($A434="","",INDEX('Calculator Cost per Bucata'!$D:$D,ROW()+4))</f>
        <v/>
      </c>
      <c r="D434" s="33" t="str">
        <f>IF(INDEX('Calculator Cost per Bucata'!$Y:$Y,ROW()+4)=1,INDEX('Calculator Cost per Bucata'!$P:$P,ROW()+4),"")</f>
        <v/>
      </c>
      <c r="E434" s="33" t="str">
        <f>IF(INDEX('Calculator Cost per Bucata'!$Y:$Y,ROW()+4)=1,INDEX('Calculator Cost per Bucata'!$S:$S,ROW()+4),"")</f>
        <v/>
      </c>
      <c r="F434" s="33" t="str">
        <f>IF($A434="","",IF(N(INDEX('PI Furnizor'!$L:$L,ROW()+1))&gt;0,INDEX('PI Furnizor'!$L:$L,ROW()+1),""))</f>
        <v/>
      </c>
      <c r="G434" s="33" t="str">
        <f>IF($A434="","",IF(Comenzi!$D$6="Da",$D434,$E434))</f>
        <v/>
      </c>
      <c r="H434" s="33" t="str">
        <f>IF(OR($A434="",$F434=""),"",IF(Comenzi!$D$6="Da",IFERROR($F434/(1+INDEX('Calculator Cost per Bucata'!$AC:$AC,ROW()+4)),""),$F434))</f>
        <v/>
      </c>
      <c r="I434" s="46" t="str">
        <f t="shared" si="18"/>
        <v/>
      </c>
      <c r="J434" s="47" t="str">
        <f t="shared" si="19"/>
        <v/>
      </c>
      <c r="K434" s="48" t="str">
        <f t="shared" si="20"/>
        <v/>
      </c>
    </row>
    <row r="435" spans="1:11" x14ac:dyDescent="0.3">
      <c r="A435" s="28" t="str">
        <f>IF(INDEX('Calculator Cost per Bucata'!$A:$A,ROW()+4)="","",INDEX('Calculator Cost per Bucata'!$A:$A,ROW()+4))</f>
        <v/>
      </c>
      <c r="B435" s="28" t="str">
        <f>IF($A435="","",INDEX('Calculator Cost per Bucata'!$C:$C,ROW()+4))</f>
        <v/>
      </c>
      <c r="C435" s="28" t="str">
        <f>IF($A435="","",INDEX('Calculator Cost per Bucata'!$D:$D,ROW()+4))</f>
        <v/>
      </c>
      <c r="D435" s="33" t="str">
        <f>IF(INDEX('Calculator Cost per Bucata'!$Y:$Y,ROW()+4)=1,INDEX('Calculator Cost per Bucata'!$P:$P,ROW()+4),"")</f>
        <v/>
      </c>
      <c r="E435" s="33" t="str">
        <f>IF(INDEX('Calculator Cost per Bucata'!$Y:$Y,ROW()+4)=1,INDEX('Calculator Cost per Bucata'!$S:$S,ROW()+4),"")</f>
        <v/>
      </c>
      <c r="F435" s="33" t="str">
        <f>IF($A435="","",IF(N(INDEX('PI Furnizor'!$L:$L,ROW()+1))&gt;0,INDEX('PI Furnizor'!$L:$L,ROW()+1),""))</f>
        <v/>
      </c>
      <c r="G435" s="33" t="str">
        <f>IF($A435="","",IF(Comenzi!$D$6="Da",$D435,$E435))</f>
        <v/>
      </c>
      <c r="H435" s="33" t="str">
        <f>IF(OR($A435="",$F435=""),"",IF(Comenzi!$D$6="Da",IFERROR($F435/(1+INDEX('Calculator Cost per Bucata'!$AC:$AC,ROW()+4)),""),$F435))</f>
        <v/>
      </c>
      <c r="I435" s="46" t="str">
        <f t="shared" si="18"/>
        <v/>
      </c>
      <c r="J435" s="47" t="str">
        <f t="shared" si="19"/>
        <v/>
      </c>
      <c r="K435" s="48" t="str">
        <f t="shared" si="20"/>
        <v/>
      </c>
    </row>
    <row r="436" spans="1:11" x14ac:dyDescent="0.3">
      <c r="A436" s="28" t="str">
        <f>IF(INDEX('Calculator Cost per Bucata'!$A:$A,ROW()+4)="","",INDEX('Calculator Cost per Bucata'!$A:$A,ROW()+4))</f>
        <v/>
      </c>
      <c r="B436" s="28" t="str">
        <f>IF($A436="","",INDEX('Calculator Cost per Bucata'!$C:$C,ROW()+4))</f>
        <v/>
      </c>
      <c r="C436" s="28" t="str">
        <f>IF($A436="","",INDEX('Calculator Cost per Bucata'!$D:$D,ROW()+4))</f>
        <v/>
      </c>
      <c r="D436" s="33" t="str">
        <f>IF(INDEX('Calculator Cost per Bucata'!$Y:$Y,ROW()+4)=1,INDEX('Calculator Cost per Bucata'!$P:$P,ROW()+4),"")</f>
        <v/>
      </c>
      <c r="E436" s="33" t="str">
        <f>IF(INDEX('Calculator Cost per Bucata'!$Y:$Y,ROW()+4)=1,INDEX('Calculator Cost per Bucata'!$S:$S,ROW()+4),"")</f>
        <v/>
      </c>
      <c r="F436" s="33" t="str">
        <f>IF($A436="","",IF(N(INDEX('PI Furnizor'!$L:$L,ROW()+1))&gt;0,INDEX('PI Furnizor'!$L:$L,ROW()+1),""))</f>
        <v/>
      </c>
      <c r="G436" s="33" t="str">
        <f>IF($A436="","",IF(Comenzi!$D$6="Da",$D436,$E436))</f>
        <v/>
      </c>
      <c r="H436" s="33" t="str">
        <f>IF(OR($A436="",$F436=""),"",IF(Comenzi!$D$6="Da",IFERROR($F436/(1+INDEX('Calculator Cost per Bucata'!$AC:$AC,ROW()+4)),""),$F436))</f>
        <v/>
      </c>
      <c r="I436" s="46" t="str">
        <f t="shared" si="18"/>
        <v/>
      </c>
      <c r="J436" s="47" t="str">
        <f t="shared" si="19"/>
        <v/>
      </c>
      <c r="K436" s="48" t="str">
        <f t="shared" si="20"/>
        <v/>
      </c>
    </row>
    <row r="437" spans="1:11" x14ac:dyDescent="0.3">
      <c r="A437" s="28" t="str">
        <f>IF(INDEX('Calculator Cost per Bucata'!$A:$A,ROW()+4)="","",INDEX('Calculator Cost per Bucata'!$A:$A,ROW()+4))</f>
        <v/>
      </c>
      <c r="B437" s="28" t="str">
        <f>IF($A437="","",INDEX('Calculator Cost per Bucata'!$C:$C,ROW()+4))</f>
        <v/>
      </c>
      <c r="C437" s="28" t="str">
        <f>IF($A437="","",INDEX('Calculator Cost per Bucata'!$D:$D,ROW()+4))</f>
        <v/>
      </c>
      <c r="D437" s="33" t="str">
        <f>IF(INDEX('Calculator Cost per Bucata'!$Y:$Y,ROW()+4)=1,INDEX('Calculator Cost per Bucata'!$P:$P,ROW()+4),"")</f>
        <v/>
      </c>
      <c r="E437" s="33" t="str">
        <f>IF(INDEX('Calculator Cost per Bucata'!$Y:$Y,ROW()+4)=1,INDEX('Calculator Cost per Bucata'!$S:$S,ROW()+4),"")</f>
        <v/>
      </c>
      <c r="F437" s="33" t="str">
        <f>IF($A437="","",IF(N(INDEX('PI Furnizor'!$L:$L,ROW()+1))&gt;0,INDEX('PI Furnizor'!$L:$L,ROW()+1),""))</f>
        <v/>
      </c>
      <c r="G437" s="33" t="str">
        <f>IF($A437="","",IF(Comenzi!$D$6="Da",$D437,$E437))</f>
        <v/>
      </c>
      <c r="H437" s="33" t="str">
        <f>IF(OR($A437="",$F437=""),"",IF(Comenzi!$D$6="Da",IFERROR($F437/(1+INDEX('Calculator Cost per Bucata'!$AC:$AC,ROW()+4)),""),$F437))</f>
        <v/>
      </c>
      <c r="I437" s="46" t="str">
        <f t="shared" si="18"/>
        <v/>
      </c>
      <c r="J437" s="47" t="str">
        <f t="shared" si="19"/>
        <v/>
      </c>
      <c r="K437" s="48" t="str">
        <f t="shared" si="20"/>
        <v/>
      </c>
    </row>
    <row r="438" spans="1:11" x14ac:dyDescent="0.3">
      <c r="A438" s="28" t="str">
        <f>IF(INDEX('Calculator Cost per Bucata'!$A:$A,ROW()+4)="","",INDEX('Calculator Cost per Bucata'!$A:$A,ROW()+4))</f>
        <v/>
      </c>
      <c r="B438" s="28" t="str">
        <f>IF($A438="","",INDEX('Calculator Cost per Bucata'!$C:$C,ROW()+4))</f>
        <v/>
      </c>
      <c r="C438" s="28" t="str">
        <f>IF($A438="","",INDEX('Calculator Cost per Bucata'!$D:$D,ROW()+4))</f>
        <v/>
      </c>
      <c r="D438" s="33" t="str">
        <f>IF(INDEX('Calculator Cost per Bucata'!$Y:$Y,ROW()+4)=1,INDEX('Calculator Cost per Bucata'!$P:$P,ROW()+4),"")</f>
        <v/>
      </c>
      <c r="E438" s="33" t="str">
        <f>IF(INDEX('Calculator Cost per Bucata'!$Y:$Y,ROW()+4)=1,INDEX('Calculator Cost per Bucata'!$S:$S,ROW()+4),"")</f>
        <v/>
      </c>
      <c r="F438" s="33" t="str">
        <f>IF($A438="","",IF(N(INDEX('PI Furnizor'!$L:$L,ROW()+1))&gt;0,INDEX('PI Furnizor'!$L:$L,ROW()+1),""))</f>
        <v/>
      </c>
      <c r="G438" s="33" t="str">
        <f>IF($A438="","",IF(Comenzi!$D$6="Da",$D438,$E438))</f>
        <v/>
      </c>
      <c r="H438" s="33" t="str">
        <f>IF(OR($A438="",$F438=""),"",IF(Comenzi!$D$6="Da",IFERROR($F438/(1+INDEX('Calculator Cost per Bucata'!$AC:$AC,ROW()+4)),""),$F438))</f>
        <v/>
      </c>
      <c r="I438" s="46" t="str">
        <f t="shared" si="18"/>
        <v/>
      </c>
      <c r="J438" s="47" t="str">
        <f t="shared" si="19"/>
        <v/>
      </c>
      <c r="K438" s="48" t="str">
        <f t="shared" si="20"/>
        <v/>
      </c>
    </row>
    <row r="439" spans="1:11" x14ac:dyDescent="0.3">
      <c r="A439" s="28" t="str">
        <f>IF(INDEX('Calculator Cost per Bucata'!$A:$A,ROW()+4)="","",INDEX('Calculator Cost per Bucata'!$A:$A,ROW()+4))</f>
        <v/>
      </c>
      <c r="B439" s="28" t="str">
        <f>IF($A439="","",INDEX('Calculator Cost per Bucata'!$C:$C,ROW()+4))</f>
        <v/>
      </c>
      <c r="C439" s="28" t="str">
        <f>IF($A439="","",INDEX('Calculator Cost per Bucata'!$D:$D,ROW()+4))</f>
        <v/>
      </c>
      <c r="D439" s="33" t="str">
        <f>IF(INDEX('Calculator Cost per Bucata'!$Y:$Y,ROW()+4)=1,INDEX('Calculator Cost per Bucata'!$P:$P,ROW()+4),"")</f>
        <v/>
      </c>
      <c r="E439" s="33" t="str">
        <f>IF(INDEX('Calculator Cost per Bucata'!$Y:$Y,ROW()+4)=1,INDEX('Calculator Cost per Bucata'!$S:$S,ROW()+4),"")</f>
        <v/>
      </c>
      <c r="F439" s="33" t="str">
        <f>IF($A439="","",IF(N(INDEX('PI Furnizor'!$L:$L,ROW()+1))&gt;0,INDEX('PI Furnizor'!$L:$L,ROW()+1),""))</f>
        <v/>
      </c>
      <c r="G439" s="33" t="str">
        <f>IF($A439="","",IF(Comenzi!$D$6="Da",$D439,$E439))</f>
        <v/>
      </c>
      <c r="H439" s="33" t="str">
        <f>IF(OR($A439="",$F439=""),"",IF(Comenzi!$D$6="Da",IFERROR($F439/(1+INDEX('Calculator Cost per Bucata'!$AC:$AC,ROW()+4)),""),$F439))</f>
        <v/>
      </c>
      <c r="I439" s="46" t="str">
        <f t="shared" si="18"/>
        <v/>
      </c>
      <c r="J439" s="47" t="str">
        <f t="shared" si="19"/>
        <v/>
      </c>
      <c r="K439" s="48" t="str">
        <f t="shared" si="20"/>
        <v/>
      </c>
    </row>
    <row r="440" spans="1:11" x14ac:dyDescent="0.3">
      <c r="A440" s="28" t="str">
        <f>IF(INDEX('Calculator Cost per Bucata'!$A:$A,ROW()+4)="","",INDEX('Calculator Cost per Bucata'!$A:$A,ROW()+4))</f>
        <v/>
      </c>
      <c r="B440" s="28" t="str">
        <f>IF($A440="","",INDEX('Calculator Cost per Bucata'!$C:$C,ROW()+4))</f>
        <v/>
      </c>
      <c r="C440" s="28" t="str">
        <f>IF($A440="","",INDEX('Calculator Cost per Bucata'!$D:$D,ROW()+4))</f>
        <v/>
      </c>
      <c r="D440" s="33" t="str">
        <f>IF(INDEX('Calculator Cost per Bucata'!$Y:$Y,ROW()+4)=1,INDEX('Calculator Cost per Bucata'!$P:$P,ROW()+4),"")</f>
        <v/>
      </c>
      <c r="E440" s="33" t="str">
        <f>IF(INDEX('Calculator Cost per Bucata'!$Y:$Y,ROW()+4)=1,INDEX('Calculator Cost per Bucata'!$S:$S,ROW()+4),"")</f>
        <v/>
      </c>
      <c r="F440" s="33" t="str">
        <f>IF($A440="","",IF(N(INDEX('PI Furnizor'!$L:$L,ROW()+1))&gt;0,INDEX('PI Furnizor'!$L:$L,ROW()+1),""))</f>
        <v/>
      </c>
      <c r="G440" s="33" t="str">
        <f>IF($A440="","",IF(Comenzi!$D$6="Da",$D440,$E440))</f>
        <v/>
      </c>
      <c r="H440" s="33" t="str">
        <f>IF(OR($A440="",$F440=""),"",IF(Comenzi!$D$6="Da",IFERROR($F440/(1+INDEX('Calculator Cost per Bucata'!$AC:$AC,ROW()+4)),""),$F440))</f>
        <v/>
      </c>
      <c r="I440" s="46" t="str">
        <f t="shared" si="18"/>
        <v/>
      </c>
      <c r="J440" s="47" t="str">
        <f t="shared" si="19"/>
        <v/>
      </c>
      <c r="K440" s="48" t="str">
        <f t="shared" si="20"/>
        <v/>
      </c>
    </row>
    <row r="441" spans="1:11" x14ac:dyDescent="0.3">
      <c r="A441" s="28" t="str">
        <f>IF(INDEX('Calculator Cost per Bucata'!$A:$A,ROW()+4)="","",INDEX('Calculator Cost per Bucata'!$A:$A,ROW()+4))</f>
        <v/>
      </c>
      <c r="B441" s="28" t="str">
        <f>IF($A441="","",INDEX('Calculator Cost per Bucata'!$C:$C,ROW()+4))</f>
        <v/>
      </c>
      <c r="C441" s="28" t="str">
        <f>IF($A441="","",INDEX('Calculator Cost per Bucata'!$D:$D,ROW()+4))</f>
        <v/>
      </c>
      <c r="D441" s="33" t="str">
        <f>IF(INDEX('Calculator Cost per Bucata'!$Y:$Y,ROW()+4)=1,INDEX('Calculator Cost per Bucata'!$P:$P,ROW()+4),"")</f>
        <v/>
      </c>
      <c r="E441" s="33" t="str">
        <f>IF(INDEX('Calculator Cost per Bucata'!$Y:$Y,ROW()+4)=1,INDEX('Calculator Cost per Bucata'!$S:$S,ROW()+4),"")</f>
        <v/>
      </c>
      <c r="F441" s="33" t="str">
        <f>IF($A441="","",IF(N(INDEX('PI Furnizor'!$L:$L,ROW()+1))&gt;0,INDEX('PI Furnizor'!$L:$L,ROW()+1),""))</f>
        <v/>
      </c>
      <c r="G441" s="33" t="str">
        <f>IF($A441="","",IF(Comenzi!$D$6="Da",$D441,$E441))</f>
        <v/>
      </c>
      <c r="H441" s="33" t="str">
        <f>IF(OR($A441="",$F441=""),"",IF(Comenzi!$D$6="Da",IFERROR($F441/(1+INDEX('Calculator Cost per Bucata'!$AC:$AC,ROW()+4)),""),$F441))</f>
        <v/>
      </c>
      <c r="I441" s="46" t="str">
        <f t="shared" si="18"/>
        <v/>
      </c>
      <c r="J441" s="47" t="str">
        <f t="shared" si="19"/>
        <v/>
      </c>
      <c r="K441" s="48" t="str">
        <f t="shared" si="20"/>
        <v/>
      </c>
    </row>
    <row r="442" spans="1:11" x14ac:dyDescent="0.3">
      <c r="A442" s="28" t="str">
        <f>IF(INDEX('Calculator Cost per Bucata'!$A:$A,ROW()+4)="","",INDEX('Calculator Cost per Bucata'!$A:$A,ROW()+4))</f>
        <v/>
      </c>
      <c r="B442" s="28" t="str">
        <f>IF($A442="","",INDEX('Calculator Cost per Bucata'!$C:$C,ROW()+4))</f>
        <v/>
      </c>
      <c r="C442" s="28" t="str">
        <f>IF($A442="","",INDEX('Calculator Cost per Bucata'!$D:$D,ROW()+4))</f>
        <v/>
      </c>
      <c r="D442" s="33" t="str">
        <f>IF(INDEX('Calculator Cost per Bucata'!$Y:$Y,ROW()+4)=1,INDEX('Calculator Cost per Bucata'!$P:$P,ROW()+4),"")</f>
        <v/>
      </c>
      <c r="E442" s="33" t="str">
        <f>IF(INDEX('Calculator Cost per Bucata'!$Y:$Y,ROW()+4)=1,INDEX('Calculator Cost per Bucata'!$S:$S,ROW()+4),"")</f>
        <v/>
      </c>
      <c r="F442" s="33" t="str">
        <f>IF($A442="","",IF(N(INDEX('PI Furnizor'!$L:$L,ROW()+1))&gt;0,INDEX('PI Furnizor'!$L:$L,ROW()+1),""))</f>
        <v/>
      </c>
      <c r="G442" s="33" t="str">
        <f>IF($A442="","",IF(Comenzi!$D$6="Da",$D442,$E442))</f>
        <v/>
      </c>
      <c r="H442" s="33" t="str">
        <f>IF(OR($A442="",$F442=""),"",IF(Comenzi!$D$6="Da",IFERROR($F442/(1+INDEX('Calculator Cost per Bucata'!$AC:$AC,ROW()+4)),""),$F442))</f>
        <v/>
      </c>
      <c r="I442" s="46" t="str">
        <f t="shared" si="18"/>
        <v/>
      </c>
      <c r="J442" s="47" t="str">
        <f t="shared" si="19"/>
        <v/>
      </c>
      <c r="K442" s="48" t="str">
        <f t="shared" si="20"/>
        <v/>
      </c>
    </row>
    <row r="443" spans="1:11" x14ac:dyDescent="0.3">
      <c r="A443" s="28" t="str">
        <f>IF(INDEX('Calculator Cost per Bucata'!$A:$A,ROW()+4)="","",INDEX('Calculator Cost per Bucata'!$A:$A,ROW()+4))</f>
        <v/>
      </c>
      <c r="B443" s="28" t="str">
        <f>IF($A443="","",INDEX('Calculator Cost per Bucata'!$C:$C,ROW()+4))</f>
        <v/>
      </c>
      <c r="C443" s="28" t="str">
        <f>IF($A443="","",INDEX('Calculator Cost per Bucata'!$D:$D,ROW()+4))</f>
        <v/>
      </c>
      <c r="D443" s="33" t="str">
        <f>IF(INDEX('Calculator Cost per Bucata'!$Y:$Y,ROW()+4)=1,INDEX('Calculator Cost per Bucata'!$P:$P,ROW()+4),"")</f>
        <v/>
      </c>
      <c r="E443" s="33" t="str">
        <f>IF(INDEX('Calculator Cost per Bucata'!$Y:$Y,ROW()+4)=1,INDEX('Calculator Cost per Bucata'!$S:$S,ROW()+4),"")</f>
        <v/>
      </c>
      <c r="F443" s="33" t="str">
        <f>IF($A443="","",IF(N(INDEX('PI Furnizor'!$L:$L,ROW()+1))&gt;0,INDEX('PI Furnizor'!$L:$L,ROW()+1),""))</f>
        <v/>
      </c>
      <c r="G443" s="33" t="str">
        <f>IF($A443="","",IF(Comenzi!$D$6="Da",$D443,$E443))</f>
        <v/>
      </c>
      <c r="H443" s="33" t="str">
        <f>IF(OR($A443="",$F443=""),"",IF(Comenzi!$D$6="Da",IFERROR($F443/(1+INDEX('Calculator Cost per Bucata'!$AC:$AC,ROW()+4)),""),$F443))</f>
        <v/>
      </c>
      <c r="I443" s="46" t="str">
        <f t="shared" si="18"/>
        <v/>
      </c>
      <c r="J443" s="47" t="str">
        <f t="shared" si="19"/>
        <v/>
      </c>
      <c r="K443" s="48" t="str">
        <f t="shared" si="20"/>
        <v/>
      </c>
    </row>
    <row r="444" spans="1:11" x14ac:dyDescent="0.3">
      <c r="A444" s="28" t="str">
        <f>IF(INDEX('Calculator Cost per Bucata'!$A:$A,ROW()+4)="","",INDEX('Calculator Cost per Bucata'!$A:$A,ROW()+4))</f>
        <v/>
      </c>
      <c r="B444" s="28" t="str">
        <f>IF($A444="","",INDEX('Calculator Cost per Bucata'!$C:$C,ROW()+4))</f>
        <v/>
      </c>
      <c r="C444" s="28" t="str">
        <f>IF($A444="","",INDEX('Calculator Cost per Bucata'!$D:$D,ROW()+4))</f>
        <v/>
      </c>
      <c r="D444" s="33" t="str">
        <f>IF(INDEX('Calculator Cost per Bucata'!$Y:$Y,ROW()+4)=1,INDEX('Calculator Cost per Bucata'!$P:$P,ROW()+4),"")</f>
        <v/>
      </c>
      <c r="E444" s="33" t="str">
        <f>IF(INDEX('Calculator Cost per Bucata'!$Y:$Y,ROW()+4)=1,INDEX('Calculator Cost per Bucata'!$S:$S,ROW()+4),"")</f>
        <v/>
      </c>
      <c r="F444" s="33" t="str">
        <f>IF($A444="","",IF(N(INDEX('PI Furnizor'!$L:$L,ROW()+1))&gt;0,INDEX('PI Furnizor'!$L:$L,ROW()+1),""))</f>
        <v/>
      </c>
      <c r="G444" s="33" t="str">
        <f>IF($A444="","",IF(Comenzi!$D$6="Da",$D444,$E444))</f>
        <v/>
      </c>
      <c r="H444" s="33" t="str">
        <f>IF(OR($A444="",$F444=""),"",IF(Comenzi!$D$6="Da",IFERROR($F444/(1+INDEX('Calculator Cost per Bucata'!$AC:$AC,ROW()+4)),""),$F444))</f>
        <v/>
      </c>
      <c r="I444" s="46" t="str">
        <f t="shared" si="18"/>
        <v/>
      </c>
      <c r="J444" s="47" t="str">
        <f t="shared" si="19"/>
        <v/>
      </c>
      <c r="K444" s="48" t="str">
        <f t="shared" si="20"/>
        <v/>
      </c>
    </row>
    <row r="445" spans="1:11" x14ac:dyDescent="0.3">
      <c r="A445" s="28" t="str">
        <f>IF(INDEX('Calculator Cost per Bucata'!$A:$A,ROW()+4)="","",INDEX('Calculator Cost per Bucata'!$A:$A,ROW()+4))</f>
        <v/>
      </c>
      <c r="B445" s="28" t="str">
        <f>IF($A445="","",INDEX('Calculator Cost per Bucata'!$C:$C,ROW()+4))</f>
        <v/>
      </c>
      <c r="C445" s="28" t="str">
        <f>IF($A445="","",INDEX('Calculator Cost per Bucata'!$D:$D,ROW()+4))</f>
        <v/>
      </c>
      <c r="D445" s="33" t="str">
        <f>IF(INDEX('Calculator Cost per Bucata'!$Y:$Y,ROW()+4)=1,INDEX('Calculator Cost per Bucata'!$P:$P,ROW()+4),"")</f>
        <v/>
      </c>
      <c r="E445" s="33" t="str">
        <f>IF(INDEX('Calculator Cost per Bucata'!$Y:$Y,ROW()+4)=1,INDEX('Calculator Cost per Bucata'!$S:$S,ROW()+4),"")</f>
        <v/>
      </c>
      <c r="F445" s="33" t="str">
        <f>IF($A445="","",IF(N(INDEX('PI Furnizor'!$L:$L,ROW()+1))&gt;0,INDEX('PI Furnizor'!$L:$L,ROW()+1),""))</f>
        <v/>
      </c>
      <c r="G445" s="33" t="str">
        <f>IF($A445="","",IF(Comenzi!$D$6="Da",$D445,$E445))</f>
        <v/>
      </c>
      <c r="H445" s="33" t="str">
        <f>IF(OR($A445="",$F445=""),"",IF(Comenzi!$D$6="Da",IFERROR($F445/(1+INDEX('Calculator Cost per Bucata'!$AC:$AC,ROW()+4)),""),$F445))</f>
        <v/>
      </c>
      <c r="I445" s="46" t="str">
        <f t="shared" si="18"/>
        <v/>
      </c>
      <c r="J445" s="47" t="str">
        <f t="shared" si="19"/>
        <v/>
      </c>
      <c r="K445" s="48" t="str">
        <f t="shared" si="20"/>
        <v/>
      </c>
    </row>
    <row r="446" spans="1:11" x14ac:dyDescent="0.3">
      <c r="A446" s="28" t="str">
        <f>IF(INDEX('Calculator Cost per Bucata'!$A:$A,ROW()+4)="","",INDEX('Calculator Cost per Bucata'!$A:$A,ROW()+4))</f>
        <v/>
      </c>
      <c r="B446" s="28" t="str">
        <f>IF($A446="","",INDEX('Calculator Cost per Bucata'!$C:$C,ROW()+4))</f>
        <v/>
      </c>
      <c r="C446" s="28" t="str">
        <f>IF($A446="","",INDEX('Calculator Cost per Bucata'!$D:$D,ROW()+4))</f>
        <v/>
      </c>
      <c r="D446" s="33" t="str">
        <f>IF(INDEX('Calculator Cost per Bucata'!$Y:$Y,ROW()+4)=1,INDEX('Calculator Cost per Bucata'!$P:$P,ROW()+4),"")</f>
        <v/>
      </c>
      <c r="E446" s="33" t="str">
        <f>IF(INDEX('Calculator Cost per Bucata'!$Y:$Y,ROW()+4)=1,INDEX('Calculator Cost per Bucata'!$S:$S,ROW()+4),"")</f>
        <v/>
      </c>
      <c r="F446" s="33" t="str">
        <f>IF($A446="","",IF(N(INDEX('PI Furnizor'!$L:$L,ROW()+1))&gt;0,INDEX('PI Furnizor'!$L:$L,ROW()+1),""))</f>
        <v/>
      </c>
      <c r="G446" s="33" t="str">
        <f>IF($A446="","",IF(Comenzi!$D$6="Da",$D446,$E446))</f>
        <v/>
      </c>
      <c r="H446" s="33" t="str">
        <f>IF(OR($A446="",$F446=""),"",IF(Comenzi!$D$6="Da",IFERROR($F446/(1+INDEX('Calculator Cost per Bucata'!$AC:$AC,ROW()+4)),""),$F446))</f>
        <v/>
      </c>
      <c r="I446" s="46" t="str">
        <f t="shared" si="18"/>
        <v/>
      </c>
      <c r="J446" s="47" t="str">
        <f t="shared" si="19"/>
        <v/>
      </c>
      <c r="K446" s="48" t="str">
        <f t="shared" si="20"/>
        <v/>
      </c>
    </row>
    <row r="447" spans="1:11" x14ac:dyDescent="0.3">
      <c r="A447" s="28" t="str">
        <f>IF(INDEX('Calculator Cost per Bucata'!$A:$A,ROW()+4)="","",INDEX('Calculator Cost per Bucata'!$A:$A,ROW()+4))</f>
        <v/>
      </c>
      <c r="B447" s="28" t="str">
        <f>IF($A447="","",INDEX('Calculator Cost per Bucata'!$C:$C,ROW()+4))</f>
        <v/>
      </c>
      <c r="C447" s="28" t="str">
        <f>IF($A447="","",INDEX('Calculator Cost per Bucata'!$D:$D,ROW()+4))</f>
        <v/>
      </c>
      <c r="D447" s="33" t="str">
        <f>IF(INDEX('Calculator Cost per Bucata'!$Y:$Y,ROW()+4)=1,INDEX('Calculator Cost per Bucata'!$P:$P,ROW()+4),"")</f>
        <v/>
      </c>
      <c r="E447" s="33" t="str">
        <f>IF(INDEX('Calculator Cost per Bucata'!$Y:$Y,ROW()+4)=1,INDEX('Calculator Cost per Bucata'!$S:$S,ROW()+4),"")</f>
        <v/>
      </c>
      <c r="F447" s="33" t="str">
        <f>IF($A447="","",IF(N(INDEX('PI Furnizor'!$L:$L,ROW()+1))&gt;0,INDEX('PI Furnizor'!$L:$L,ROW()+1),""))</f>
        <v/>
      </c>
      <c r="G447" s="33" t="str">
        <f>IF($A447="","",IF(Comenzi!$D$6="Da",$D447,$E447))</f>
        <v/>
      </c>
      <c r="H447" s="33" t="str">
        <f>IF(OR($A447="",$F447=""),"",IF(Comenzi!$D$6="Da",IFERROR($F447/(1+INDEX('Calculator Cost per Bucata'!$AC:$AC,ROW()+4)),""),$F447))</f>
        <v/>
      </c>
      <c r="I447" s="46" t="str">
        <f t="shared" si="18"/>
        <v/>
      </c>
      <c r="J447" s="47" t="str">
        <f t="shared" si="19"/>
        <v/>
      </c>
      <c r="K447" s="48" t="str">
        <f t="shared" si="20"/>
        <v/>
      </c>
    </row>
    <row r="448" spans="1:11" x14ac:dyDescent="0.3">
      <c r="A448" s="28" t="str">
        <f>IF(INDEX('Calculator Cost per Bucata'!$A:$A,ROW()+4)="","",INDEX('Calculator Cost per Bucata'!$A:$A,ROW()+4))</f>
        <v/>
      </c>
      <c r="B448" s="28" t="str">
        <f>IF($A448="","",INDEX('Calculator Cost per Bucata'!$C:$C,ROW()+4))</f>
        <v/>
      </c>
      <c r="C448" s="28" t="str">
        <f>IF($A448="","",INDEX('Calculator Cost per Bucata'!$D:$D,ROW()+4))</f>
        <v/>
      </c>
      <c r="D448" s="33" t="str">
        <f>IF(INDEX('Calculator Cost per Bucata'!$Y:$Y,ROW()+4)=1,INDEX('Calculator Cost per Bucata'!$P:$P,ROW()+4),"")</f>
        <v/>
      </c>
      <c r="E448" s="33" t="str">
        <f>IF(INDEX('Calculator Cost per Bucata'!$Y:$Y,ROW()+4)=1,INDEX('Calculator Cost per Bucata'!$S:$S,ROW()+4),"")</f>
        <v/>
      </c>
      <c r="F448" s="33" t="str">
        <f>IF($A448="","",IF(N(INDEX('PI Furnizor'!$L:$L,ROW()+1))&gt;0,INDEX('PI Furnizor'!$L:$L,ROW()+1),""))</f>
        <v/>
      </c>
      <c r="G448" s="33" t="str">
        <f>IF($A448="","",IF(Comenzi!$D$6="Da",$D448,$E448))</f>
        <v/>
      </c>
      <c r="H448" s="33" t="str">
        <f>IF(OR($A448="",$F448=""),"",IF(Comenzi!$D$6="Da",IFERROR($F448/(1+INDEX('Calculator Cost per Bucata'!$AC:$AC,ROW()+4)),""),$F448))</f>
        <v/>
      </c>
      <c r="I448" s="46" t="str">
        <f t="shared" si="18"/>
        <v/>
      </c>
      <c r="J448" s="47" t="str">
        <f t="shared" si="19"/>
        <v/>
      </c>
      <c r="K448" s="48" t="str">
        <f t="shared" si="20"/>
        <v/>
      </c>
    </row>
    <row r="449" spans="1:11" x14ac:dyDescent="0.3">
      <c r="A449" s="28" t="str">
        <f>IF(INDEX('Calculator Cost per Bucata'!$A:$A,ROW()+4)="","",INDEX('Calculator Cost per Bucata'!$A:$A,ROW()+4))</f>
        <v/>
      </c>
      <c r="B449" s="28" t="str">
        <f>IF($A449="","",INDEX('Calculator Cost per Bucata'!$C:$C,ROW()+4))</f>
        <v/>
      </c>
      <c r="C449" s="28" t="str">
        <f>IF($A449="","",INDEX('Calculator Cost per Bucata'!$D:$D,ROW()+4))</f>
        <v/>
      </c>
      <c r="D449" s="33" t="str">
        <f>IF(INDEX('Calculator Cost per Bucata'!$Y:$Y,ROW()+4)=1,INDEX('Calculator Cost per Bucata'!$P:$P,ROW()+4),"")</f>
        <v/>
      </c>
      <c r="E449" s="33" t="str">
        <f>IF(INDEX('Calculator Cost per Bucata'!$Y:$Y,ROW()+4)=1,INDEX('Calculator Cost per Bucata'!$S:$S,ROW()+4),"")</f>
        <v/>
      </c>
      <c r="F449" s="33" t="str">
        <f>IF($A449="","",IF(N(INDEX('PI Furnizor'!$L:$L,ROW()+1))&gt;0,INDEX('PI Furnizor'!$L:$L,ROW()+1),""))</f>
        <v/>
      </c>
      <c r="G449" s="33" t="str">
        <f>IF($A449="","",IF(Comenzi!$D$6="Da",$D449,$E449))</f>
        <v/>
      </c>
      <c r="H449" s="33" t="str">
        <f>IF(OR($A449="",$F449=""),"",IF(Comenzi!$D$6="Da",IFERROR($F449/(1+INDEX('Calculator Cost per Bucata'!$AC:$AC,ROW()+4)),""),$F449))</f>
        <v/>
      </c>
      <c r="I449" s="46" t="str">
        <f t="shared" si="18"/>
        <v/>
      </c>
      <c r="J449" s="47" t="str">
        <f t="shared" si="19"/>
        <v/>
      </c>
      <c r="K449" s="48" t="str">
        <f t="shared" si="20"/>
        <v/>
      </c>
    </row>
    <row r="450" spans="1:11" x14ac:dyDescent="0.3">
      <c r="A450" s="28" t="str">
        <f>IF(INDEX('Calculator Cost per Bucata'!$A:$A,ROW()+4)="","",INDEX('Calculator Cost per Bucata'!$A:$A,ROW()+4))</f>
        <v/>
      </c>
      <c r="B450" s="28" t="str">
        <f>IF($A450="","",INDEX('Calculator Cost per Bucata'!$C:$C,ROW()+4))</f>
        <v/>
      </c>
      <c r="C450" s="28" t="str">
        <f>IF($A450="","",INDEX('Calculator Cost per Bucata'!$D:$D,ROW()+4))</f>
        <v/>
      </c>
      <c r="D450" s="33" t="str">
        <f>IF(INDEX('Calculator Cost per Bucata'!$Y:$Y,ROW()+4)=1,INDEX('Calculator Cost per Bucata'!$P:$P,ROW()+4),"")</f>
        <v/>
      </c>
      <c r="E450" s="33" t="str">
        <f>IF(INDEX('Calculator Cost per Bucata'!$Y:$Y,ROW()+4)=1,INDEX('Calculator Cost per Bucata'!$S:$S,ROW()+4),"")</f>
        <v/>
      </c>
      <c r="F450" s="33" t="str">
        <f>IF($A450="","",IF(N(INDEX('PI Furnizor'!$L:$L,ROW()+1))&gt;0,INDEX('PI Furnizor'!$L:$L,ROW()+1),""))</f>
        <v/>
      </c>
      <c r="G450" s="33" t="str">
        <f>IF($A450="","",IF(Comenzi!$D$6="Da",$D450,$E450))</f>
        <v/>
      </c>
      <c r="H450" s="33" t="str">
        <f>IF(OR($A450="",$F450=""),"",IF(Comenzi!$D$6="Da",IFERROR($F450/(1+INDEX('Calculator Cost per Bucata'!$AC:$AC,ROW()+4)),""),$F450))</f>
        <v/>
      </c>
      <c r="I450" s="46" t="str">
        <f t="shared" si="18"/>
        <v/>
      </c>
      <c r="J450" s="47" t="str">
        <f t="shared" si="19"/>
        <v/>
      </c>
      <c r="K450" s="48" t="str">
        <f t="shared" si="20"/>
        <v/>
      </c>
    </row>
    <row r="451" spans="1:11" x14ac:dyDescent="0.3">
      <c r="A451" s="28" t="str">
        <f>IF(INDEX('Calculator Cost per Bucata'!$A:$A,ROW()+4)="","",INDEX('Calculator Cost per Bucata'!$A:$A,ROW()+4))</f>
        <v/>
      </c>
      <c r="B451" s="28" t="str">
        <f>IF($A451="","",INDEX('Calculator Cost per Bucata'!$C:$C,ROW()+4))</f>
        <v/>
      </c>
      <c r="C451" s="28" t="str">
        <f>IF($A451="","",INDEX('Calculator Cost per Bucata'!$D:$D,ROW()+4))</f>
        <v/>
      </c>
      <c r="D451" s="33" t="str">
        <f>IF(INDEX('Calculator Cost per Bucata'!$Y:$Y,ROW()+4)=1,INDEX('Calculator Cost per Bucata'!$P:$P,ROW()+4),"")</f>
        <v/>
      </c>
      <c r="E451" s="33" t="str">
        <f>IF(INDEX('Calculator Cost per Bucata'!$Y:$Y,ROW()+4)=1,INDEX('Calculator Cost per Bucata'!$S:$S,ROW()+4),"")</f>
        <v/>
      </c>
      <c r="F451" s="33" t="str">
        <f>IF($A451="","",IF(N(INDEX('PI Furnizor'!$L:$L,ROW()+1))&gt;0,INDEX('PI Furnizor'!$L:$L,ROW()+1),""))</f>
        <v/>
      </c>
      <c r="G451" s="33" t="str">
        <f>IF($A451="","",IF(Comenzi!$D$6="Da",$D451,$E451))</f>
        <v/>
      </c>
      <c r="H451" s="33" t="str">
        <f>IF(OR($A451="",$F451=""),"",IF(Comenzi!$D$6="Da",IFERROR($F451/(1+INDEX('Calculator Cost per Bucata'!$AC:$AC,ROW()+4)),""),$F451))</f>
        <v/>
      </c>
      <c r="I451" s="46" t="str">
        <f t="shared" si="18"/>
        <v/>
      </c>
      <c r="J451" s="47" t="str">
        <f t="shared" si="19"/>
        <v/>
      </c>
      <c r="K451" s="48" t="str">
        <f t="shared" si="20"/>
        <v/>
      </c>
    </row>
    <row r="452" spans="1:11" x14ac:dyDescent="0.3">
      <c r="A452" s="28" t="str">
        <f>IF(INDEX('Calculator Cost per Bucata'!$A:$A,ROW()+4)="","",INDEX('Calculator Cost per Bucata'!$A:$A,ROW()+4))</f>
        <v/>
      </c>
      <c r="B452" s="28" t="str">
        <f>IF($A452="","",INDEX('Calculator Cost per Bucata'!$C:$C,ROW()+4))</f>
        <v/>
      </c>
      <c r="C452" s="28" t="str">
        <f>IF($A452="","",INDEX('Calculator Cost per Bucata'!$D:$D,ROW()+4))</f>
        <v/>
      </c>
      <c r="D452" s="33" t="str">
        <f>IF(INDEX('Calculator Cost per Bucata'!$Y:$Y,ROW()+4)=1,INDEX('Calculator Cost per Bucata'!$P:$P,ROW()+4),"")</f>
        <v/>
      </c>
      <c r="E452" s="33" t="str">
        <f>IF(INDEX('Calculator Cost per Bucata'!$Y:$Y,ROW()+4)=1,INDEX('Calculator Cost per Bucata'!$S:$S,ROW()+4),"")</f>
        <v/>
      </c>
      <c r="F452" s="33" t="str">
        <f>IF($A452="","",IF(N(INDEX('PI Furnizor'!$L:$L,ROW()+1))&gt;0,INDEX('PI Furnizor'!$L:$L,ROW()+1),""))</f>
        <v/>
      </c>
      <c r="G452" s="33" t="str">
        <f>IF($A452="","",IF(Comenzi!$D$6="Da",$D452,$E452))</f>
        <v/>
      </c>
      <c r="H452" s="33" t="str">
        <f>IF(OR($A452="",$F452=""),"",IF(Comenzi!$D$6="Da",IFERROR($F452/(1+INDEX('Calculator Cost per Bucata'!$AC:$AC,ROW()+4)),""),$F452))</f>
        <v/>
      </c>
      <c r="I452" s="46" t="str">
        <f t="shared" si="18"/>
        <v/>
      </c>
      <c r="J452" s="47" t="str">
        <f t="shared" si="19"/>
        <v/>
      </c>
      <c r="K452" s="48" t="str">
        <f t="shared" si="20"/>
        <v/>
      </c>
    </row>
    <row r="453" spans="1:11" x14ac:dyDescent="0.3">
      <c r="A453" s="28" t="str">
        <f>IF(INDEX('Calculator Cost per Bucata'!$A:$A,ROW()+4)="","",INDEX('Calculator Cost per Bucata'!$A:$A,ROW()+4))</f>
        <v/>
      </c>
      <c r="B453" s="28" t="str">
        <f>IF($A453="","",INDEX('Calculator Cost per Bucata'!$C:$C,ROW()+4))</f>
        <v/>
      </c>
      <c r="C453" s="28" t="str">
        <f>IF($A453="","",INDEX('Calculator Cost per Bucata'!$D:$D,ROW()+4))</f>
        <v/>
      </c>
      <c r="D453" s="33" t="str">
        <f>IF(INDEX('Calculator Cost per Bucata'!$Y:$Y,ROW()+4)=1,INDEX('Calculator Cost per Bucata'!$P:$P,ROW()+4),"")</f>
        <v/>
      </c>
      <c r="E453" s="33" t="str">
        <f>IF(INDEX('Calculator Cost per Bucata'!$Y:$Y,ROW()+4)=1,INDEX('Calculator Cost per Bucata'!$S:$S,ROW()+4),"")</f>
        <v/>
      </c>
      <c r="F453" s="33" t="str">
        <f>IF($A453="","",IF(N(INDEX('PI Furnizor'!$L:$L,ROW()+1))&gt;0,INDEX('PI Furnizor'!$L:$L,ROW()+1),""))</f>
        <v/>
      </c>
      <c r="G453" s="33" t="str">
        <f>IF($A453="","",IF(Comenzi!$D$6="Da",$D453,$E453))</f>
        <v/>
      </c>
      <c r="H453" s="33" t="str">
        <f>IF(OR($A453="",$F453=""),"",IF(Comenzi!$D$6="Da",IFERROR($F453/(1+INDEX('Calculator Cost per Bucata'!$AC:$AC,ROW()+4)),""),$F453))</f>
        <v/>
      </c>
      <c r="I453" s="46" t="str">
        <f t="shared" si="18"/>
        <v/>
      </c>
      <c r="J453" s="47" t="str">
        <f t="shared" si="19"/>
        <v/>
      </c>
      <c r="K453" s="48" t="str">
        <f t="shared" si="20"/>
        <v/>
      </c>
    </row>
    <row r="454" spans="1:11" x14ac:dyDescent="0.3">
      <c r="A454" s="28" t="str">
        <f>IF(INDEX('Calculator Cost per Bucata'!$A:$A,ROW()+4)="","",INDEX('Calculator Cost per Bucata'!$A:$A,ROW()+4))</f>
        <v/>
      </c>
      <c r="B454" s="28" t="str">
        <f>IF($A454="","",INDEX('Calculator Cost per Bucata'!$C:$C,ROW()+4))</f>
        <v/>
      </c>
      <c r="C454" s="28" t="str">
        <f>IF($A454="","",INDEX('Calculator Cost per Bucata'!$D:$D,ROW()+4))</f>
        <v/>
      </c>
      <c r="D454" s="33" t="str">
        <f>IF(INDEX('Calculator Cost per Bucata'!$Y:$Y,ROW()+4)=1,INDEX('Calculator Cost per Bucata'!$P:$P,ROW()+4),"")</f>
        <v/>
      </c>
      <c r="E454" s="33" t="str">
        <f>IF(INDEX('Calculator Cost per Bucata'!$Y:$Y,ROW()+4)=1,INDEX('Calculator Cost per Bucata'!$S:$S,ROW()+4),"")</f>
        <v/>
      </c>
      <c r="F454" s="33" t="str">
        <f>IF($A454="","",IF(N(INDEX('PI Furnizor'!$L:$L,ROW()+1))&gt;0,INDEX('PI Furnizor'!$L:$L,ROW()+1),""))</f>
        <v/>
      </c>
      <c r="G454" s="33" t="str">
        <f>IF($A454="","",IF(Comenzi!$D$6="Da",$D454,$E454))</f>
        <v/>
      </c>
      <c r="H454" s="33" t="str">
        <f>IF(OR($A454="",$F454=""),"",IF(Comenzi!$D$6="Da",IFERROR($F454/(1+INDEX('Calculator Cost per Bucata'!$AC:$AC,ROW()+4)),""),$F454))</f>
        <v/>
      </c>
      <c r="I454" s="46" t="str">
        <f t="shared" ref="I454:I505" si="21">IF(OR($G454="",$H454=""),"",$H454-$G454)</f>
        <v/>
      </c>
      <c r="J454" s="47" t="str">
        <f t="shared" ref="J454:J505" si="22">IF(OR($G454="",$H454=""),"",($H454-$G454)/$H454)</f>
        <v/>
      </c>
      <c r="K454" s="48" t="str">
        <f t="shared" ref="K454:K505" si="23">IF($A454="","",IF($G454="","Date incomplete - vezi Calculator",IF($H454="","Introdu pretul RO (PI Furnizor, col. L)",IF($H454&gt;$G454*1.15,"Import avantajos - marja buna",IF($H454&gt;$G454,"Import usor avantajos - marja mica","Piata RO mai ieftina - verifica")))))</f>
        <v/>
      </c>
    </row>
    <row r="455" spans="1:11" x14ac:dyDescent="0.3">
      <c r="A455" s="28" t="str">
        <f>IF(INDEX('Calculator Cost per Bucata'!$A:$A,ROW()+4)="","",INDEX('Calculator Cost per Bucata'!$A:$A,ROW()+4))</f>
        <v/>
      </c>
      <c r="B455" s="28" t="str">
        <f>IF($A455="","",INDEX('Calculator Cost per Bucata'!$C:$C,ROW()+4))</f>
        <v/>
      </c>
      <c r="C455" s="28" t="str">
        <f>IF($A455="","",INDEX('Calculator Cost per Bucata'!$D:$D,ROW()+4))</f>
        <v/>
      </c>
      <c r="D455" s="33" t="str">
        <f>IF(INDEX('Calculator Cost per Bucata'!$Y:$Y,ROW()+4)=1,INDEX('Calculator Cost per Bucata'!$P:$P,ROW()+4),"")</f>
        <v/>
      </c>
      <c r="E455" s="33" t="str">
        <f>IF(INDEX('Calculator Cost per Bucata'!$Y:$Y,ROW()+4)=1,INDEX('Calculator Cost per Bucata'!$S:$S,ROW()+4),"")</f>
        <v/>
      </c>
      <c r="F455" s="33" t="str">
        <f>IF($A455="","",IF(N(INDEX('PI Furnizor'!$L:$L,ROW()+1))&gt;0,INDEX('PI Furnizor'!$L:$L,ROW()+1),""))</f>
        <v/>
      </c>
      <c r="G455" s="33" t="str">
        <f>IF($A455="","",IF(Comenzi!$D$6="Da",$D455,$E455))</f>
        <v/>
      </c>
      <c r="H455" s="33" t="str">
        <f>IF(OR($A455="",$F455=""),"",IF(Comenzi!$D$6="Da",IFERROR($F455/(1+INDEX('Calculator Cost per Bucata'!$AC:$AC,ROW()+4)),""),$F455))</f>
        <v/>
      </c>
      <c r="I455" s="46" t="str">
        <f t="shared" si="21"/>
        <v/>
      </c>
      <c r="J455" s="47" t="str">
        <f t="shared" si="22"/>
        <v/>
      </c>
      <c r="K455" s="48" t="str">
        <f t="shared" si="23"/>
        <v/>
      </c>
    </row>
    <row r="456" spans="1:11" x14ac:dyDescent="0.3">
      <c r="A456" s="28" t="str">
        <f>IF(INDEX('Calculator Cost per Bucata'!$A:$A,ROW()+4)="","",INDEX('Calculator Cost per Bucata'!$A:$A,ROW()+4))</f>
        <v/>
      </c>
      <c r="B456" s="28" t="str">
        <f>IF($A456="","",INDEX('Calculator Cost per Bucata'!$C:$C,ROW()+4))</f>
        <v/>
      </c>
      <c r="C456" s="28" t="str">
        <f>IF($A456="","",INDEX('Calculator Cost per Bucata'!$D:$D,ROW()+4))</f>
        <v/>
      </c>
      <c r="D456" s="33" t="str">
        <f>IF(INDEX('Calculator Cost per Bucata'!$Y:$Y,ROW()+4)=1,INDEX('Calculator Cost per Bucata'!$P:$P,ROW()+4),"")</f>
        <v/>
      </c>
      <c r="E456" s="33" t="str">
        <f>IF(INDEX('Calculator Cost per Bucata'!$Y:$Y,ROW()+4)=1,INDEX('Calculator Cost per Bucata'!$S:$S,ROW()+4),"")</f>
        <v/>
      </c>
      <c r="F456" s="33" t="str">
        <f>IF($A456="","",IF(N(INDEX('PI Furnizor'!$L:$L,ROW()+1))&gt;0,INDEX('PI Furnizor'!$L:$L,ROW()+1),""))</f>
        <v/>
      </c>
      <c r="G456" s="33" t="str">
        <f>IF($A456="","",IF(Comenzi!$D$6="Da",$D456,$E456))</f>
        <v/>
      </c>
      <c r="H456" s="33" t="str">
        <f>IF(OR($A456="",$F456=""),"",IF(Comenzi!$D$6="Da",IFERROR($F456/(1+INDEX('Calculator Cost per Bucata'!$AC:$AC,ROW()+4)),""),$F456))</f>
        <v/>
      </c>
      <c r="I456" s="46" t="str">
        <f t="shared" si="21"/>
        <v/>
      </c>
      <c r="J456" s="47" t="str">
        <f t="shared" si="22"/>
        <v/>
      </c>
      <c r="K456" s="48" t="str">
        <f t="shared" si="23"/>
        <v/>
      </c>
    </row>
    <row r="457" spans="1:11" x14ac:dyDescent="0.3">
      <c r="A457" s="28" t="str">
        <f>IF(INDEX('Calculator Cost per Bucata'!$A:$A,ROW()+4)="","",INDEX('Calculator Cost per Bucata'!$A:$A,ROW()+4))</f>
        <v/>
      </c>
      <c r="B457" s="28" t="str">
        <f>IF($A457="","",INDEX('Calculator Cost per Bucata'!$C:$C,ROW()+4))</f>
        <v/>
      </c>
      <c r="C457" s="28" t="str">
        <f>IF($A457="","",INDEX('Calculator Cost per Bucata'!$D:$D,ROW()+4))</f>
        <v/>
      </c>
      <c r="D457" s="33" t="str">
        <f>IF(INDEX('Calculator Cost per Bucata'!$Y:$Y,ROW()+4)=1,INDEX('Calculator Cost per Bucata'!$P:$P,ROW()+4),"")</f>
        <v/>
      </c>
      <c r="E457" s="33" t="str">
        <f>IF(INDEX('Calculator Cost per Bucata'!$Y:$Y,ROW()+4)=1,INDEX('Calculator Cost per Bucata'!$S:$S,ROW()+4),"")</f>
        <v/>
      </c>
      <c r="F457" s="33" t="str">
        <f>IF($A457="","",IF(N(INDEX('PI Furnizor'!$L:$L,ROW()+1))&gt;0,INDEX('PI Furnizor'!$L:$L,ROW()+1),""))</f>
        <v/>
      </c>
      <c r="G457" s="33" t="str">
        <f>IF($A457="","",IF(Comenzi!$D$6="Da",$D457,$E457))</f>
        <v/>
      </c>
      <c r="H457" s="33" t="str">
        <f>IF(OR($A457="",$F457=""),"",IF(Comenzi!$D$6="Da",IFERROR($F457/(1+INDEX('Calculator Cost per Bucata'!$AC:$AC,ROW()+4)),""),$F457))</f>
        <v/>
      </c>
      <c r="I457" s="46" t="str">
        <f t="shared" si="21"/>
        <v/>
      </c>
      <c r="J457" s="47" t="str">
        <f t="shared" si="22"/>
        <v/>
      </c>
      <c r="K457" s="48" t="str">
        <f t="shared" si="23"/>
        <v/>
      </c>
    </row>
    <row r="458" spans="1:11" x14ac:dyDescent="0.3">
      <c r="A458" s="28" t="str">
        <f>IF(INDEX('Calculator Cost per Bucata'!$A:$A,ROW()+4)="","",INDEX('Calculator Cost per Bucata'!$A:$A,ROW()+4))</f>
        <v/>
      </c>
      <c r="B458" s="28" t="str">
        <f>IF($A458="","",INDEX('Calculator Cost per Bucata'!$C:$C,ROW()+4))</f>
        <v/>
      </c>
      <c r="C458" s="28" t="str">
        <f>IF($A458="","",INDEX('Calculator Cost per Bucata'!$D:$D,ROW()+4))</f>
        <v/>
      </c>
      <c r="D458" s="33" t="str">
        <f>IF(INDEX('Calculator Cost per Bucata'!$Y:$Y,ROW()+4)=1,INDEX('Calculator Cost per Bucata'!$P:$P,ROW()+4),"")</f>
        <v/>
      </c>
      <c r="E458" s="33" t="str">
        <f>IF(INDEX('Calculator Cost per Bucata'!$Y:$Y,ROW()+4)=1,INDEX('Calculator Cost per Bucata'!$S:$S,ROW()+4),"")</f>
        <v/>
      </c>
      <c r="F458" s="33" t="str">
        <f>IF($A458="","",IF(N(INDEX('PI Furnizor'!$L:$L,ROW()+1))&gt;0,INDEX('PI Furnizor'!$L:$L,ROW()+1),""))</f>
        <v/>
      </c>
      <c r="G458" s="33" t="str">
        <f>IF($A458="","",IF(Comenzi!$D$6="Da",$D458,$E458))</f>
        <v/>
      </c>
      <c r="H458" s="33" t="str">
        <f>IF(OR($A458="",$F458=""),"",IF(Comenzi!$D$6="Da",IFERROR($F458/(1+INDEX('Calculator Cost per Bucata'!$AC:$AC,ROW()+4)),""),$F458))</f>
        <v/>
      </c>
      <c r="I458" s="46" t="str">
        <f t="shared" si="21"/>
        <v/>
      </c>
      <c r="J458" s="47" t="str">
        <f t="shared" si="22"/>
        <v/>
      </c>
      <c r="K458" s="48" t="str">
        <f t="shared" si="23"/>
        <v/>
      </c>
    </row>
    <row r="459" spans="1:11" x14ac:dyDescent="0.3">
      <c r="A459" s="28" t="str">
        <f>IF(INDEX('Calculator Cost per Bucata'!$A:$A,ROW()+4)="","",INDEX('Calculator Cost per Bucata'!$A:$A,ROW()+4))</f>
        <v/>
      </c>
      <c r="B459" s="28" t="str">
        <f>IF($A459="","",INDEX('Calculator Cost per Bucata'!$C:$C,ROW()+4))</f>
        <v/>
      </c>
      <c r="C459" s="28" t="str">
        <f>IF($A459="","",INDEX('Calculator Cost per Bucata'!$D:$D,ROW()+4))</f>
        <v/>
      </c>
      <c r="D459" s="33" t="str">
        <f>IF(INDEX('Calculator Cost per Bucata'!$Y:$Y,ROW()+4)=1,INDEX('Calculator Cost per Bucata'!$P:$P,ROW()+4),"")</f>
        <v/>
      </c>
      <c r="E459" s="33" t="str">
        <f>IF(INDEX('Calculator Cost per Bucata'!$Y:$Y,ROW()+4)=1,INDEX('Calculator Cost per Bucata'!$S:$S,ROW()+4),"")</f>
        <v/>
      </c>
      <c r="F459" s="33" t="str">
        <f>IF($A459="","",IF(N(INDEX('PI Furnizor'!$L:$L,ROW()+1))&gt;0,INDEX('PI Furnizor'!$L:$L,ROW()+1),""))</f>
        <v/>
      </c>
      <c r="G459" s="33" t="str">
        <f>IF($A459="","",IF(Comenzi!$D$6="Da",$D459,$E459))</f>
        <v/>
      </c>
      <c r="H459" s="33" t="str">
        <f>IF(OR($A459="",$F459=""),"",IF(Comenzi!$D$6="Da",IFERROR($F459/(1+INDEX('Calculator Cost per Bucata'!$AC:$AC,ROW()+4)),""),$F459))</f>
        <v/>
      </c>
      <c r="I459" s="46" t="str">
        <f t="shared" si="21"/>
        <v/>
      </c>
      <c r="J459" s="47" t="str">
        <f t="shared" si="22"/>
        <v/>
      </c>
      <c r="K459" s="48" t="str">
        <f t="shared" si="23"/>
        <v/>
      </c>
    </row>
    <row r="460" spans="1:11" x14ac:dyDescent="0.3">
      <c r="A460" s="28" t="str">
        <f>IF(INDEX('Calculator Cost per Bucata'!$A:$A,ROW()+4)="","",INDEX('Calculator Cost per Bucata'!$A:$A,ROW()+4))</f>
        <v/>
      </c>
      <c r="B460" s="28" t="str">
        <f>IF($A460="","",INDEX('Calculator Cost per Bucata'!$C:$C,ROW()+4))</f>
        <v/>
      </c>
      <c r="C460" s="28" t="str">
        <f>IF($A460="","",INDEX('Calculator Cost per Bucata'!$D:$D,ROW()+4))</f>
        <v/>
      </c>
      <c r="D460" s="33" t="str">
        <f>IF(INDEX('Calculator Cost per Bucata'!$Y:$Y,ROW()+4)=1,INDEX('Calculator Cost per Bucata'!$P:$P,ROW()+4),"")</f>
        <v/>
      </c>
      <c r="E460" s="33" t="str">
        <f>IF(INDEX('Calculator Cost per Bucata'!$Y:$Y,ROW()+4)=1,INDEX('Calculator Cost per Bucata'!$S:$S,ROW()+4),"")</f>
        <v/>
      </c>
      <c r="F460" s="33" t="str">
        <f>IF($A460="","",IF(N(INDEX('PI Furnizor'!$L:$L,ROW()+1))&gt;0,INDEX('PI Furnizor'!$L:$L,ROW()+1),""))</f>
        <v/>
      </c>
      <c r="G460" s="33" t="str">
        <f>IF($A460="","",IF(Comenzi!$D$6="Da",$D460,$E460))</f>
        <v/>
      </c>
      <c r="H460" s="33" t="str">
        <f>IF(OR($A460="",$F460=""),"",IF(Comenzi!$D$6="Da",IFERROR($F460/(1+INDEX('Calculator Cost per Bucata'!$AC:$AC,ROW()+4)),""),$F460))</f>
        <v/>
      </c>
      <c r="I460" s="46" t="str">
        <f t="shared" si="21"/>
        <v/>
      </c>
      <c r="J460" s="47" t="str">
        <f t="shared" si="22"/>
        <v/>
      </c>
      <c r="K460" s="48" t="str">
        <f t="shared" si="23"/>
        <v/>
      </c>
    </row>
    <row r="461" spans="1:11" x14ac:dyDescent="0.3">
      <c r="A461" s="28" t="str">
        <f>IF(INDEX('Calculator Cost per Bucata'!$A:$A,ROW()+4)="","",INDEX('Calculator Cost per Bucata'!$A:$A,ROW()+4))</f>
        <v/>
      </c>
      <c r="B461" s="28" t="str">
        <f>IF($A461="","",INDEX('Calculator Cost per Bucata'!$C:$C,ROW()+4))</f>
        <v/>
      </c>
      <c r="C461" s="28" t="str">
        <f>IF($A461="","",INDEX('Calculator Cost per Bucata'!$D:$D,ROW()+4))</f>
        <v/>
      </c>
      <c r="D461" s="33" t="str">
        <f>IF(INDEX('Calculator Cost per Bucata'!$Y:$Y,ROW()+4)=1,INDEX('Calculator Cost per Bucata'!$P:$P,ROW()+4),"")</f>
        <v/>
      </c>
      <c r="E461" s="33" t="str">
        <f>IF(INDEX('Calculator Cost per Bucata'!$Y:$Y,ROW()+4)=1,INDEX('Calculator Cost per Bucata'!$S:$S,ROW()+4),"")</f>
        <v/>
      </c>
      <c r="F461" s="33" t="str">
        <f>IF($A461="","",IF(N(INDEX('PI Furnizor'!$L:$L,ROW()+1))&gt;0,INDEX('PI Furnizor'!$L:$L,ROW()+1),""))</f>
        <v/>
      </c>
      <c r="G461" s="33" t="str">
        <f>IF($A461="","",IF(Comenzi!$D$6="Da",$D461,$E461))</f>
        <v/>
      </c>
      <c r="H461" s="33" t="str">
        <f>IF(OR($A461="",$F461=""),"",IF(Comenzi!$D$6="Da",IFERROR($F461/(1+INDEX('Calculator Cost per Bucata'!$AC:$AC,ROW()+4)),""),$F461))</f>
        <v/>
      </c>
      <c r="I461" s="46" t="str">
        <f t="shared" si="21"/>
        <v/>
      </c>
      <c r="J461" s="47" t="str">
        <f t="shared" si="22"/>
        <v/>
      </c>
      <c r="K461" s="48" t="str">
        <f t="shared" si="23"/>
        <v/>
      </c>
    </row>
    <row r="462" spans="1:11" x14ac:dyDescent="0.3">
      <c r="A462" s="28" t="str">
        <f>IF(INDEX('Calculator Cost per Bucata'!$A:$A,ROW()+4)="","",INDEX('Calculator Cost per Bucata'!$A:$A,ROW()+4))</f>
        <v/>
      </c>
      <c r="B462" s="28" t="str">
        <f>IF($A462="","",INDEX('Calculator Cost per Bucata'!$C:$C,ROW()+4))</f>
        <v/>
      </c>
      <c r="C462" s="28" t="str">
        <f>IF($A462="","",INDEX('Calculator Cost per Bucata'!$D:$D,ROW()+4))</f>
        <v/>
      </c>
      <c r="D462" s="33" t="str">
        <f>IF(INDEX('Calculator Cost per Bucata'!$Y:$Y,ROW()+4)=1,INDEX('Calculator Cost per Bucata'!$P:$P,ROW()+4),"")</f>
        <v/>
      </c>
      <c r="E462" s="33" t="str">
        <f>IF(INDEX('Calculator Cost per Bucata'!$Y:$Y,ROW()+4)=1,INDEX('Calculator Cost per Bucata'!$S:$S,ROW()+4),"")</f>
        <v/>
      </c>
      <c r="F462" s="33" t="str">
        <f>IF($A462="","",IF(N(INDEX('PI Furnizor'!$L:$L,ROW()+1))&gt;0,INDEX('PI Furnizor'!$L:$L,ROW()+1),""))</f>
        <v/>
      </c>
      <c r="G462" s="33" t="str">
        <f>IF($A462="","",IF(Comenzi!$D$6="Da",$D462,$E462))</f>
        <v/>
      </c>
      <c r="H462" s="33" t="str">
        <f>IF(OR($A462="",$F462=""),"",IF(Comenzi!$D$6="Da",IFERROR($F462/(1+INDEX('Calculator Cost per Bucata'!$AC:$AC,ROW()+4)),""),$F462))</f>
        <v/>
      </c>
      <c r="I462" s="46" t="str">
        <f t="shared" si="21"/>
        <v/>
      </c>
      <c r="J462" s="47" t="str">
        <f t="shared" si="22"/>
        <v/>
      </c>
      <c r="K462" s="48" t="str">
        <f t="shared" si="23"/>
        <v/>
      </c>
    </row>
    <row r="463" spans="1:11" x14ac:dyDescent="0.3">
      <c r="A463" s="28" t="str">
        <f>IF(INDEX('Calculator Cost per Bucata'!$A:$A,ROW()+4)="","",INDEX('Calculator Cost per Bucata'!$A:$A,ROW()+4))</f>
        <v/>
      </c>
      <c r="B463" s="28" t="str">
        <f>IF($A463="","",INDEX('Calculator Cost per Bucata'!$C:$C,ROW()+4))</f>
        <v/>
      </c>
      <c r="C463" s="28" t="str">
        <f>IF($A463="","",INDEX('Calculator Cost per Bucata'!$D:$D,ROW()+4))</f>
        <v/>
      </c>
      <c r="D463" s="33" t="str">
        <f>IF(INDEX('Calculator Cost per Bucata'!$Y:$Y,ROW()+4)=1,INDEX('Calculator Cost per Bucata'!$P:$P,ROW()+4),"")</f>
        <v/>
      </c>
      <c r="E463" s="33" t="str">
        <f>IF(INDEX('Calculator Cost per Bucata'!$Y:$Y,ROW()+4)=1,INDEX('Calculator Cost per Bucata'!$S:$S,ROW()+4),"")</f>
        <v/>
      </c>
      <c r="F463" s="33" t="str">
        <f>IF($A463="","",IF(N(INDEX('PI Furnizor'!$L:$L,ROW()+1))&gt;0,INDEX('PI Furnizor'!$L:$L,ROW()+1),""))</f>
        <v/>
      </c>
      <c r="G463" s="33" t="str">
        <f>IF($A463="","",IF(Comenzi!$D$6="Da",$D463,$E463))</f>
        <v/>
      </c>
      <c r="H463" s="33" t="str">
        <f>IF(OR($A463="",$F463=""),"",IF(Comenzi!$D$6="Da",IFERROR($F463/(1+INDEX('Calculator Cost per Bucata'!$AC:$AC,ROW()+4)),""),$F463))</f>
        <v/>
      </c>
      <c r="I463" s="46" t="str">
        <f t="shared" si="21"/>
        <v/>
      </c>
      <c r="J463" s="47" t="str">
        <f t="shared" si="22"/>
        <v/>
      </c>
      <c r="K463" s="48" t="str">
        <f t="shared" si="23"/>
        <v/>
      </c>
    </row>
    <row r="464" spans="1:11" x14ac:dyDescent="0.3">
      <c r="A464" s="28" t="str">
        <f>IF(INDEX('Calculator Cost per Bucata'!$A:$A,ROW()+4)="","",INDEX('Calculator Cost per Bucata'!$A:$A,ROW()+4))</f>
        <v/>
      </c>
      <c r="B464" s="28" t="str">
        <f>IF($A464="","",INDEX('Calculator Cost per Bucata'!$C:$C,ROW()+4))</f>
        <v/>
      </c>
      <c r="C464" s="28" t="str">
        <f>IF($A464="","",INDEX('Calculator Cost per Bucata'!$D:$D,ROW()+4))</f>
        <v/>
      </c>
      <c r="D464" s="33" t="str">
        <f>IF(INDEX('Calculator Cost per Bucata'!$Y:$Y,ROW()+4)=1,INDEX('Calculator Cost per Bucata'!$P:$P,ROW()+4),"")</f>
        <v/>
      </c>
      <c r="E464" s="33" t="str">
        <f>IF(INDEX('Calculator Cost per Bucata'!$Y:$Y,ROW()+4)=1,INDEX('Calculator Cost per Bucata'!$S:$S,ROW()+4),"")</f>
        <v/>
      </c>
      <c r="F464" s="33" t="str">
        <f>IF($A464="","",IF(N(INDEX('PI Furnizor'!$L:$L,ROW()+1))&gt;0,INDEX('PI Furnizor'!$L:$L,ROW()+1),""))</f>
        <v/>
      </c>
      <c r="G464" s="33" t="str">
        <f>IF($A464="","",IF(Comenzi!$D$6="Da",$D464,$E464))</f>
        <v/>
      </c>
      <c r="H464" s="33" t="str">
        <f>IF(OR($A464="",$F464=""),"",IF(Comenzi!$D$6="Da",IFERROR($F464/(1+INDEX('Calculator Cost per Bucata'!$AC:$AC,ROW()+4)),""),$F464))</f>
        <v/>
      </c>
      <c r="I464" s="46" t="str">
        <f t="shared" si="21"/>
        <v/>
      </c>
      <c r="J464" s="47" t="str">
        <f t="shared" si="22"/>
        <v/>
      </c>
      <c r="K464" s="48" t="str">
        <f t="shared" si="23"/>
        <v/>
      </c>
    </row>
    <row r="465" spans="1:11" x14ac:dyDescent="0.3">
      <c r="A465" s="28" t="str">
        <f>IF(INDEX('Calculator Cost per Bucata'!$A:$A,ROW()+4)="","",INDEX('Calculator Cost per Bucata'!$A:$A,ROW()+4))</f>
        <v/>
      </c>
      <c r="B465" s="28" t="str">
        <f>IF($A465="","",INDEX('Calculator Cost per Bucata'!$C:$C,ROW()+4))</f>
        <v/>
      </c>
      <c r="C465" s="28" t="str">
        <f>IF($A465="","",INDEX('Calculator Cost per Bucata'!$D:$D,ROW()+4))</f>
        <v/>
      </c>
      <c r="D465" s="33" t="str">
        <f>IF(INDEX('Calculator Cost per Bucata'!$Y:$Y,ROW()+4)=1,INDEX('Calculator Cost per Bucata'!$P:$P,ROW()+4),"")</f>
        <v/>
      </c>
      <c r="E465" s="33" t="str">
        <f>IF(INDEX('Calculator Cost per Bucata'!$Y:$Y,ROW()+4)=1,INDEX('Calculator Cost per Bucata'!$S:$S,ROW()+4),"")</f>
        <v/>
      </c>
      <c r="F465" s="33" t="str">
        <f>IF($A465="","",IF(N(INDEX('PI Furnizor'!$L:$L,ROW()+1))&gt;0,INDEX('PI Furnizor'!$L:$L,ROW()+1),""))</f>
        <v/>
      </c>
      <c r="G465" s="33" t="str">
        <f>IF($A465="","",IF(Comenzi!$D$6="Da",$D465,$E465))</f>
        <v/>
      </c>
      <c r="H465" s="33" t="str">
        <f>IF(OR($A465="",$F465=""),"",IF(Comenzi!$D$6="Da",IFERROR($F465/(1+INDEX('Calculator Cost per Bucata'!$AC:$AC,ROW()+4)),""),$F465))</f>
        <v/>
      </c>
      <c r="I465" s="46" t="str">
        <f t="shared" si="21"/>
        <v/>
      </c>
      <c r="J465" s="47" t="str">
        <f t="shared" si="22"/>
        <v/>
      </c>
      <c r="K465" s="48" t="str">
        <f t="shared" si="23"/>
        <v/>
      </c>
    </row>
    <row r="466" spans="1:11" x14ac:dyDescent="0.3">
      <c r="A466" s="28" t="str">
        <f>IF(INDEX('Calculator Cost per Bucata'!$A:$A,ROW()+4)="","",INDEX('Calculator Cost per Bucata'!$A:$A,ROW()+4))</f>
        <v/>
      </c>
      <c r="B466" s="28" t="str">
        <f>IF($A466="","",INDEX('Calculator Cost per Bucata'!$C:$C,ROW()+4))</f>
        <v/>
      </c>
      <c r="C466" s="28" t="str">
        <f>IF($A466="","",INDEX('Calculator Cost per Bucata'!$D:$D,ROW()+4))</f>
        <v/>
      </c>
      <c r="D466" s="33" t="str">
        <f>IF(INDEX('Calculator Cost per Bucata'!$Y:$Y,ROW()+4)=1,INDEX('Calculator Cost per Bucata'!$P:$P,ROW()+4),"")</f>
        <v/>
      </c>
      <c r="E466" s="33" t="str">
        <f>IF(INDEX('Calculator Cost per Bucata'!$Y:$Y,ROW()+4)=1,INDEX('Calculator Cost per Bucata'!$S:$S,ROW()+4),"")</f>
        <v/>
      </c>
      <c r="F466" s="33" t="str">
        <f>IF($A466="","",IF(N(INDEX('PI Furnizor'!$L:$L,ROW()+1))&gt;0,INDEX('PI Furnizor'!$L:$L,ROW()+1),""))</f>
        <v/>
      </c>
      <c r="G466" s="33" t="str">
        <f>IF($A466="","",IF(Comenzi!$D$6="Da",$D466,$E466))</f>
        <v/>
      </c>
      <c r="H466" s="33" t="str">
        <f>IF(OR($A466="",$F466=""),"",IF(Comenzi!$D$6="Da",IFERROR($F466/(1+INDEX('Calculator Cost per Bucata'!$AC:$AC,ROW()+4)),""),$F466))</f>
        <v/>
      </c>
      <c r="I466" s="46" t="str">
        <f t="shared" si="21"/>
        <v/>
      </c>
      <c r="J466" s="47" t="str">
        <f t="shared" si="22"/>
        <v/>
      </c>
      <c r="K466" s="48" t="str">
        <f t="shared" si="23"/>
        <v/>
      </c>
    </row>
    <row r="467" spans="1:11" x14ac:dyDescent="0.3">
      <c r="A467" s="28" t="str">
        <f>IF(INDEX('Calculator Cost per Bucata'!$A:$A,ROW()+4)="","",INDEX('Calculator Cost per Bucata'!$A:$A,ROW()+4))</f>
        <v/>
      </c>
      <c r="B467" s="28" t="str">
        <f>IF($A467="","",INDEX('Calculator Cost per Bucata'!$C:$C,ROW()+4))</f>
        <v/>
      </c>
      <c r="C467" s="28" t="str">
        <f>IF($A467="","",INDEX('Calculator Cost per Bucata'!$D:$D,ROW()+4))</f>
        <v/>
      </c>
      <c r="D467" s="33" t="str">
        <f>IF(INDEX('Calculator Cost per Bucata'!$Y:$Y,ROW()+4)=1,INDEX('Calculator Cost per Bucata'!$P:$P,ROW()+4),"")</f>
        <v/>
      </c>
      <c r="E467" s="33" t="str">
        <f>IF(INDEX('Calculator Cost per Bucata'!$Y:$Y,ROW()+4)=1,INDEX('Calculator Cost per Bucata'!$S:$S,ROW()+4),"")</f>
        <v/>
      </c>
      <c r="F467" s="33" t="str">
        <f>IF($A467="","",IF(N(INDEX('PI Furnizor'!$L:$L,ROW()+1))&gt;0,INDEX('PI Furnizor'!$L:$L,ROW()+1),""))</f>
        <v/>
      </c>
      <c r="G467" s="33" t="str">
        <f>IF($A467="","",IF(Comenzi!$D$6="Da",$D467,$E467))</f>
        <v/>
      </c>
      <c r="H467" s="33" t="str">
        <f>IF(OR($A467="",$F467=""),"",IF(Comenzi!$D$6="Da",IFERROR($F467/(1+INDEX('Calculator Cost per Bucata'!$AC:$AC,ROW()+4)),""),$F467))</f>
        <v/>
      </c>
      <c r="I467" s="46" t="str">
        <f t="shared" si="21"/>
        <v/>
      </c>
      <c r="J467" s="47" t="str">
        <f t="shared" si="22"/>
        <v/>
      </c>
      <c r="K467" s="48" t="str">
        <f t="shared" si="23"/>
        <v/>
      </c>
    </row>
    <row r="468" spans="1:11" x14ac:dyDescent="0.3">
      <c r="A468" s="28" t="str">
        <f>IF(INDEX('Calculator Cost per Bucata'!$A:$A,ROW()+4)="","",INDEX('Calculator Cost per Bucata'!$A:$A,ROW()+4))</f>
        <v/>
      </c>
      <c r="B468" s="28" t="str">
        <f>IF($A468="","",INDEX('Calculator Cost per Bucata'!$C:$C,ROW()+4))</f>
        <v/>
      </c>
      <c r="C468" s="28" t="str">
        <f>IF($A468="","",INDEX('Calculator Cost per Bucata'!$D:$D,ROW()+4))</f>
        <v/>
      </c>
      <c r="D468" s="33" t="str">
        <f>IF(INDEX('Calculator Cost per Bucata'!$Y:$Y,ROW()+4)=1,INDEX('Calculator Cost per Bucata'!$P:$P,ROW()+4),"")</f>
        <v/>
      </c>
      <c r="E468" s="33" t="str">
        <f>IF(INDEX('Calculator Cost per Bucata'!$Y:$Y,ROW()+4)=1,INDEX('Calculator Cost per Bucata'!$S:$S,ROW()+4),"")</f>
        <v/>
      </c>
      <c r="F468" s="33" t="str">
        <f>IF($A468="","",IF(N(INDEX('PI Furnizor'!$L:$L,ROW()+1))&gt;0,INDEX('PI Furnizor'!$L:$L,ROW()+1),""))</f>
        <v/>
      </c>
      <c r="G468" s="33" t="str">
        <f>IF($A468="","",IF(Comenzi!$D$6="Da",$D468,$E468))</f>
        <v/>
      </c>
      <c r="H468" s="33" t="str">
        <f>IF(OR($A468="",$F468=""),"",IF(Comenzi!$D$6="Da",IFERROR($F468/(1+INDEX('Calculator Cost per Bucata'!$AC:$AC,ROW()+4)),""),$F468))</f>
        <v/>
      </c>
      <c r="I468" s="46" t="str">
        <f t="shared" si="21"/>
        <v/>
      </c>
      <c r="J468" s="47" t="str">
        <f t="shared" si="22"/>
        <v/>
      </c>
      <c r="K468" s="48" t="str">
        <f t="shared" si="23"/>
        <v/>
      </c>
    </row>
    <row r="469" spans="1:11" x14ac:dyDescent="0.3">
      <c r="A469" s="28" t="str">
        <f>IF(INDEX('Calculator Cost per Bucata'!$A:$A,ROW()+4)="","",INDEX('Calculator Cost per Bucata'!$A:$A,ROW()+4))</f>
        <v/>
      </c>
      <c r="B469" s="28" t="str">
        <f>IF($A469="","",INDEX('Calculator Cost per Bucata'!$C:$C,ROW()+4))</f>
        <v/>
      </c>
      <c r="C469" s="28" t="str">
        <f>IF($A469="","",INDEX('Calculator Cost per Bucata'!$D:$D,ROW()+4))</f>
        <v/>
      </c>
      <c r="D469" s="33" t="str">
        <f>IF(INDEX('Calculator Cost per Bucata'!$Y:$Y,ROW()+4)=1,INDEX('Calculator Cost per Bucata'!$P:$P,ROW()+4),"")</f>
        <v/>
      </c>
      <c r="E469" s="33" t="str">
        <f>IF(INDEX('Calculator Cost per Bucata'!$Y:$Y,ROW()+4)=1,INDEX('Calculator Cost per Bucata'!$S:$S,ROW()+4),"")</f>
        <v/>
      </c>
      <c r="F469" s="33" t="str">
        <f>IF($A469="","",IF(N(INDEX('PI Furnizor'!$L:$L,ROW()+1))&gt;0,INDEX('PI Furnizor'!$L:$L,ROW()+1),""))</f>
        <v/>
      </c>
      <c r="G469" s="33" t="str">
        <f>IF($A469="","",IF(Comenzi!$D$6="Da",$D469,$E469))</f>
        <v/>
      </c>
      <c r="H469" s="33" t="str">
        <f>IF(OR($A469="",$F469=""),"",IF(Comenzi!$D$6="Da",IFERROR($F469/(1+INDEX('Calculator Cost per Bucata'!$AC:$AC,ROW()+4)),""),$F469))</f>
        <v/>
      </c>
      <c r="I469" s="46" t="str">
        <f t="shared" si="21"/>
        <v/>
      </c>
      <c r="J469" s="47" t="str">
        <f t="shared" si="22"/>
        <v/>
      </c>
      <c r="K469" s="48" t="str">
        <f t="shared" si="23"/>
        <v/>
      </c>
    </row>
    <row r="470" spans="1:11" x14ac:dyDescent="0.3">
      <c r="A470" s="28" t="str">
        <f>IF(INDEX('Calculator Cost per Bucata'!$A:$A,ROW()+4)="","",INDEX('Calculator Cost per Bucata'!$A:$A,ROW()+4))</f>
        <v/>
      </c>
      <c r="B470" s="28" t="str">
        <f>IF($A470="","",INDEX('Calculator Cost per Bucata'!$C:$C,ROW()+4))</f>
        <v/>
      </c>
      <c r="C470" s="28" t="str">
        <f>IF($A470="","",INDEX('Calculator Cost per Bucata'!$D:$D,ROW()+4))</f>
        <v/>
      </c>
      <c r="D470" s="33" t="str">
        <f>IF(INDEX('Calculator Cost per Bucata'!$Y:$Y,ROW()+4)=1,INDEX('Calculator Cost per Bucata'!$P:$P,ROW()+4),"")</f>
        <v/>
      </c>
      <c r="E470" s="33" t="str">
        <f>IF(INDEX('Calculator Cost per Bucata'!$Y:$Y,ROW()+4)=1,INDEX('Calculator Cost per Bucata'!$S:$S,ROW()+4),"")</f>
        <v/>
      </c>
      <c r="F470" s="33" t="str">
        <f>IF($A470="","",IF(N(INDEX('PI Furnizor'!$L:$L,ROW()+1))&gt;0,INDEX('PI Furnizor'!$L:$L,ROW()+1),""))</f>
        <v/>
      </c>
      <c r="G470" s="33" t="str">
        <f>IF($A470="","",IF(Comenzi!$D$6="Da",$D470,$E470))</f>
        <v/>
      </c>
      <c r="H470" s="33" t="str">
        <f>IF(OR($A470="",$F470=""),"",IF(Comenzi!$D$6="Da",IFERROR($F470/(1+INDEX('Calculator Cost per Bucata'!$AC:$AC,ROW()+4)),""),$F470))</f>
        <v/>
      </c>
      <c r="I470" s="46" t="str">
        <f t="shared" si="21"/>
        <v/>
      </c>
      <c r="J470" s="47" t="str">
        <f t="shared" si="22"/>
        <v/>
      </c>
      <c r="K470" s="48" t="str">
        <f t="shared" si="23"/>
        <v/>
      </c>
    </row>
    <row r="471" spans="1:11" x14ac:dyDescent="0.3">
      <c r="A471" s="28" t="str">
        <f>IF(INDEX('Calculator Cost per Bucata'!$A:$A,ROW()+4)="","",INDEX('Calculator Cost per Bucata'!$A:$A,ROW()+4))</f>
        <v/>
      </c>
      <c r="B471" s="28" t="str">
        <f>IF($A471="","",INDEX('Calculator Cost per Bucata'!$C:$C,ROW()+4))</f>
        <v/>
      </c>
      <c r="C471" s="28" t="str">
        <f>IF($A471="","",INDEX('Calculator Cost per Bucata'!$D:$D,ROW()+4))</f>
        <v/>
      </c>
      <c r="D471" s="33" t="str">
        <f>IF(INDEX('Calculator Cost per Bucata'!$Y:$Y,ROW()+4)=1,INDEX('Calculator Cost per Bucata'!$P:$P,ROW()+4),"")</f>
        <v/>
      </c>
      <c r="E471" s="33" t="str">
        <f>IF(INDEX('Calculator Cost per Bucata'!$Y:$Y,ROW()+4)=1,INDEX('Calculator Cost per Bucata'!$S:$S,ROW()+4),"")</f>
        <v/>
      </c>
      <c r="F471" s="33" t="str">
        <f>IF($A471="","",IF(N(INDEX('PI Furnizor'!$L:$L,ROW()+1))&gt;0,INDEX('PI Furnizor'!$L:$L,ROW()+1),""))</f>
        <v/>
      </c>
      <c r="G471" s="33" t="str">
        <f>IF($A471="","",IF(Comenzi!$D$6="Da",$D471,$E471))</f>
        <v/>
      </c>
      <c r="H471" s="33" t="str">
        <f>IF(OR($A471="",$F471=""),"",IF(Comenzi!$D$6="Da",IFERROR($F471/(1+INDEX('Calculator Cost per Bucata'!$AC:$AC,ROW()+4)),""),$F471))</f>
        <v/>
      </c>
      <c r="I471" s="46" t="str">
        <f t="shared" si="21"/>
        <v/>
      </c>
      <c r="J471" s="47" t="str">
        <f t="shared" si="22"/>
        <v/>
      </c>
      <c r="K471" s="48" t="str">
        <f t="shared" si="23"/>
        <v/>
      </c>
    </row>
    <row r="472" spans="1:11" x14ac:dyDescent="0.3">
      <c r="A472" s="28" t="str">
        <f>IF(INDEX('Calculator Cost per Bucata'!$A:$A,ROW()+4)="","",INDEX('Calculator Cost per Bucata'!$A:$A,ROW()+4))</f>
        <v/>
      </c>
      <c r="B472" s="28" t="str">
        <f>IF($A472="","",INDEX('Calculator Cost per Bucata'!$C:$C,ROW()+4))</f>
        <v/>
      </c>
      <c r="C472" s="28" t="str">
        <f>IF($A472="","",INDEX('Calculator Cost per Bucata'!$D:$D,ROW()+4))</f>
        <v/>
      </c>
      <c r="D472" s="33" t="str">
        <f>IF(INDEX('Calculator Cost per Bucata'!$Y:$Y,ROW()+4)=1,INDEX('Calculator Cost per Bucata'!$P:$P,ROW()+4),"")</f>
        <v/>
      </c>
      <c r="E472" s="33" t="str">
        <f>IF(INDEX('Calculator Cost per Bucata'!$Y:$Y,ROW()+4)=1,INDEX('Calculator Cost per Bucata'!$S:$S,ROW()+4),"")</f>
        <v/>
      </c>
      <c r="F472" s="33" t="str">
        <f>IF($A472="","",IF(N(INDEX('PI Furnizor'!$L:$L,ROW()+1))&gt;0,INDEX('PI Furnizor'!$L:$L,ROW()+1),""))</f>
        <v/>
      </c>
      <c r="G472" s="33" t="str">
        <f>IF($A472="","",IF(Comenzi!$D$6="Da",$D472,$E472))</f>
        <v/>
      </c>
      <c r="H472" s="33" t="str">
        <f>IF(OR($A472="",$F472=""),"",IF(Comenzi!$D$6="Da",IFERROR($F472/(1+INDEX('Calculator Cost per Bucata'!$AC:$AC,ROW()+4)),""),$F472))</f>
        <v/>
      </c>
      <c r="I472" s="46" t="str">
        <f t="shared" si="21"/>
        <v/>
      </c>
      <c r="J472" s="47" t="str">
        <f t="shared" si="22"/>
        <v/>
      </c>
      <c r="K472" s="48" t="str">
        <f t="shared" si="23"/>
        <v/>
      </c>
    </row>
    <row r="473" spans="1:11" x14ac:dyDescent="0.3">
      <c r="A473" s="28" t="str">
        <f>IF(INDEX('Calculator Cost per Bucata'!$A:$A,ROW()+4)="","",INDEX('Calculator Cost per Bucata'!$A:$A,ROW()+4))</f>
        <v/>
      </c>
      <c r="B473" s="28" t="str">
        <f>IF($A473="","",INDEX('Calculator Cost per Bucata'!$C:$C,ROW()+4))</f>
        <v/>
      </c>
      <c r="C473" s="28" t="str">
        <f>IF($A473="","",INDEX('Calculator Cost per Bucata'!$D:$D,ROW()+4))</f>
        <v/>
      </c>
      <c r="D473" s="33" t="str">
        <f>IF(INDEX('Calculator Cost per Bucata'!$Y:$Y,ROW()+4)=1,INDEX('Calculator Cost per Bucata'!$P:$P,ROW()+4),"")</f>
        <v/>
      </c>
      <c r="E473" s="33" t="str">
        <f>IF(INDEX('Calculator Cost per Bucata'!$Y:$Y,ROW()+4)=1,INDEX('Calculator Cost per Bucata'!$S:$S,ROW()+4),"")</f>
        <v/>
      </c>
      <c r="F473" s="33" t="str">
        <f>IF($A473="","",IF(N(INDEX('PI Furnizor'!$L:$L,ROW()+1))&gt;0,INDEX('PI Furnizor'!$L:$L,ROW()+1),""))</f>
        <v/>
      </c>
      <c r="G473" s="33" t="str">
        <f>IF($A473="","",IF(Comenzi!$D$6="Da",$D473,$E473))</f>
        <v/>
      </c>
      <c r="H473" s="33" t="str">
        <f>IF(OR($A473="",$F473=""),"",IF(Comenzi!$D$6="Da",IFERROR($F473/(1+INDEX('Calculator Cost per Bucata'!$AC:$AC,ROW()+4)),""),$F473))</f>
        <v/>
      </c>
      <c r="I473" s="46" t="str">
        <f t="shared" si="21"/>
        <v/>
      </c>
      <c r="J473" s="47" t="str">
        <f t="shared" si="22"/>
        <v/>
      </c>
      <c r="K473" s="48" t="str">
        <f t="shared" si="23"/>
        <v/>
      </c>
    </row>
    <row r="474" spans="1:11" x14ac:dyDescent="0.3">
      <c r="A474" s="28" t="str">
        <f>IF(INDEX('Calculator Cost per Bucata'!$A:$A,ROW()+4)="","",INDEX('Calculator Cost per Bucata'!$A:$A,ROW()+4))</f>
        <v/>
      </c>
      <c r="B474" s="28" t="str">
        <f>IF($A474="","",INDEX('Calculator Cost per Bucata'!$C:$C,ROW()+4))</f>
        <v/>
      </c>
      <c r="C474" s="28" t="str">
        <f>IF($A474="","",INDEX('Calculator Cost per Bucata'!$D:$D,ROW()+4))</f>
        <v/>
      </c>
      <c r="D474" s="33" t="str">
        <f>IF(INDEX('Calculator Cost per Bucata'!$Y:$Y,ROW()+4)=1,INDEX('Calculator Cost per Bucata'!$P:$P,ROW()+4),"")</f>
        <v/>
      </c>
      <c r="E474" s="33" t="str">
        <f>IF(INDEX('Calculator Cost per Bucata'!$Y:$Y,ROW()+4)=1,INDEX('Calculator Cost per Bucata'!$S:$S,ROW()+4),"")</f>
        <v/>
      </c>
      <c r="F474" s="33" t="str">
        <f>IF($A474="","",IF(N(INDEX('PI Furnizor'!$L:$L,ROW()+1))&gt;0,INDEX('PI Furnizor'!$L:$L,ROW()+1),""))</f>
        <v/>
      </c>
      <c r="G474" s="33" t="str">
        <f>IF($A474="","",IF(Comenzi!$D$6="Da",$D474,$E474))</f>
        <v/>
      </c>
      <c r="H474" s="33" t="str">
        <f>IF(OR($A474="",$F474=""),"",IF(Comenzi!$D$6="Da",IFERROR($F474/(1+INDEX('Calculator Cost per Bucata'!$AC:$AC,ROW()+4)),""),$F474))</f>
        <v/>
      </c>
      <c r="I474" s="46" t="str">
        <f t="shared" si="21"/>
        <v/>
      </c>
      <c r="J474" s="47" t="str">
        <f t="shared" si="22"/>
        <v/>
      </c>
      <c r="K474" s="48" t="str">
        <f t="shared" si="23"/>
        <v/>
      </c>
    </row>
    <row r="475" spans="1:11" x14ac:dyDescent="0.3">
      <c r="A475" s="28" t="str">
        <f>IF(INDEX('Calculator Cost per Bucata'!$A:$A,ROW()+4)="","",INDEX('Calculator Cost per Bucata'!$A:$A,ROW()+4))</f>
        <v/>
      </c>
      <c r="B475" s="28" t="str">
        <f>IF($A475="","",INDEX('Calculator Cost per Bucata'!$C:$C,ROW()+4))</f>
        <v/>
      </c>
      <c r="C475" s="28" t="str">
        <f>IF($A475="","",INDEX('Calculator Cost per Bucata'!$D:$D,ROW()+4))</f>
        <v/>
      </c>
      <c r="D475" s="33" t="str">
        <f>IF(INDEX('Calculator Cost per Bucata'!$Y:$Y,ROW()+4)=1,INDEX('Calculator Cost per Bucata'!$P:$P,ROW()+4),"")</f>
        <v/>
      </c>
      <c r="E475" s="33" t="str">
        <f>IF(INDEX('Calculator Cost per Bucata'!$Y:$Y,ROW()+4)=1,INDEX('Calculator Cost per Bucata'!$S:$S,ROW()+4),"")</f>
        <v/>
      </c>
      <c r="F475" s="33" t="str">
        <f>IF($A475="","",IF(N(INDEX('PI Furnizor'!$L:$L,ROW()+1))&gt;0,INDEX('PI Furnizor'!$L:$L,ROW()+1),""))</f>
        <v/>
      </c>
      <c r="G475" s="33" t="str">
        <f>IF($A475="","",IF(Comenzi!$D$6="Da",$D475,$E475))</f>
        <v/>
      </c>
      <c r="H475" s="33" t="str">
        <f>IF(OR($A475="",$F475=""),"",IF(Comenzi!$D$6="Da",IFERROR($F475/(1+INDEX('Calculator Cost per Bucata'!$AC:$AC,ROW()+4)),""),$F475))</f>
        <v/>
      </c>
      <c r="I475" s="46" t="str">
        <f t="shared" si="21"/>
        <v/>
      </c>
      <c r="J475" s="47" t="str">
        <f t="shared" si="22"/>
        <v/>
      </c>
      <c r="K475" s="48" t="str">
        <f t="shared" si="23"/>
        <v/>
      </c>
    </row>
    <row r="476" spans="1:11" x14ac:dyDescent="0.3">
      <c r="A476" s="28" t="str">
        <f>IF(INDEX('Calculator Cost per Bucata'!$A:$A,ROW()+4)="","",INDEX('Calculator Cost per Bucata'!$A:$A,ROW()+4))</f>
        <v/>
      </c>
      <c r="B476" s="28" t="str">
        <f>IF($A476="","",INDEX('Calculator Cost per Bucata'!$C:$C,ROW()+4))</f>
        <v/>
      </c>
      <c r="C476" s="28" t="str">
        <f>IF($A476="","",INDEX('Calculator Cost per Bucata'!$D:$D,ROW()+4))</f>
        <v/>
      </c>
      <c r="D476" s="33" t="str">
        <f>IF(INDEX('Calculator Cost per Bucata'!$Y:$Y,ROW()+4)=1,INDEX('Calculator Cost per Bucata'!$P:$P,ROW()+4),"")</f>
        <v/>
      </c>
      <c r="E476" s="33" t="str">
        <f>IF(INDEX('Calculator Cost per Bucata'!$Y:$Y,ROW()+4)=1,INDEX('Calculator Cost per Bucata'!$S:$S,ROW()+4),"")</f>
        <v/>
      </c>
      <c r="F476" s="33" t="str">
        <f>IF($A476="","",IF(N(INDEX('PI Furnizor'!$L:$L,ROW()+1))&gt;0,INDEX('PI Furnizor'!$L:$L,ROW()+1),""))</f>
        <v/>
      </c>
      <c r="G476" s="33" t="str">
        <f>IF($A476="","",IF(Comenzi!$D$6="Da",$D476,$E476))</f>
        <v/>
      </c>
      <c r="H476" s="33" t="str">
        <f>IF(OR($A476="",$F476=""),"",IF(Comenzi!$D$6="Da",IFERROR($F476/(1+INDEX('Calculator Cost per Bucata'!$AC:$AC,ROW()+4)),""),$F476))</f>
        <v/>
      </c>
      <c r="I476" s="46" t="str">
        <f t="shared" si="21"/>
        <v/>
      </c>
      <c r="J476" s="47" t="str">
        <f t="shared" si="22"/>
        <v/>
      </c>
      <c r="K476" s="48" t="str">
        <f t="shared" si="23"/>
        <v/>
      </c>
    </row>
    <row r="477" spans="1:11" x14ac:dyDescent="0.3">
      <c r="A477" s="28" t="str">
        <f>IF(INDEX('Calculator Cost per Bucata'!$A:$A,ROW()+4)="","",INDEX('Calculator Cost per Bucata'!$A:$A,ROW()+4))</f>
        <v/>
      </c>
      <c r="B477" s="28" t="str">
        <f>IF($A477="","",INDEX('Calculator Cost per Bucata'!$C:$C,ROW()+4))</f>
        <v/>
      </c>
      <c r="C477" s="28" t="str">
        <f>IF($A477="","",INDEX('Calculator Cost per Bucata'!$D:$D,ROW()+4))</f>
        <v/>
      </c>
      <c r="D477" s="33" t="str">
        <f>IF(INDEX('Calculator Cost per Bucata'!$Y:$Y,ROW()+4)=1,INDEX('Calculator Cost per Bucata'!$P:$P,ROW()+4),"")</f>
        <v/>
      </c>
      <c r="E477" s="33" t="str">
        <f>IF(INDEX('Calculator Cost per Bucata'!$Y:$Y,ROW()+4)=1,INDEX('Calculator Cost per Bucata'!$S:$S,ROW()+4),"")</f>
        <v/>
      </c>
      <c r="F477" s="33" t="str">
        <f>IF($A477="","",IF(N(INDEX('PI Furnizor'!$L:$L,ROW()+1))&gt;0,INDEX('PI Furnizor'!$L:$L,ROW()+1),""))</f>
        <v/>
      </c>
      <c r="G477" s="33" t="str">
        <f>IF($A477="","",IF(Comenzi!$D$6="Da",$D477,$E477))</f>
        <v/>
      </c>
      <c r="H477" s="33" t="str">
        <f>IF(OR($A477="",$F477=""),"",IF(Comenzi!$D$6="Da",IFERROR($F477/(1+INDEX('Calculator Cost per Bucata'!$AC:$AC,ROW()+4)),""),$F477))</f>
        <v/>
      </c>
      <c r="I477" s="46" t="str">
        <f t="shared" si="21"/>
        <v/>
      </c>
      <c r="J477" s="47" t="str">
        <f t="shared" si="22"/>
        <v/>
      </c>
      <c r="K477" s="48" t="str">
        <f t="shared" si="23"/>
        <v/>
      </c>
    </row>
    <row r="478" spans="1:11" x14ac:dyDescent="0.3">
      <c r="A478" s="28" t="str">
        <f>IF(INDEX('Calculator Cost per Bucata'!$A:$A,ROW()+4)="","",INDEX('Calculator Cost per Bucata'!$A:$A,ROW()+4))</f>
        <v/>
      </c>
      <c r="B478" s="28" t="str">
        <f>IF($A478="","",INDEX('Calculator Cost per Bucata'!$C:$C,ROW()+4))</f>
        <v/>
      </c>
      <c r="C478" s="28" t="str">
        <f>IF($A478="","",INDEX('Calculator Cost per Bucata'!$D:$D,ROW()+4))</f>
        <v/>
      </c>
      <c r="D478" s="33" t="str">
        <f>IF(INDEX('Calculator Cost per Bucata'!$Y:$Y,ROW()+4)=1,INDEX('Calculator Cost per Bucata'!$P:$P,ROW()+4),"")</f>
        <v/>
      </c>
      <c r="E478" s="33" t="str">
        <f>IF(INDEX('Calculator Cost per Bucata'!$Y:$Y,ROW()+4)=1,INDEX('Calculator Cost per Bucata'!$S:$S,ROW()+4),"")</f>
        <v/>
      </c>
      <c r="F478" s="33" t="str">
        <f>IF($A478="","",IF(N(INDEX('PI Furnizor'!$L:$L,ROW()+1))&gt;0,INDEX('PI Furnizor'!$L:$L,ROW()+1),""))</f>
        <v/>
      </c>
      <c r="G478" s="33" t="str">
        <f>IF($A478="","",IF(Comenzi!$D$6="Da",$D478,$E478))</f>
        <v/>
      </c>
      <c r="H478" s="33" t="str">
        <f>IF(OR($A478="",$F478=""),"",IF(Comenzi!$D$6="Da",IFERROR($F478/(1+INDEX('Calculator Cost per Bucata'!$AC:$AC,ROW()+4)),""),$F478))</f>
        <v/>
      </c>
      <c r="I478" s="46" t="str">
        <f t="shared" si="21"/>
        <v/>
      </c>
      <c r="J478" s="47" t="str">
        <f t="shared" si="22"/>
        <v/>
      </c>
      <c r="K478" s="48" t="str">
        <f t="shared" si="23"/>
        <v/>
      </c>
    </row>
    <row r="479" spans="1:11" x14ac:dyDescent="0.3">
      <c r="A479" s="28" t="str">
        <f>IF(INDEX('Calculator Cost per Bucata'!$A:$A,ROW()+4)="","",INDEX('Calculator Cost per Bucata'!$A:$A,ROW()+4))</f>
        <v/>
      </c>
      <c r="B479" s="28" t="str">
        <f>IF($A479="","",INDEX('Calculator Cost per Bucata'!$C:$C,ROW()+4))</f>
        <v/>
      </c>
      <c r="C479" s="28" t="str">
        <f>IF($A479="","",INDEX('Calculator Cost per Bucata'!$D:$D,ROW()+4))</f>
        <v/>
      </c>
      <c r="D479" s="33" t="str">
        <f>IF(INDEX('Calculator Cost per Bucata'!$Y:$Y,ROW()+4)=1,INDEX('Calculator Cost per Bucata'!$P:$P,ROW()+4),"")</f>
        <v/>
      </c>
      <c r="E479" s="33" t="str">
        <f>IF(INDEX('Calculator Cost per Bucata'!$Y:$Y,ROW()+4)=1,INDEX('Calculator Cost per Bucata'!$S:$S,ROW()+4),"")</f>
        <v/>
      </c>
      <c r="F479" s="33" t="str">
        <f>IF($A479="","",IF(N(INDEX('PI Furnizor'!$L:$L,ROW()+1))&gt;0,INDEX('PI Furnizor'!$L:$L,ROW()+1),""))</f>
        <v/>
      </c>
      <c r="G479" s="33" t="str">
        <f>IF($A479="","",IF(Comenzi!$D$6="Da",$D479,$E479))</f>
        <v/>
      </c>
      <c r="H479" s="33" t="str">
        <f>IF(OR($A479="",$F479=""),"",IF(Comenzi!$D$6="Da",IFERROR($F479/(1+INDEX('Calculator Cost per Bucata'!$AC:$AC,ROW()+4)),""),$F479))</f>
        <v/>
      </c>
      <c r="I479" s="46" t="str">
        <f t="shared" si="21"/>
        <v/>
      </c>
      <c r="J479" s="47" t="str">
        <f t="shared" si="22"/>
        <v/>
      </c>
      <c r="K479" s="48" t="str">
        <f t="shared" si="23"/>
        <v/>
      </c>
    </row>
    <row r="480" spans="1:11" x14ac:dyDescent="0.3">
      <c r="A480" s="28" t="str">
        <f>IF(INDEX('Calculator Cost per Bucata'!$A:$A,ROW()+4)="","",INDEX('Calculator Cost per Bucata'!$A:$A,ROW()+4))</f>
        <v/>
      </c>
      <c r="B480" s="28" t="str">
        <f>IF($A480="","",INDEX('Calculator Cost per Bucata'!$C:$C,ROW()+4))</f>
        <v/>
      </c>
      <c r="C480" s="28" t="str">
        <f>IF($A480="","",INDEX('Calculator Cost per Bucata'!$D:$D,ROW()+4))</f>
        <v/>
      </c>
      <c r="D480" s="33" t="str">
        <f>IF(INDEX('Calculator Cost per Bucata'!$Y:$Y,ROW()+4)=1,INDEX('Calculator Cost per Bucata'!$P:$P,ROW()+4),"")</f>
        <v/>
      </c>
      <c r="E480" s="33" t="str">
        <f>IF(INDEX('Calculator Cost per Bucata'!$Y:$Y,ROW()+4)=1,INDEX('Calculator Cost per Bucata'!$S:$S,ROW()+4),"")</f>
        <v/>
      </c>
      <c r="F480" s="33" t="str">
        <f>IF($A480="","",IF(N(INDEX('PI Furnizor'!$L:$L,ROW()+1))&gt;0,INDEX('PI Furnizor'!$L:$L,ROW()+1),""))</f>
        <v/>
      </c>
      <c r="G480" s="33" t="str">
        <f>IF($A480="","",IF(Comenzi!$D$6="Da",$D480,$E480))</f>
        <v/>
      </c>
      <c r="H480" s="33" t="str">
        <f>IF(OR($A480="",$F480=""),"",IF(Comenzi!$D$6="Da",IFERROR($F480/(1+INDEX('Calculator Cost per Bucata'!$AC:$AC,ROW()+4)),""),$F480))</f>
        <v/>
      </c>
      <c r="I480" s="46" t="str">
        <f t="shared" si="21"/>
        <v/>
      </c>
      <c r="J480" s="47" t="str">
        <f t="shared" si="22"/>
        <v/>
      </c>
      <c r="K480" s="48" t="str">
        <f t="shared" si="23"/>
        <v/>
      </c>
    </row>
    <row r="481" spans="1:11" x14ac:dyDescent="0.3">
      <c r="A481" s="28" t="str">
        <f>IF(INDEX('Calculator Cost per Bucata'!$A:$A,ROW()+4)="","",INDEX('Calculator Cost per Bucata'!$A:$A,ROW()+4))</f>
        <v/>
      </c>
      <c r="B481" s="28" t="str">
        <f>IF($A481="","",INDEX('Calculator Cost per Bucata'!$C:$C,ROW()+4))</f>
        <v/>
      </c>
      <c r="C481" s="28" t="str">
        <f>IF($A481="","",INDEX('Calculator Cost per Bucata'!$D:$D,ROW()+4))</f>
        <v/>
      </c>
      <c r="D481" s="33" t="str">
        <f>IF(INDEX('Calculator Cost per Bucata'!$Y:$Y,ROW()+4)=1,INDEX('Calculator Cost per Bucata'!$P:$P,ROW()+4),"")</f>
        <v/>
      </c>
      <c r="E481" s="33" t="str">
        <f>IF(INDEX('Calculator Cost per Bucata'!$Y:$Y,ROW()+4)=1,INDEX('Calculator Cost per Bucata'!$S:$S,ROW()+4),"")</f>
        <v/>
      </c>
      <c r="F481" s="33" t="str">
        <f>IF($A481="","",IF(N(INDEX('PI Furnizor'!$L:$L,ROW()+1))&gt;0,INDEX('PI Furnizor'!$L:$L,ROW()+1),""))</f>
        <v/>
      </c>
      <c r="G481" s="33" t="str">
        <f>IF($A481="","",IF(Comenzi!$D$6="Da",$D481,$E481))</f>
        <v/>
      </c>
      <c r="H481" s="33" t="str">
        <f>IF(OR($A481="",$F481=""),"",IF(Comenzi!$D$6="Da",IFERROR($F481/(1+INDEX('Calculator Cost per Bucata'!$AC:$AC,ROW()+4)),""),$F481))</f>
        <v/>
      </c>
      <c r="I481" s="46" t="str">
        <f t="shared" si="21"/>
        <v/>
      </c>
      <c r="J481" s="47" t="str">
        <f t="shared" si="22"/>
        <v/>
      </c>
      <c r="K481" s="48" t="str">
        <f t="shared" si="23"/>
        <v/>
      </c>
    </row>
    <row r="482" spans="1:11" x14ac:dyDescent="0.3">
      <c r="A482" s="28" t="str">
        <f>IF(INDEX('Calculator Cost per Bucata'!$A:$A,ROW()+4)="","",INDEX('Calculator Cost per Bucata'!$A:$A,ROW()+4))</f>
        <v/>
      </c>
      <c r="B482" s="28" t="str">
        <f>IF($A482="","",INDEX('Calculator Cost per Bucata'!$C:$C,ROW()+4))</f>
        <v/>
      </c>
      <c r="C482" s="28" t="str">
        <f>IF($A482="","",INDEX('Calculator Cost per Bucata'!$D:$D,ROW()+4))</f>
        <v/>
      </c>
      <c r="D482" s="33" t="str">
        <f>IF(INDEX('Calculator Cost per Bucata'!$Y:$Y,ROW()+4)=1,INDEX('Calculator Cost per Bucata'!$P:$P,ROW()+4),"")</f>
        <v/>
      </c>
      <c r="E482" s="33" t="str">
        <f>IF(INDEX('Calculator Cost per Bucata'!$Y:$Y,ROW()+4)=1,INDEX('Calculator Cost per Bucata'!$S:$S,ROW()+4),"")</f>
        <v/>
      </c>
      <c r="F482" s="33" t="str">
        <f>IF($A482="","",IF(N(INDEX('PI Furnizor'!$L:$L,ROW()+1))&gt;0,INDEX('PI Furnizor'!$L:$L,ROW()+1),""))</f>
        <v/>
      </c>
      <c r="G482" s="33" t="str">
        <f>IF($A482="","",IF(Comenzi!$D$6="Da",$D482,$E482))</f>
        <v/>
      </c>
      <c r="H482" s="33" t="str">
        <f>IF(OR($A482="",$F482=""),"",IF(Comenzi!$D$6="Da",IFERROR($F482/(1+INDEX('Calculator Cost per Bucata'!$AC:$AC,ROW()+4)),""),$F482))</f>
        <v/>
      </c>
      <c r="I482" s="46" t="str">
        <f t="shared" si="21"/>
        <v/>
      </c>
      <c r="J482" s="47" t="str">
        <f t="shared" si="22"/>
        <v/>
      </c>
      <c r="K482" s="48" t="str">
        <f t="shared" si="23"/>
        <v/>
      </c>
    </row>
    <row r="483" spans="1:11" x14ac:dyDescent="0.3">
      <c r="A483" s="28" t="str">
        <f>IF(INDEX('Calculator Cost per Bucata'!$A:$A,ROW()+4)="","",INDEX('Calculator Cost per Bucata'!$A:$A,ROW()+4))</f>
        <v/>
      </c>
      <c r="B483" s="28" t="str">
        <f>IF($A483="","",INDEX('Calculator Cost per Bucata'!$C:$C,ROW()+4))</f>
        <v/>
      </c>
      <c r="C483" s="28" t="str">
        <f>IF($A483="","",INDEX('Calculator Cost per Bucata'!$D:$D,ROW()+4))</f>
        <v/>
      </c>
      <c r="D483" s="33" t="str">
        <f>IF(INDEX('Calculator Cost per Bucata'!$Y:$Y,ROW()+4)=1,INDEX('Calculator Cost per Bucata'!$P:$P,ROW()+4),"")</f>
        <v/>
      </c>
      <c r="E483" s="33" t="str">
        <f>IF(INDEX('Calculator Cost per Bucata'!$Y:$Y,ROW()+4)=1,INDEX('Calculator Cost per Bucata'!$S:$S,ROW()+4),"")</f>
        <v/>
      </c>
      <c r="F483" s="33" t="str">
        <f>IF($A483="","",IF(N(INDEX('PI Furnizor'!$L:$L,ROW()+1))&gt;0,INDEX('PI Furnizor'!$L:$L,ROW()+1),""))</f>
        <v/>
      </c>
      <c r="G483" s="33" t="str">
        <f>IF($A483="","",IF(Comenzi!$D$6="Da",$D483,$E483))</f>
        <v/>
      </c>
      <c r="H483" s="33" t="str">
        <f>IF(OR($A483="",$F483=""),"",IF(Comenzi!$D$6="Da",IFERROR($F483/(1+INDEX('Calculator Cost per Bucata'!$AC:$AC,ROW()+4)),""),$F483))</f>
        <v/>
      </c>
      <c r="I483" s="46" t="str">
        <f t="shared" si="21"/>
        <v/>
      </c>
      <c r="J483" s="47" t="str">
        <f t="shared" si="22"/>
        <v/>
      </c>
      <c r="K483" s="48" t="str">
        <f t="shared" si="23"/>
        <v/>
      </c>
    </row>
    <row r="484" spans="1:11" x14ac:dyDescent="0.3">
      <c r="A484" s="28" t="str">
        <f>IF(INDEX('Calculator Cost per Bucata'!$A:$A,ROW()+4)="","",INDEX('Calculator Cost per Bucata'!$A:$A,ROW()+4))</f>
        <v/>
      </c>
      <c r="B484" s="28" t="str">
        <f>IF($A484="","",INDEX('Calculator Cost per Bucata'!$C:$C,ROW()+4))</f>
        <v/>
      </c>
      <c r="C484" s="28" t="str">
        <f>IF($A484="","",INDEX('Calculator Cost per Bucata'!$D:$D,ROW()+4))</f>
        <v/>
      </c>
      <c r="D484" s="33" t="str">
        <f>IF(INDEX('Calculator Cost per Bucata'!$Y:$Y,ROW()+4)=1,INDEX('Calculator Cost per Bucata'!$P:$P,ROW()+4),"")</f>
        <v/>
      </c>
      <c r="E484" s="33" t="str">
        <f>IF(INDEX('Calculator Cost per Bucata'!$Y:$Y,ROW()+4)=1,INDEX('Calculator Cost per Bucata'!$S:$S,ROW()+4),"")</f>
        <v/>
      </c>
      <c r="F484" s="33" t="str">
        <f>IF($A484="","",IF(N(INDEX('PI Furnizor'!$L:$L,ROW()+1))&gt;0,INDEX('PI Furnizor'!$L:$L,ROW()+1),""))</f>
        <v/>
      </c>
      <c r="G484" s="33" t="str">
        <f>IF($A484="","",IF(Comenzi!$D$6="Da",$D484,$E484))</f>
        <v/>
      </c>
      <c r="H484" s="33" t="str">
        <f>IF(OR($A484="",$F484=""),"",IF(Comenzi!$D$6="Da",IFERROR($F484/(1+INDEX('Calculator Cost per Bucata'!$AC:$AC,ROW()+4)),""),$F484))</f>
        <v/>
      </c>
      <c r="I484" s="46" t="str">
        <f t="shared" si="21"/>
        <v/>
      </c>
      <c r="J484" s="47" t="str">
        <f t="shared" si="22"/>
        <v/>
      </c>
      <c r="K484" s="48" t="str">
        <f t="shared" si="23"/>
        <v/>
      </c>
    </row>
    <row r="485" spans="1:11" x14ac:dyDescent="0.3">
      <c r="A485" s="28" t="str">
        <f>IF(INDEX('Calculator Cost per Bucata'!$A:$A,ROW()+4)="","",INDEX('Calculator Cost per Bucata'!$A:$A,ROW()+4))</f>
        <v/>
      </c>
      <c r="B485" s="28" t="str">
        <f>IF($A485="","",INDEX('Calculator Cost per Bucata'!$C:$C,ROW()+4))</f>
        <v/>
      </c>
      <c r="C485" s="28" t="str">
        <f>IF($A485="","",INDEX('Calculator Cost per Bucata'!$D:$D,ROW()+4))</f>
        <v/>
      </c>
      <c r="D485" s="33" t="str">
        <f>IF(INDEX('Calculator Cost per Bucata'!$Y:$Y,ROW()+4)=1,INDEX('Calculator Cost per Bucata'!$P:$P,ROW()+4),"")</f>
        <v/>
      </c>
      <c r="E485" s="33" t="str">
        <f>IF(INDEX('Calculator Cost per Bucata'!$Y:$Y,ROW()+4)=1,INDEX('Calculator Cost per Bucata'!$S:$S,ROW()+4),"")</f>
        <v/>
      </c>
      <c r="F485" s="33" t="str">
        <f>IF($A485="","",IF(N(INDEX('PI Furnizor'!$L:$L,ROW()+1))&gt;0,INDEX('PI Furnizor'!$L:$L,ROW()+1),""))</f>
        <v/>
      </c>
      <c r="G485" s="33" t="str">
        <f>IF($A485="","",IF(Comenzi!$D$6="Da",$D485,$E485))</f>
        <v/>
      </c>
      <c r="H485" s="33" t="str">
        <f>IF(OR($A485="",$F485=""),"",IF(Comenzi!$D$6="Da",IFERROR($F485/(1+INDEX('Calculator Cost per Bucata'!$AC:$AC,ROW()+4)),""),$F485))</f>
        <v/>
      </c>
      <c r="I485" s="46" t="str">
        <f t="shared" si="21"/>
        <v/>
      </c>
      <c r="J485" s="47" t="str">
        <f t="shared" si="22"/>
        <v/>
      </c>
      <c r="K485" s="48" t="str">
        <f t="shared" si="23"/>
        <v/>
      </c>
    </row>
    <row r="486" spans="1:11" x14ac:dyDescent="0.3">
      <c r="A486" s="28" t="str">
        <f>IF(INDEX('Calculator Cost per Bucata'!$A:$A,ROW()+4)="","",INDEX('Calculator Cost per Bucata'!$A:$A,ROW()+4))</f>
        <v/>
      </c>
      <c r="B486" s="28" t="str">
        <f>IF($A486="","",INDEX('Calculator Cost per Bucata'!$C:$C,ROW()+4))</f>
        <v/>
      </c>
      <c r="C486" s="28" t="str">
        <f>IF($A486="","",INDEX('Calculator Cost per Bucata'!$D:$D,ROW()+4))</f>
        <v/>
      </c>
      <c r="D486" s="33" t="str">
        <f>IF(INDEX('Calculator Cost per Bucata'!$Y:$Y,ROW()+4)=1,INDEX('Calculator Cost per Bucata'!$P:$P,ROW()+4),"")</f>
        <v/>
      </c>
      <c r="E486" s="33" t="str">
        <f>IF(INDEX('Calculator Cost per Bucata'!$Y:$Y,ROW()+4)=1,INDEX('Calculator Cost per Bucata'!$S:$S,ROW()+4),"")</f>
        <v/>
      </c>
      <c r="F486" s="33" t="str">
        <f>IF($A486="","",IF(N(INDEX('PI Furnizor'!$L:$L,ROW()+1))&gt;0,INDEX('PI Furnizor'!$L:$L,ROW()+1),""))</f>
        <v/>
      </c>
      <c r="G486" s="33" t="str">
        <f>IF($A486="","",IF(Comenzi!$D$6="Da",$D486,$E486))</f>
        <v/>
      </c>
      <c r="H486" s="33" t="str">
        <f>IF(OR($A486="",$F486=""),"",IF(Comenzi!$D$6="Da",IFERROR($F486/(1+INDEX('Calculator Cost per Bucata'!$AC:$AC,ROW()+4)),""),$F486))</f>
        <v/>
      </c>
      <c r="I486" s="46" t="str">
        <f t="shared" si="21"/>
        <v/>
      </c>
      <c r="J486" s="47" t="str">
        <f t="shared" si="22"/>
        <v/>
      </c>
      <c r="K486" s="48" t="str">
        <f t="shared" si="23"/>
        <v/>
      </c>
    </row>
    <row r="487" spans="1:11" x14ac:dyDescent="0.3">
      <c r="A487" s="28" t="str">
        <f>IF(INDEX('Calculator Cost per Bucata'!$A:$A,ROW()+4)="","",INDEX('Calculator Cost per Bucata'!$A:$A,ROW()+4))</f>
        <v/>
      </c>
      <c r="B487" s="28" t="str">
        <f>IF($A487="","",INDEX('Calculator Cost per Bucata'!$C:$C,ROW()+4))</f>
        <v/>
      </c>
      <c r="C487" s="28" t="str">
        <f>IF($A487="","",INDEX('Calculator Cost per Bucata'!$D:$D,ROW()+4))</f>
        <v/>
      </c>
      <c r="D487" s="33" t="str">
        <f>IF(INDEX('Calculator Cost per Bucata'!$Y:$Y,ROW()+4)=1,INDEX('Calculator Cost per Bucata'!$P:$P,ROW()+4),"")</f>
        <v/>
      </c>
      <c r="E487" s="33" t="str">
        <f>IF(INDEX('Calculator Cost per Bucata'!$Y:$Y,ROW()+4)=1,INDEX('Calculator Cost per Bucata'!$S:$S,ROW()+4),"")</f>
        <v/>
      </c>
      <c r="F487" s="33" t="str">
        <f>IF($A487="","",IF(N(INDEX('PI Furnizor'!$L:$L,ROW()+1))&gt;0,INDEX('PI Furnizor'!$L:$L,ROW()+1),""))</f>
        <v/>
      </c>
      <c r="G487" s="33" t="str">
        <f>IF($A487="","",IF(Comenzi!$D$6="Da",$D487,$E487))</f>
        <v/>
      </c>
      <c r="H487" s="33" t="str">
        <f>IF(OR($A487="",$F487=""),"",IF(Comenzi!$D$6="Da",IFERROR($F487/(1+INDEX('Calculator Cost per Bucata'!$AC:$AC,ROW()+4)),""),$F487))</f>
        <v/>
      </c>
      <c r="I487" s="46" t="str">
        <f t="shared" si="21"/>
        <v/>
      </c>
      <c r="J487" s="47" t="str">
        <f t="shared" si="22"/>
        <v/>
      </c>
      <c r="K487" s="48" t="str">
        <f t="shared" si="23"/>
        <v/>
      </c>
    </row>
    <row r="488" spans="1:11" x14ac:dyDescent="0.3">
      <c r="A488" s="28" t="str">
        <f>IF(INDEX('Calculator Cost per Bucata'!$A:$A,ROW()+4)="","",INDEX('Calculator Cost per Bucata'!$A:$A,ROW()+4))</f>
        <v/>
      </c>
      <c r="B488" s="28" t="str">
        <f>IF($A488="","",INDEX('Calculator Cost per Bucata'!$C:$C,ROW()+4))</f>
        <v/>
      </c>
      <c r="C488" s="28" t="str">
        <f>IF($A488="","",INDEX('Calculator Cost per Bucata'!$D:$D,ROW()+4))</f>
        <v/>
      </c>
      <c r="D488" s="33" t="str">
        <f>IF(INDEX('Calculator Cost per Bucata'!$Y:$Y,ROW()+4)=1,INDEX('Calculator Cost per Bucata'!$P:$P,ROW()+4),"")</f>
        <v/>
      </c>
      <c r="E488" s="33" t="str">
        <f>IF(INDEX('Calculator Cost per Bucata'!$Y:$Y,ROW()+4)=1,INDEX('Calculator Cost per Bucata'!$S:$S,ROW()+4),"")</f>
        <v/>
      </c>
      <c r="F488" s="33" t="str">
        <f>IF($A488="","",IF(N(INDEX('PI Furnizor'!$L:$L,ROW()+1))&gt;0,INDEX('PI Furnizor'!$L:$L,ROW()+1),""))</f>
        <v/>
      </c>
      <c r="G488" s="33" t="str">
        <f>IF($A488="","",IF(Comenzi!$D$6="Da",$D488,$E488))</f>
        <v/>
      </c>
      <c r="H488" s="33" t="str">
        <f>IF(OR($A488="",$F488=""),"",IF(Comenzi!$D$6="Da",IFERROR($F488/(1+INDEX('Calculator Cost per Bucata'!$AC:$AC,ROW()+4)),""),$F488))</f>
        <v/>
      </c>
      <c r="I488" s="46" t="str">
        <f t="shared" si="21"/>
        <v/>
      </c>
      <c r="J488" s="47" t="str">
        <f t="shared" si="22"/>
        <v/>
      </c>
      <c r="K488" s="48" t="str">
        <f t="shared" si="23"/>
        <v/>
      </c>
    </row>
    <row r="489" spans="1:11" x14ac:dyDescent="0.3">
      <c r="A489" s="28" t="str">
        <f>IF(INDEX('Calculator Cost per Bucata'!$A:$A,ROW()+4)="","",INDEX('Calculator Cost per Bucata'!$A:$A,ROW()+4))</f>
        <v/>
      </c>
      <c r="B489" s="28" t="str">
        <f>IF($A489="","",INDEX('Calculator Cost per Bucata'!$C:$C,ROW()+4))</f>
        <v/>
      </c>
      <c r="C489" s="28" t="str">
        <f>IF($A489="","",INDEX('Calculator Cost per Bucata'!$D:$D,ROW()+4))</f>
        <v/>
      </c>
      <c r="D489" s="33" t="str">
        <f>IF(INDEX('Calculator Cost per Bucata'!$Y:$Y,ROW()+4)=1,INDEX('Calculator Cost per Bucata'!$P:$P,ROW()+4),"")</f>
        <v/>
      </c>
      <c r="E489" s="33" t="str">
        <f>IF(INDEX('Calculator Cost per Bucata'!$Y:$Y,ROW()+4)=1,INDEX('Calculator Cost per Bucata'!$S:$S,ROW()+4),"")</f>
        <v/>
      </c>
      <c r="F489" s="33" t="str">
        <f>IF($A489="","",IF(N(INDEX('PI Furnizor'!$L:$L,ROW()+1))&gt;0,INDEX('PI Furnizor'!$L:$L,ROW()+1),""))</f>
        <v/>
      </c>
      <c r="G489" s="33" t="str">
        <f>IF($A489="","",IF(Comenzi!$D$6="Da",$D489,$E489))</f>
        <v/>
      </c>
      <c r="H489" s="33" t="str">
        <f>IF(OR($A489="",$F489=""),"",IF(Comenzi!$D$6="Da",IFERROR($F489/(1+INDEX('Calculator Cost per Bucata'!$AC:$AC,ROW()+4)),""),$F489))</f>
        <v/>
      </c>
      <c r="I489" s="46" t="str">
        <f t="shared" si="21"/>
        <v/>
      </c>
      <c r="J489" s="47" t="str">
        <f t="shared" si="22"/>
        <v/>
      </c>
      <c r="K489" s="48" t="str">
        <f t="shared" si="23"/>
        <v/>
      </c>
    </row>
    <row r="490" spans="1:11" x14ac:dyDescent="0.3">
      <c r="A490" s="28" t="str">
        <f>IF(INDEX('Calculator Cost per Bucata'!$A:$A,ROW()+4)="","",INDEX('Calculator Cost per Bucata'!$A:$A,ROW()+4))</f>
        <v/>
      </c>
      <c r="B490" s="28" t="str">
        <f>IF($A490="","",INDEX('Calculator Cost per Bucata'!$C:$C,ROW()+4))</f>
        <v/>
      </c>
      <c r="C490" s="28" t="str">
        <f>IF($A490="","",INDEX('Calculator Cost per Bucata'!$D:$D,ROW()+4))</f>
        <v/>
      </c>
      <c r="D490" s="33" t="str">
        <f>IF(INDEX('Calculator Cost per Bucata'!$Y:$Y,ROW()+4)=1,INDEX('Calculator Cost per Bucata'!$P:$P,ROW()+4),"")</f>
        <v/>
      </c>
      <c r="E490" s="33" t="str">
        <f>IF(INDEX('Calculator Cost per Bucata'!$Y:$Y,ROW()+4)=1,INDEX('Calculator Cost per Bucata'!$S:$S,ROW()+4),"")</f>
        <v/>
      </c>
      <c r="F490" s="33" t="str">
        <f>IF($A490="","",IF(N(INDEX('PI Furnizor'!$L:$L,ROW()+1))&gt;0,INDEX('PI Furnizor'!$L:$L,ROW()+1),""))</f>
        <v/>
      </c>
      <c r="G490" s="33" t="str">
        <f>IF($A490="","",IF(Comenzi!$D$6="Da",$D490,$E490))</f>
        <v/>
      </c>
      <c r="H490" s="33" t="str">
        <f>IF(OR($A490="",$F490=""),"",IF(Comenzi!$D$6="Da",IFERROR($F490/(1+INDEX('Calculator Cost per Bucata'!$AC:$AC,ROW()+4)),""),$F490))</f>
        <v/>
      </c>
      <c r="I490" s="46" t="str">
        <f t="shared" si="21"/>
        <v/>
      </c>
      <c r="J490" s="47" t="str">
        <f t="shared" si="22"/>
        <v/>
      </c>
      <c r="K490" s="48" t="str">
        <f t="shared" si="23"/>
        <v/>
      </c>
    </row>
    <row r="491" spans="1:11" x14ac:dyDescent="0.3">
      <c r="A491" s="28" t="str">
        <f>IF(INDEX('Calculator Cost per Bucata'!$A:$A,ROW()+4)="","",INDEX('Calculator Cost per Bucata'!$A:$A,ROW()+4))</f>
        <v/>
      </c>
      <c r="B491" s="28" t="str">
        <f>IF($A491="","",INDEX('Calculator Cost per Bucata'!$C:$C,ROW()+4))</f>
        <v/>
      </c>
      <c r="C491" s="28" t="str">
        <f>IF($A491="","",INDEX('Calculator Cost per Bucata'!$D:$D,ROW()+4))</f>
        <v/>
      </c>
      <c r="D491" s="33" t="str">
        <f>IF(INDEX('Calculator Cost per Bucata'!$Y:$Y,ROW()+4)=1,INDEX('Calculator Cost per Bucata'!$P:$P,ROW()+4),"")</f>
        <v/>
      </c>
      <c r="E491" s="33" t="str">
        <f>IF(INDEX('Calculator Cost per Bucata'!$Y:$Y,ROW()+4)=1,INDEX('Calculator Cost per Bucata'!$S:$S,ROW()+4),"")</f>
        <v/>
      </c>
      <c r="F491" s="33" t="str">
        <f>IF($A491="","",IF(N(INDEX('PI Furnizor'!$L:$L,ROW()+1))&gt;0,INDEX('PI Furnizor'!$L:$L,ROW()+1),""))</f>
        <v/>
      </c>
      <c r="G491" s="33" t="str">
        <f>IF($A491="","",IF(Comenzi!$D$6="Da",$D491,$E491))</f>
        <v/>
      </c>
      <c r="H491" s="33" t="str">
        <f>IF(OR($A491="",$F491=""),"",IF(Comenzi!$D$6="Da",IFERROR($F491/(1+INDEX('Calculator Cost per Bucata'!$AC:$AC,ROW()+4)),""),$F491))</f>
        <v/>
      </c>
      <c r="I491" s="46" t="str">
        <f t="shared" si="21"/>
        <v/>
      </c>
      <c r="J491" s="47" t="str">
        <f t="shared" si="22"/>
        <v/>
      </c>
      <c r="K491" s="48" t="str">
        <f t="shared" si="23"/>
        <v/>
      </c>
    </row>
    <row r="492" spans="1:11" x14ac:dyDescent="0.3">
      <c r="A492" s="28" t="str">
        <f>IF(INDEX('Calculator Cost per Bucata'!$A:$A,ROW()+4)="","",INDEX('Calculator Cost per Bucata'!$A:$A,ROW()+4))</f>
        <v/>
      </c>
      <c r="B492" s="28" t="str">
        <f>IF($A492="","",INDEX('Calculator Cost per Bucata'!$C:$C,ROW()+4))</f>
        <v/>
      </c>
      <c r="C492" s="28" t="str">
        <f>IF($A492="","",INDEX('Calculator Cost per Bucata'!$D:$D,ROW()+4))</f>
        <v/>
      </c>
      <c r="D492" s="33" t="str">
        <f>IF(INDEX('Calculator Cost per Bucata'!$Y:$Y,ROW()+4)=1,INDEX('Calculator Cost per Bucata'!$P:$P,ROW()+4),"")</f>
        <v/>
      </c>
      <c r="E492" s="33" t="str">
        <f>IF(INDEX('Calculator Cost per Bucata'!$Y:$Y,ROW()+4)=1,INDEX('Calculator Cost per Bucata'!$S:$S,ROW()+4),"")</f>
        <v/>
      </c>
      <c r="F492" s="33" t="str">
        <f>IF($A492="","",IF(N(INDEX('PI Furnizor'!$L:$L,ROW()+1))&gt;0,INDEX('PI Furnizor'!$L:$L,ROW()+1),""))</f>
        <v/>
      </c>
      <c r="G492" s="33" t="str">
        <f>IF($A492="","",IF(Comenzi!$D$6="Da",$D492,$E492))</f>
        <v/>
      </c>
      <c r="H492" s="33" t="str">
        <f>IF(OR($A492="",$F492=""),"",IF(Comenzi!$D$6="Da",IFERROR($F492/(1+INDEX('Calculator Cost per Bucata'!$AC:$AC,ROW()+4)),""),$F492))</f>
        <v/>
      </c>
      <c r="I492" s="46" t="str">
        <f t="shared" si="21"/>
        <v/>
      </c>
      <c r="J492" s="47" t="str">
        <f t="shared" si="22"/>
        <v/>
      </c>
      <c r="K492" s="48" t="str">
        <f t="shared" si="23"/>
        <v/>
      </c>
    </row>
    <row r="493" spans="1:11" x14ac:dyDescent="0.3">
      <c r="A493" s="28" t="str">
        <f>IF(INDEX('Calculator Cost per Bucata'!$A:$A,ROW()+4)="","",INDEX('Calculator Cost per Bucata'!$A:$A,ROW()+4))</f>
        <v/>
      </c>
      <c r="B493" s="28" t="str">
        <f>IF($A493="","",INDEX('Calculator Cost per Bucata'!$C:$C,ROW()+4))</f>
        <v/>
      </c>
      <c r="C493" s="28" t="str">
        <f>IF($A493="","",INDEX('Calculator Cost per Bucata'!$D:$D,ROW()+4))</f>
        <v/>
      </c>
      <c r="D493" s="33" t="str">
        <f>IF(INDEX('Calculator Cost per Bucata'!$Y:$Y,ROW()+4)=1,INDEX('Calculator Cost per Bucata'!$P:$P,ROW()+4),"")</f>
        <v/>
      </c>
      <c r="E493" s="33" t="str">
        <f>IF(INDEX('Calculator Cost per Bucata'!$Y:$Y,ROW()+4)=1,INDEX('Calculator Cost per Bucata'!$S:$S,ROW()+4),"")</f>
        <v/>
      </c>
      <c r="F493" s="33" t="str">
        <f>IF($A493="","",IF(N(INDEX('PI Furnizor'!$L:$L,ROW()+1))&gt;0,INDEX('PI Furnizor'!$L:$L,ROW()+1),""))</f>
        <v/>
      </c>
      <c r="G493" s="33" t="str">
        <f>IF($A493="","",IF(Comenzi!$D$6="Da",$D493,$E493))</f>
        <v/>
      </c>
      <c r="H493" s="33" t="str">
        <f>IF(OR($A493="",$F493=""),"",IF(Comenzi!$D$6="Da",IFERROR($F493/(1+INDEX('Calculator Cost per Bucata'!$AC:$AC,ROW()+4)),""),$F493))</f>
        <v/>
      </c>
      <c r="I493" s="46" t="str">
        <f t="shared" si="21"/>
        <v/>
      </c>
      <c r="J493" s="47" t="str">
        <f t="shared" si="22"/>
        <v/>
      </c>
      <c r="K493" s="48" t="str">
        <f t="shared" si="23"/>
        <v/>
      </c>
    </row>
    <row r="494" spans="1:11" x14ac:dyDescent="0.3">
      <c r="A494" s="28" t="str">
        <f>IF(INDEX('Calculator Cost per Bucata'!$A:$A,ROW()+4)="","",INDEX('Calculator Cost per Bucata'!$A:$A,ROW()+4))</f>
        <v/>
      </c>
      <c r="B494" s="28" t="str">
        <f>IF($A494="","",INDEX('Calculator Cost per Bucata'!$C:$C,ROW()+4))</f>
        <v/>
      </c>
      <c r="C494" s="28" t="str">
        <f>IF($A494="","",INDEX('Calculator Cost per Bucata'!$D:$D,ROW()+4))</f>
        <v/>
      </c>
      <c r="D494" s="33" t="str">
        <f>IF(INDEX('Calculator Cost per Bucata'!$Y:$Y,ROW()+4)=1,INDEX('Calculator Cost per Bucata'!$P:$P,ROW()+4),"")</f>
        <v/>
      </c>
      <c r="E494" s="33" t="str">
        <f>IF(INDEX('Calculator Cost per Bucata'!$Y:$Y,ROW()+4)=1,INDEX('Calculator Cost per Bucata'!$S:$S,ROW()+4),"")</f>
        <v/>
      </c>
      <c r="F494" s="33" t="str">
        <f>IF($A494="","",IF(N(INDEX('PI Furnizor'!$L:$L,ROW()+1))&gt;0,INDEX('PI Furnizor'!$L:$L,ROW()+1),""))</f>
        <v/>
      </c>
      <c r="G494" s="33" t="str">
        <f>IF($A494="","",IF(Comenzi!$D$6="Da",$D494,$E494))</f>
        <v/>
      </c>
      <c r="H494" s="33" t="str">
        <f>IF(OR($A494="",$F494=""),"",IF(Comenzi!$D$6="Da",IFERROR($F494/(1+INDEX('Calculator Cost per Bucata'!$AC:$AC,ROW()+4)),""),$F494))</f>
        <v/>
      </c>
      <c r="I494" s="46" t="str">
        <f t="shared" si="21"/>
        <v/>
      </c>
      <c r="J494" s="47" t="str">
        <f t="shared" si="22"/>
        <v/>
      </c>
      <c r="K494" s="48" t="str">
        <f t="shared" si="23"/>
        <v/>
      </c>
    </row>
    <row r="495" spans="1:11" x14ac:dyDescent="0.3">
      <c r="A495" s="28" t="str">
        <f>IF(INDEX('Calculator Cost per Bucata'!$A:$A,ROW()+4)="","",INDEX('Calculator Cost per Bucata'!$A:$A,ROW()+4))</f>
        <v/>
      </c>
      <c r="B495" s="28" t="str">
        <f>IF($A495="","",INDEX('Calculator Cost per Bucata'!$C:$C,ROW()+4))</f>
        <v/>
      </c>
      <c r="C495" s="28" t="str">
        <f>IF($A495="","",INDEX('Calculator Cost per Bucata'!$D:$D,ROW()+4))</f>
        <v/>
      </c>
      <c r="D495" s="33" t="str">
        <f>IF(INDEX('Calculator Cost per Bucata'!$Y:$Y,ROW()+4)=1,INDEX('Calculator Cost per Bucata'!$P:$P,ROW()+4),"")</f>
        <v/>
      </c>
      <c r="E495" s="33" t="str">
        <f>IF(INDEX('Calculator Cost per Bucata'!$Y:$Y,ROW()+4)=1,INDEX('Calculator Cost per Bucata'!$S:$S,ROW()+4),"")</f>
        <v/>
      </c>
      <c r="F495" s="33" t="str">
        <f>IF($A495="","",IF(N(INDEX('PI Furnizor'!$L:$L,ROW()+1))&gt;0,INDEX('PI Furnizor'!$L:$L,ROW()+1),""))</f>
        <v/>
      </c>
      <c r="G495" s="33" t="str">
        <f>IF($A495="","",IF(Comenzi!$D$6="Da",$D495,$E495))</f>
        <v/>
      </c>
      <c r="H495" s="33" t="str">
        <f>IF(OR($A495="",$F495=""),"",IF(Comenzi!$D$6="Da",IFERROR($F495/(1+INDEX('Calculator Cost per Bucata'!$AC:$AC,ROW()+4)),""),$F495))</f>
        <v/>
      </c>
      <c r="I495" s="46" t="str">
        <f t="shared" si="21"/>
        <v/>
      </c>
      <c r="J495" s="47" t="str">
        <f t="shared" si="22"/>
        <v/>
      </c>
      <c r="K495" s="48" t="str">
        <f t="shared" si="23"/>
        <v/>
      </c>
    </row>
    <row r="496" spans="1:11" x14ac:dyDescent="0.3">
      <c r="A496" s="28" t="str">
        <f>IF(INDEX('Calculator Cost per Bucata'!$A:$A,ROW()+4)="","",INDEX('Calculator Cost per Bucata'!$A:$A,ROW()+4))</f>
        <v/>
      </c>
      <c r="B496" s="28" t="str">
        <f>IF($A496="","",INDEX('Calculator Cost per Bucata'!$C:$C,ROW()+4))</f>
        <v/>
      </c>
      <c r="C496" s="28" t="str">
        <f>IF($A496="","",INDEX('Calculator Cost per Bucata'!$D:$D,ROW()+4))</f>
        <v/>
      </c>
      <c r="D496" s="33" t="str">
        <f>IF(INDEX('Calculator Cost per Bucata'!$Y:$Y,ROW()+4)=1,INDEX('Calculator Cost per Bucata'!$P:$P,ROW()+4),"")</f>
        <v/>
      </c>
      <c r="E496" s="33" t="str">
        <f>IF(INDEX('Calculator Cost per Bucata'!$Y:$Y,ROW()+4)=1,INDEX('Calculator Cost per Bucata'!$S:$S,ROW()+4),"")</f>
        <v/>
      </c>
      <c r="F496" s="33" t="str">
        <f>IF($A496="","",IF(N(INDEX('PI Furnizor'!$L:$L,ROW()+1))&gt;0,INDEX('PI Furnizor'!$L:$L,ROW()+1),""))</f>
        <v/>
      </c>
      <c r="G496" s="33" t="str">
        <f>IF($A496="","",IF(Comenzi!$D$6="Da",$D496,$E496))</f>
        <v/>
      </c>
      <c r="H496" s="33" t="str">
        <f>IF(OR($A496="",$F496=""),"",IF(Comenzi!$D$6="Da",IFERROR($F496/(1+INDEX('Calculator Cost per Bucata'!$AC:$AC,ROW()+4)),""),$F496))</f>
        <v/>
      </c>
      <c r="I496" s="46" t="str">
        <f t="shared" si="21"/>
        <v/>
      </c>
      <c r="J496" s="47" t="str">
        <f t="shared" si="22"/>
        <v/>
      </c>
      <c r="K496" s="48" t="str">
        <f t="shared" si="23"/>
        <v/>
      </c>
    </row>
    <row r="497" spans="1:11" x14ac:dyDescent="0.3">
      <c r="A497" s="28" t="str">
        <f>IF(INDEX('Calculator Cost per Bucata'!$A:$A,ROW()+4)="","",INDEX('Calculator Cost per Bucata'!$A:$A,ROW()+4))</f>
        <v/>
      </c>
      <c r="B497" s="28" t="str">
        <f>IF($A497="","",INDEX('Calculator Cost per Bucata'!$C:$C,ROW()+4))</f>
        <v/>
      </c>
      <c r="C497" s="28" t="str">
        <f>IF($A497="","",INDEX('Calculator Cost per Bucata'!$D:$D,ROW()+4))</f>
        <v/>
      </c>
      <c r="D497" s="33" t="str">
        <f>IF(INDEX('Calculator Cost per Bucata'!$Y:$Y,ROW()+4)=1,INDEX('Calculator Cost per Bucata'!$P:$P,ROW()+4),"")</f>
        <v/>
      </c>
      <c r="E497" s="33" t="str">
        <f>IF(INDEX('Calculator Cost per Bucata'!$Y:$Y,ROW()+4)=1,INDEX('Calculator Cost per Bucata'!$S:$S,ROW()+4),"")</f>
        <v/>
      </c>
      <c r="F497" s="33" t="str">
        <f>IF($A497="","",IF(N(INDEX('PI Furnizor'!$L:$L,ROW()+1))&gt;0,INDEX('PI Furnizor'!$L:$L,ROW()+1),""))</f>
        <v/>
      </c>
      <c r="G497" s="33" t="str">
        <f>IF($A497="","",IF(Comenzi!$D$6="Da",$D497,$E497))</f>
        <v/>
      </c>
      <c r="H497" s="33" t="str">
        <f>IF(OR($A497="",$F497=""),"",IF(Comenzi!$D$6="Da",IFERROR($F497/(1+INDEX('Calculator Cost per Bucata'!$AC:$AC,ROW()+4)),""),$F497))</f>
        <v/>
      </c>
      <c r="I497" s="46" t="str">
        <f t="shared" si="21"/>
        <v/>
      </c>
      <c r="J497" s="47" t="str">
        <f t="shared" si="22"/>
        <v/>
      </c>
      <c r="K497" s="48" t="str">
        <f t="shared" si="23"/>
        <v/>
      </c>
    </row>
    <row r="498" spans="1:11" x14ac:dyDescent="0.3">
      <c r="A498" s="28" t="str">
        <f>IF(INDEX('Calculator Cost per Bucata'!$A:$A,ROW()+4)="","",INDEX('Calculator Cost per Bucata'!$A:$A,ROW()+4))</f>
        <v/>
      </c>
      <c r="B498" s="28" t="str">
        <f>IF($A498="","",INDEX('Calculator Cost per Bucata'!$C:$C,ROW()+4))</f>
        <v/>
      </c>
      <c r="C498" s="28" t="str">
        <f>IF($A498="","",INDEX('Calculator Cost per Bucata'!$D:$D,ROW()+4))</f>
        <v/>
      </c>
      <c r="D498" s="33" t="str">
        <f>IF(INDEX('Calculator Cost per Bucata'!$Y:$Y,ROW()+4)=1,INDEX('Calculator Cost per Bucata'!$P:$P,ROW()+4),"")</f>
        <v/>
      </c>
      <c r="E498" s="33" t="str">
        <f>IF(INDEX('Calculator Cost per Bucata'!$Y:$Y,ROW()+4)=1,INDEX('Calculator Cost per Bucata'!$S:$S,ROW()+4),"")</f>
        <v/>
      </c>
      <c r="F498" s="33" t="str">
        <f>IF($A498="","",IF(N(INDEX('PI Furnizor'!$L:$L,ROW()+1))&gt;0,INDEX('PI Furnizor'!$L:$L,ROW()+1),""))</f>
        <v/>
      </c>
      <c r="G498" s="33" t="str">
        <f>IF($A498="","",IF(Comenzi!$D$6="Da",$D498,$E498))</f>
        <v/>
      </c>
      <c r="H498" s="33" t="str">
        <f>IF(OR($A498="",$F498=""),"",IF(Comenzi!$D$6="Da",IFERROR($F498/(1+INDEX('Calculator Cost per Bucata'!$AC:$AC,ROW()+4)),""),$F498))</f>
        <v/>
      </c>
      <c r="I498" s="46" t="str">
        <f t="shared" si="21"/>
        <v/>
      </c>
      <c r="J498" s="47" t="str">
        <f t="shared" si="22"/>
        <v/>
      </c>
      <c r="K498" s="48" t="str">
        <f t="shared" si="23"/>
        <v/>
      </c>
    </row>
    <row r="499" spans="1:11" x14ac:dyDescent="0.3">
      <c r="A499" s="28" t="str">
        <f>IF(INDEX('Calculator Cost per Bucata'!$A:$A,ROW()+4)="","",INDEX('Calculator Cost per Bucata'!$A:$A,ROW()+4))</f>
        <v/>
      </c>
      <c r="B499" s="28" t="str">
        <f>IF($A499="","",INDEX('Calculator Cost per Bucata'!$C:$C,ROW()+4))</f>
        <v/>
      </c>
      <c r="C499" s="28" t="str">
        <f>IF($A499="","",INDEX('Calculator Cost per Bucata'!$D:$D,ROW()+4))</f>
        <v/>
      </c>
      <c r="D499" s="33" t="str">
        <f>IF(INDEX('Calculator Cost per Bucata'!$Y:$Y,ROW()+4)=1,INDEX('Calculator Cost per Bucata'!$P:$P,ROW()+4),"")</f>
        <v/>
      </c>
      <c r="E499" s="33" t="str">
        <f>IF(INDEX('Calculator Cost per Bucata'!$Y:$Y,ROW()+4)=1,INDEX('Calculator Cost per Bucata'!$S:$S,ROW()+4),"")</f>
        <v/>
      </c>
      <c r="F499" s="33" t="str">
        <f>IF($A499="","",IF(N(INDEX('PI Furnizor'!$L:$L,ROW()+1))&gt;0,INDEX('PI Furnizor'!$L:$L,ROW()+1),""))</f>
        <v/>
      </c>
      <c r="G499" s="33" t="str">
        <f>IF($A499="","",IF(Comenzi!$D$6="Da",$D499,$E499))</f>
        <v/>
      </c>
      <c r="H499" s="33" t="str">
        <f>IF(OR($A499="",$F499=""),"",IF(Comenzi!$D$6="Da",IFERROR($F499/(1+INDEX('Calculator Cost per Bucata'!$AC:$AC,ROW()+4)),""),$F499))</f>
        <v/>
      </c>
      <c r="I499" s="46" t="str">
        <f t="shared" si="21"/>
        <v/>
      </c>
      <c r="J499" s="47" t="str">
        <f t="shared" si="22"/>
        <v/>
      </c>
      <c r="K499" s="48" t="str">
        <f t="shared" si="23"/>
        <v/>
      </c>
    </row>
    <row r="500" spans="1:11" x14ac:dyDescent="0.3">
      <c r="A500" s="28" t="str">
        <f>IF(INDEX('Calculator Cost per Bucata'!$A:$A,ROW()+4)="","",INDEX('Calculator Cost per Bucata'!$A:$A,ROW()+4))</f>
        <v/>
      </c>
      <c r="B500" s="28" t="str">
        <f>IF($A500="","",INDEX('Calculator Cost per Bucata'!$C:$C,ROW()+4))</f>
        <v/>
      </c>
      <c r="C500" s="28" t="str">
        <f>IF($A500="","",INDEX('Calculator Cost per Bucata'!$D:$D,ROW()+4))</f>
        <v/>
      </c>
      <c r="D500" s="33" t="str">
        <f>IF(INDEX('Calculator Cost per Bucata'!$Y:$Y,ROW()+4)=1,INDEX('Calculator Cost per Bucata'!$P:$P,ROW()+4),"")</f>
        <v/>
      </c>
      <c r="E500" s="33" t="str">
        <f>IF(INDEX('Calculator Cost per Bucata'!$Y:$Y,ROW()+4)=1,INDEX('Calculator Cost per Bucata'!$S:$S,ROW()+4),"")</f>
        <v/>
      </c>
      <c r="F500" s="33" t="str">
        <f>IF($A500="","",IF(N(INDEX('PI Furnizor'!$L:$L,ROW()+1))&gt;0,INDEX('PI Furnizor'!$L:$L,ROW()+1),""))</f>
        <v/>
      </c>
      <c r="G500" s="33" t="str">
        <f>IF($A500="","",IF(Comenzi!$D$6="Da",$D500,$E500))</f>
        <v/>
      </c>
      <c r="H500" s="33" t="str">
        <f>IF(OR($A500="",$F500=""),"",IF(Comenzi!$D$6="Da",IFERROR($F500/(1+INDEX('Calculator Cost per Bucata'!$AC:$AC,ROW()+4)),""),$F500))</f>
        <v/>
      </c>
      <c r="I500" s="46" t="str">
        <f t="shared" si="21"/>
        <v/>
      </c>
      <c r="J500" s="47" t="str">
        <f t="shared" si="22"/>
        <v/>
      </c>
      <c r="K500" s="48" t="str">
        <f t="shared" si="23"/>
        <v/>
      </c>
    </row>
    <row r="501" spans="1:11" x14ac:dyDescent="0.3">
      <c r="A501" s="28" t="str">
        <f>IF(INDEX('Calculator Cost per Bucata'!$A:$A,ROW()+4)="","",INDEX('Calculator Cost per Bucata'!$A:$A,ROW()+4))</f>
        <v/>
      </c>
      <c r="B501" s="28" t="str">
        <f>IF($A501="","",INDEX('Calculator Cost per Bucata'!$C:$C,ROW()+4))</f>
        <v/>
      </c>
      <c r="C501" s="28" t="str">
        <f>IF($A501="","",INDEX('Calculator Cost per Bucata'!$D:$D,ROW()+4))</f>
        <v/>
      </c>
      <c r="D501" s="33" t="str">
        <f>IF(INDEX('Calculator Cost per Bucata'!$Y:$Y,ROW()+4)=1,INDEX('Calculator Cost per Bucata'!$P:$P,ROW()+4),"")</f>
        <v/>
      </c>
      <c r="E501" s="33" t="str">
        <f>IF(INDEX('Calculator Cost per Bucata'!$Y:$Y,ROW()+4)=1,INDEX('Calculator Cost per Bucata'!$S:$S,ROW()+4),"")</f>
        <v/>
      </c>
      <c r="F501" s="33" t="str">
        <f>IF($A501="","",IF(N(INDEX('PI Furnizor'!$L:$L,ROW()+1))&gt;0,INDEX('PI Furnizor'!$L:$L,ROW()+1),""))</f>
        <v/>
      </c>
      <c r="G501" s="33" t="str">
        <f>IF($A501="","",IF(Comenzi!$D$6="Da",$D501,$E501))</f>
        <v/>
      </c>
      <c r="H501" s="33" t="str">
        <f>IF(OR($A501="",$F501=""),"",IF(Comenzi!$D$6="Da",IFERROR($F501/(1+INDEX('Calculator Cost per Bucata'!$AC:$AC,ROW()+4)),""),$F501))</f>
        <v/>
      </c>
      <c r="I501" s="46" t="str">
        <f t="shared" si="21"/>
        <v/>
      </c>
      <c r="J501" s="47" t="str">
        <f t="shared" si="22"/>
        <v/>
      </c>
      <c r="K501" s="48" t="str">
        <f t="shared" si="23"/>
        <v/>
      </c>
    </row>
    <row r="502" spans="1:11" x14ac:dyDescent="0.3">
      <c r="A502" s="28" t="str">
        <f>IF(INDEX('Calculator Cost per Bucata'!$A:$A,ROW()+4)="","",INDEX('Calculator Cost per Bucata'!$A:$A,ROW()+4))</f>
        <v/>
      </c>
      <c r="B502" s="28" t="str">
        <f>IF($A502="","",INDEX('Calculator Cost per Bucata'!$C:$C,ROW()+4))</f>
        <v/>
      </c>
      <c r="C502" s="28" t="str">
        <f>IF($A502="","",INDEX('Calculator Cost per Bucata'!$D:$D,ROW()+4))</f>
        <v/>
      </c>
      <c r="D502" s="33" t="str">
        <f>IF(INDEX('Calculator Cost per Bucata'!$Y:$Y,ROW()+4)=1,INDEX('Calculator Cost per Bucata'!$P:$P,ROW()+4),"")</f>
        <v/>
      </c>
      <c r="E502" s="33" t="str">
        <f>IF(INDEX('Calculator Cost per Bucata'!$Y:$Y,ROW()+4)=1,INDEX('Calculator Cost per Bucata'!$S:$S,ROW()+4),"")</f>
        <v/>
      </c>
      <c r="F502" s="33" t="str">
        <f>IF($A502="","",IF(N(INDEX('PI Furnizor'!$L:$L,ROW()+1))&gt;0,INDEX('PI Furnizor'!$L:$L,ROW()+1),""))</f>
        <v/>
      </c>
      <c r="G502" s="33" t="str">
        <f>IF($A502="","",IF(Comenzi!$D$6="Da",$D502,$E502))</f>
        <v/>
      </c>
      <c r="H502" s="33" t="str">
        <f>IF(OR($A502="",$F502=""),"",IF(Comenzi!$D$6="Da",IFERROR($F502/(1+INDEX('Calculator Cost per Bucata'!$AC:$AC,ROW()+4)),""),$F502))</f>
        <v/>
      </c>
      <c r="I502" s="46" t="str">
        <f t="shared" si="21"/>
        <v/>
      </c>
      <c r="J502" s="47" t="str">
        <f t="shared" si="22"/>
        <v/>
      </c>
      <c r="K502" s="48" t="str">
        <f t="shared" si="23"/>
        <v/>
      </c>
    </row>
    <row r="503" spans="1:11" x14ac:dyDescent="0.3">
      <c r="A503" s="28" t="str">
        <f>IF(INDEX('Calculator Cost per Bucata'!$A:$A,ROW()+4)="","",INDEX('Calculator Cost per Bucata'!$A:$A,ROW()+4))</f>
        <v/>
      </c>
      <c r="B503" s="28" t="str">
        <f>IF($A503="","",INDEX('Calculator Cost per Bucata'!$C:$C,ROW()+4))</f>
        <v/>
      </c>
      <c r="C503" s="28" t="str">
        <f>IF($A503="","",INDEX('Calculator Cost per Bucata'!$D:$D,ROW()+4))</f>
        <v/>
      </c>
      <c r="D503" s="33" t="str">
        <f>IF(INDEX('Calculator Cost per Bucata'!$Y:$Y,ROW()+4)=1,INDEX('Calculator Cost per Bucata'!$P:$P,ROW()+4),"")</f>
        <v/>
      </c>
      <c r="E503" s="33" t="str">
        <f>IF(INDEX('Calculator Cost per Bucata'!$Y:$Y,ROW()+4)=1,INDEX('Calculator Cost per Bucata'!$S:$S,ROW()+4),"")</f>
        <v/>
      </c>
      <c r="F503" s="33" t="str">
        <f>IF($A503="","",IF(N(INDEX('PI Furnizor'!$L:$L,ROW()+1))&gt;0,INDEX('PI Furnizor'!$L:$L,ROW()+1),""))</f>
        <v/>
      </c>
      <c r="G503" s="33" t="str">
        <f>IF($A503="","",IF(Comenzi!$D$6="Da",$D503,$E503))</f>
        <v/>
      </c>
      <c r="H503" s="33" t="str">
        <f>IF(OR($A503="",$F503=""),"",IF(Comenzi!$D$6="Da",IFERROR($F503/(1+INDEX('Calculator Cost per Bucata'!$AC:$AC,ROW()+4)),""),$F503))</f>
        <v/>
      </c>
      <c r="I503" s="46" t="str">
        <f t="shared" si="21"/>
        <v/>
      </c>
      <c r="J503" s="47" t="str">
        <f t="shared" si="22"/>
        <v/>
      </c>
      <c r="K503" s="48" t="str">
        <f t="shared" si="23"/>
        <v/>
      </c>
    </row>
    <row r="504" spans="1:11" x14ac:dyDescent="0.3">
      <c r="A504" s="28" t="str">
        <f>IF(INDEX('Calculator Cost per Bucata'!$A:$A,ROW()+4)="","",INDEX('Calculator Cost per Bucata'!$A:$A,ROW()+4))</f>
        <v/>
      </c>
      <c r="B504" s="28" t="str">
        <f>IF($A504="","",INDEX('Calculator Cost per Bucata'!$C:$C,ROW()+4))</f>
        <v/>
      </c>
      <c r="C504" s="28" t="str">
        <f>IF($A504="","",INDEX('Calculator Cost per Bucata'!$D:$D,ROW()+4))</f>
        <v/>
      </c>
      <c r="D504" s="33" t="str">
        <f>IF(INDEX('Calculator Cost per Bucata'!$Y:$Y,ROW()+4)=1,INDEX('Calculator Cost per Bucata'!$P:$P,ROW()+4),"")</f>
        <v/>
      </c>
      <c r="E504" s="33" t="str">
        <f>IF(INDEX('Calculator Cost per Bucata'!$Y:$Y,ROW()+4)=1,INDEX('Calculator Cost per Bucata'!$S:$S,ROW()+4),"")</f>
        <v/>
      </c>
      <c r="F504" s="33" t="str">
        <f>IF($A504="","",IF(N(INDEX('PI Furnizor'!$L:$L,ROW()+1))&gt;0,INDEX('PI Furnizor'!$L:$L,ROW()+1),""))</f>
        <v/>
      </c>
      <c r="G504" s="33" t="str">
        <f>IF($A504="","",IF(Comenzi!$D$6="Da",$D504,$E504))</f>
        <v/>
      </c>
      <c r="H504" s="33" t="str">
        <f>IF(OR($A504="",$F504=""),"",IF(Comenzi!$D$6="Da",IFERROR($F504/(1+INDEX('Calculator Cost per Bucata'!$AC:$AC,ROW()+4)),""),$F504))</f>
        <v/>
      </c>
      <c r="I504" s="46" t="str">
        <f t="shared" si="21"/>
        <v/>
      </c>
      <c r="J504" s="47" t="str">
        <f t="shared" si="22"/>
        <v/>
      </c>
      <c r="K504" s="48" t="str">
        <f t="shared" si="23"/>
        <v/>
      </c>
    </row>
    <row r="505" spans="1:11" x14ac:dyDescent="0.3">
      <c r="A505" s="28" t="str">
        <f>IF(INDEX('Calculator Cost per Bucata'!$A:$A,ROW()+4)="","",INDEX('Calculator Cost per Bucata'!$A:$A,ROW()+4))</f>
        <v/>
      </c>
      <c r="B505" s="28" t="str">
        <f>IF($A505="","",INDEX('Calculator Cost per Bucata'!$C:$C,ROW()+4))</f>
        <v/>
      </c>
      <c r="C505" s="28" t="str">
        <f>IF($A505="","",INDEX('Calculator Cost per Bucata'!$D:$D,ROW()+4))</f>
        <v/>
      </c>
      <c r="D505" s="33" t="str">
        <f>IF(INDEX('Calculator Cost per Bucata'!$Y:$Y,ROW()+4)=1,INDEX('Calculator Cost per Bucata'!$P:$P,ROW()+4),"")</f>
        <v/>
      </c>
      <c r="E505" s="33" t="str">
        <f>IF(INDEX('Calculator Cost per Bucata'!$Y:$Y,ROW()+4)=1,INDEX('Calculator Cost per Bucata'!$S:$S,ROW()+4),"")</f>
        <v/>
      </c>
      <c r="F505" s="33" t="str">
        <f>IF($A505="","",IF(N(INDEX('PI Furnizor'!$L:$L,ROW()+1))&gt;0,INDEX('PI Furnizor'!$L:$L,ROW()+1),""))</f>
        <v/>
      </c>
      <c r="G505" s="33" t="str">
        <f>IF($A505="","",IF(Comenzi!$D$6="Da",$D505,$E505))</f>
        <v/>
      </c>
      <c r="H505" s="33" t="str">
        <f>IF(OR($A505="",$F505=""),"",IF(Comenzi!$D$6="Da",IFERROR($F505/(1+INDEX('Calculator Cost per Bucata'!$AC:$AC,ROW()+4)),""),$F505))</f>
        <v/>
      </c>
      <c r="I505" s="46" t="str">
        <f t="shared" si="21"/>
        <v/>
      </c>
      <c r="J505" s="47" t="str">
        <f t="shared" si="22"/>
        <v/>
      </c>
      <c r="K505" s="48" t="str">
        <f t="shared" si="23"/>
        <v/>
      </c>
    </row>
  </sheetData>
  <mergeCells count="3">
    <mergeCell ref="A1:K1"/>
    <mergeCell ref="A3:K3"/>
    <mergeCell ref="M5:R12"/>
  </mergeCells>
  <conditionalFormatting sqref="A6:K505">
    <cfRule type="expression" dxfId="2" priority="2">
      <formula>$A6&lt;&gt;""</formula>
    </cfRule>
  </conditionalFormatting>
  <conditionalFormatting sqref="K6:K505">
    <cfRule type="expression" dxfId="1" priority="3">
      <formula>ISNUMBER(SEARCH("marja buna",$K6))</formula>
    </cfRule>
    <cfRule type="expression" dxfId="0" priority="4">
      <formula>ISNUMBER(SEARCH("verifica",$K6))</formula>
    </cfRule>
  </conditionalFormatting>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 Furnizor</vt:lpstr>
      <vt:lpstr>Comenzi</vt:lpstr>
      <vt:lpstr>Calculator Cost per Bucata</vt:lpstr>
      <vt:lpstr>Comparatie Piata 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Iulian Petcu</cp:lastModifiedBy>
  <cp:revision>0</cp:revision>
  <dcterms:created xsi:type="dcterms:W3CDTF">2026-10-08T06:14:42Z</dcterms:created>
  <dcterms:modified xsi:type="dcterms:W3CDTF">2026-10-08T09:11:08Z</dcterms:modified>
  <dc:language>en-US</dc:language>
</cp:coreProperties>
</file>